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N°1" sheetId="1" r:id="rId4"/>
    <sheet state="visible" name="Sprint N°2" sheetId="2" r:id="rId5"/>
    <sheet state="visible" name="Spint N°3" sheetId="3" r:id="rId6"/>
    <sheet state="visible" name="burndown_Proyecto_HouseCount" sheetId="4" r:id="rId7"/>
    <sheet state="visible" name="Ejemplo1" sheetId="5" r:id="rId8"/>
  </sheets>
  <definedNames/>
  <calcPr/>
  <extLst>
    <ext uri="GoogleSheetsCustomDataVersion2">
      <go:sheetsCustomData xmlns:go="http://customooxmlschemas.google.com/" r:id="rId9" roundtripDataChecksum="/ucbr/Rm++nmvs3SORh2oIC5sjBeRyAGBnydtqB/wAU="/>
    </ext>
  </extLst>
</workbook>
</file>

<file path=xl/sharedStrings.xml><?xml version="1.0" encoding="utf-8"?>
<sst xmlns="http://schemas.openxmlformats.org/spreadsheetml/2006/main" count="86" uniqueCount="45">
  <si>
    <t>Control del Sprint N°1</t>
  </si>
  <si>
    <t>Control del Sprint N°3</t>
  </si>
  <si>
    <t>Control del Sprint</t>
  </si>
  <si>
    <t>Control del Sprint N°2</t>
  </si>
  <si>
    <t>Ejemplo1</t>
  </si>
  <si>
    <t>Historias de Usuario o Spike</t>
  </si>
  <si>
    <t>horas estimadas</t>
  </si>
  <si>
    <t>DIA</t>
  </si>
  <si>
    <t>Total</t>
  </si>
  <si>
    <t>Levantamiento de requerimientos</t>
  </si>
  <si>
    <t>Desarrollo Doc : 2.1 autorevaluaciones</t>
  </si>
  <si>
    <t>Desarrollo Doc : Validación sprint</t>
  </si>
  <si>
    <t>Desarrollo Doc : Definición de vision y roles</t>
  </si>
  <si>
    <t>Desarrollo Doc : Plantilla burndown</t>
  </si>
  <si>
    <t>Desarrollo Doc : Documentación epicas e historias de usuarios</t>
  </si>
  <si>
    <t>Desarrollo Doc : PMOinformatica plantilla product backlock</t>
  </si>
  <si>
    <t>Desarrollo Doc : Documentación Sprint y Product Backlock</t>
  </si>
  <si>
    <t>Desarrollo Doc : Reunion retrospectiva 1</t>
  </si>
  <si>
    <t>Reales de producto por realizar</t>
  </si>
  <si>
    <t>Desarrollo Doc : Plantilla historias de usuarios</t>
  </si>
  <si>
    <t>Inicio desarrollo prototipado inicial de HouseCount</t>
  </si>
  <si>
    <t>Desarrollo Doc : PMOinformatica plantilla Sprint backlock</t>
  </si>
  <si>
    <t>Termino desarrollo prototipado de HouseCount</t>
  </si>
  <si>
    <t>Estimadas de producto por realizar</t>
  </si>
  <si>
    <t>Modulo Automatizado Diseño de Hogar</t>
  </si>
  <si>
    <t>Ingreso de presupuesto</t>
  </si>
  <si>
    <t>Buscador / seleccionador de materiales</t>
  </si>
  <si>
    <t>Autenticación de usuarios</t>
  </si>
  <si>
    <t>Consultar las ofertas de habitaciones.</t>
  </si>
  <si>
    <t>Generador automatico de hogar base presupuesto</t>
  </si>
  <si>
    <t>Mantención de datos</t>
  </si>
  <si>
    <t>Publicar las ofertas.</t>
  </si>
  <si>
    <t>Despublicar las ofertas.</t>
  </si>
  <si>
    <t>Sumatoria Total de materiales</t>
  </si>
  <si>
    <t>Crear una cuenta de cliente.</t>
  </si>
  <si>
    <t>Modulo Interactivo Diseño de Hogar</t>
  </si>
  <si>
    <t>Selecionador modulos de hogar</t>
  </si>
  <si>
    <t xml:space="preserve">Modificar modulos de hogar </t>
  </si>
  <si>
    <t>Eliminación modulo de hogar</t>
  </si>
  <si>
    <t>Establecer plano virtual para modulos</t>
  </si>
  <si>
    <t>Sumatoria Total por Modulos Establecidos</t>
  </si>
  <si>
    <t>Generador Plano fisico Disñor de Hogar</t>
  </si>
  <si>
    <t>Establecer apartado opción de descarga</t>
  </si>
  <si>
    <t>Establecer modulos para archivos pdf / word</t>
  </si>
  <si>
    <t>Establecer modulos excel para cotización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</si>
</sst>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7.0"/>
      <color theme="1"/>
      <name val="Calibri"/>
    </font>
    <font>
      <b/>
      <sz val="16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1" fillId="0" fontId="4" numFmtId="0" xfId="0" applyBorder="1" applyFont="1"/>
    <xf borderId="6" fillId="0" fontId="6" numFmtId="0" xfId="0" applyBorder="1" applyFont="1"/>
    <xf borderId="2" fillId="0" fontId="5" numFmtId="0" xfId="0" applyAlignment="1" applyBorder="1" applyFont="1">
      <alignment horizontal="center"/>
    </xf>
    <xf borderId="7" fillId="2" fontId="4" numFmtId="0" xfId="0" applyAlignment="1" applyBorder="1" applyFill="1" applyFont="1">
      <alignment readingOrder="0"/>
    </xf>
    <xf borderId="8" fillId="2" fontId="5" numFmtId="0" xfId="0" applyAlignment="1" applyBorder="1" applyFill="1" applyFont="1">
      <alignment horizontal="center" readingOrder="0" shrinkToFit="0" wrapText="1"/>
    </xf>
    <xf borderId="9" fillId="0" fontId="5" numFmtId="0" xfId="0" applyBorder="1" applyFont="1"/>
    <xf borderId="10" fillId="0" fontId="6" numFmtId="0" xfId="0" applyBorder="1" applyFont="1"/>
    <xf borderId="1" fillId="0" fontId="5" numFmtId="0" xfId="0" applyBorder="1" applyFont="1"/>
    <xf borderId="11" fillId="0" fontId="5" numFmtId="0" xfId="0" applyBorder="1" applyFont="1"/>
    <xf borderId="1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 shrinkToFit="0" wrapText="1"/>
    </xf>
    <xf borderId="12" fillId="0" fontId="5" numFmtId="0" xfId="0" applyAlignment="1" applyBorder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12" fillId="0" fontId="5" numFmtId="0" xfId="0" applyBorder="1" applyFont="1"/>
    <xf borderId="5" fillId="0" fontId="5" numFmtId="0" xfId="0" applyBorder="1" applyFont="1"/>
    <xf borderId="11" fillId="0" fontId="5" numFmtId="0" xfId="0" applyAlignment="1" applyBorder="1" applyFont="1">
      <alignment shrinkToFit="0" wrapText="1"/>
    </xf>
    <xf borderId="5" fillId="2" fontId="5" numFmtId="0" xfId="0" applyAlignment="1" applyBorder="1" applyFill="1" applyFont="1">
      <alignment readingOrder="0"/>
    </xf>
    <xf borderId="13" fillId="2" fontId="5" numFmtId="0" xfId="0" applyAlignment="1" applyBorder="1" applyFill="1" applyFont="1">
      <alignment horizontal="center" readingOrder="0" shrinkToFit="0" wrapText="1"/>
    </xf>
    <xf borderId="2" fillId="0" fontId="5" numFmtId="0" xfId="0" applyBorder="1" applyFont="1"/>
    <xf borderId="0" fillId="0" fontId="5" numFmtId="0" xfId="0" applyAlignment="1" applyFont="1">
      <alignment horizontal="center" shrinkToFit="0" wrapText="1"/>
    </xf>
    <xf borderId="11" fillId="0" fontId="5" numFmtId="0" xfId="0" applyAlignment="1" applyBorder="1" applyFont="1">
      <alignment horizontal="center" readingOrder="0" shrinkToFit="0" wrapText="1"/>
    </xf>
    <xf borderId="6" fillId="0" fontId="5" numFmtId="0" xfId="0" applyBorder="1" applyFont="1"/>
    <xf borderId="7" fillId="2" fontId="5" numFmtId="0" xfId="0" applyAlignment="1" applyBorder="1" applyFill="1" applyFont="1">
      <alignment readingOrder="0"/>
    </xf>
    <xf borderId="7" fillId="2" fontId="5" numFmtId="0" xfId="0" applyAlignment="1" applyBorder="1" applyFill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7" fillId="2" fontId="5" numFmtId="0" xfId="0" applyBorder="1" applyFill="1" applyFont="1"/>
    <xf borderId="8" fillId="2" fontId="5" numFmtId="0" xfId="0" applyAlignment="1" applyBorder="1" applyFill="1" applyFont="1">
      <alignment horizontal="center" shrinkToFit="0" wrapText="1"/>
    </xf>
    <xf borderId="10" fillId="0" fontId="5" numFmtId="0" xfId="0" applyBorder="1" applyFont="1"/>
    <xf borderId="14" fillId="2" fontId="5" numFmtId="0" xfId="0" applyBorder="1" applyFill="1" applyFont="1"/>
    <xf borderId="15" fillId="2" fontId="5" numFmtId="0" xfId="0" applyAlignment="1" applyBorder="1" applyFill="1" applyFont="1">
      <alignment horizontal="center" shrinkToFit="0" wrapText="1"/>
    </xf>
    <xf borderId="13" fillId="0" fontId="5" numFmtId="0" xfId="0" applyBorder="1" applyFont="1"/>
    <xf borderId="16" fillId="0" fontId="5" numFmtId="0" xfId="0" applyBorder="1" applyFont="1"/>
    <xf borderId="0" fillId="0" fontId="5" numFmtId="0" xfId="0" applyAlignment="1" applyFont="1">
      <alignment shrinkToFit="0" wrapText="1"/>
    </xf>
    <xf borderId="14" fillId="2" fontId="5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N°1'!$C$4:$H$4</c:f>
            </c:strRef>
          </c:cat>
          <c:val>
            <c:numRef>
              <c:f>'Sprint N°1'!$B$14:$H$14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N°1'!$C$4:$H$4</c:f>
            </c:strRef>
          </c:cat>
          <c:val>
            <c:numRef>
              <c:f>'Sprint N°1'!$B$16:$H$16</c:f>
              <c:numCache/>
            </c:numRef>
          </c:val>
          <c:smooth val="0"/>
        </c:ser>
        <c:axId val="2119352796"/>
        <c:axId val="1987765700"/>
      </c:lineChart>
      <c:catAx>
        <c:axId val="2119352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7765700"/>
      </c:catAx>
      <c:valAx>
        <c:axId val="1987765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1935279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Spint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N°2'!$C$4:$H$4</c:f>
            </c:strRef>
          </c:cat>
          <c:val>
            <c:numRef>
              <c:f>'Sprint N°2'!$B$12:$H$12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N°2'!$C$4:$H$4</c:f>
            </c:strRef>
          </c:cat>
          <c:val>
            <c:numRef>
              <c:f>'Sprint N°2'!$B$14:$H$14</c:f>
              <c:numCache/>
            </c:numRef>
          </c:val>
          <c:smooth val="0"/>
        </c:ser>
        <c:axId val="191010248"/>
        <c:axId val="1272334231"/>
      </c:lineChart>
      <c:catAx>
        <c:axId val="191010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2334231"/>
      </c:catAx>
      <c:valAx>
        <c:axId val="1272334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01024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Spint 3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'Spint N°3'!$C$4:$H$4</c:f>
            </c:strRef>
          </c:cat>
          <c:val>
            <c:numRef>
              <c:f>'Spint N°3'!$B$12:$H$12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'Spint N°3'!$C$4:$H$4</c:f>
            </c:strRef>
          </c:cat>
          <c:val>
            <c:numRef>
              <c:f>'Spint N°3'!$B$14:$H$14</c:f>
              <c:numCache/>
            </c:numRef>
          </c:val>
          <c:smooth val="0"/>
        </c:ser>
        <c:axId val="239060311"/>
        <c:axId val="1799121059"/>
      </c:lineChart>
      <c:catAx>
        <c:axId val="239060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99121059"/>
      </c:catAx>
      <c:valAx>
        <c:axId val="1799121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3906031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Proyecto HouseCount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burndown_Proyecto_HouseCount!$C$4:$V$4</c:f>
            </c:strRef>
          </c:cat>
          <c:val>
            <c:numRef>
              <c:f>burndown_Proyecto_HouseCount!$C$5:$V$5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burndown_Proyecto_HouseCount!$C$4:$V$4</c:f>
            </c:strRef>
          </c:cat>
          <c:val>
            <c:numRef>
              <c:f>burndown_Proyecto_HouseCount!$B$37:$V$37</c:f>
              <c:numCache/>
            </c:numRef>
          </c:val>
          <c:smooth val="0"/>
        </c:ser>
        <c:axId val="879224123"/>
        <c:axId val="894216577"/>
      </c:lineChart>
      <c:catAx>
        <c:axId val="879224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4216577"/>
      </c:catAx>
      <c:valAx>
        <c:axId val="894216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922412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Ejemplo1!$B$12:$V$12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Ejemplo1!$B$14:$V$14</c:f>
              <c:numCache/>
            </c:numRef>
          </c:val>
          <c:smooth val="0"/>
        </c:ser>
        <c:axId val="2047606879"/>
        <c:axId val="1374966024"/>
      </c:lineChart>
      <c:catAx>
        <c:axId val="2047606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4966024"/>
      </c:catAx>
      <c:valAx>
        <c:axId val="1374966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760687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3257550"/>
    <xdr:graphicFrame>
      <xdr:nvGraphicFramePr>
        <xdr:cNvPr id="80892605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3257550"/>
    <xdr:graphicFrame>
      <xdr:nvGraphicFramePr>
        <xdr:cNvPr id="860212548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3257550"/>
    <xdr:graphicFrame>
      <xdr:nvGraphicFramePr>
        <xdr:cNvPr id="676733546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38100</xdr:colOff>
      <xdr:row>47</xdr:row>
      <xdr:rowOff>95250</xdr:rowOff>
    </xdr:from>
    <xdr:ext cx="5476875" cy="5057775"/>
    <xdr:graphicFrame>
      <xdr:nvGraphicFramePr>
        <xdr:cNvPr id="107560420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3257550"/>
    <xdr:graphicFrame>
      <xdr:nvGraphicFramePr>
        <xdr:cNvPr id="26533476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86"/>
    <col customWidth="1" min="2" max="2" width="17.0"/>
    <col customWidth="1" min="3" max="3" width="4.0"/>
    <col customWidth="1" min="4" max="8" width="3.43"/>
    <col customWidth="1" min="9" max="15" width="10.71"/>
  </cols>
  <sheetData>
    <row r="1">
      <c r="A1" s="3" t="s">
        <v>0</v>
      </c>
    </row>
    <row r="3">
      <c r="A3" s="5" t="s">
        <v>5</v>
      </c>
      <c r="B3" s="5" t="s">
        <v>6</v>
      </c>
      <c r="C3" s="6" t="s">
        <v>7</v>
      </c>
      <c r="D3" s="8"/>
      <c r="E3" s="8"/>
      <c r="F3" s="8"/>
      <c r="G3" s="8"/>
      <c r="H3" s="9"/>
      <c r="I3" s="5" t="s">
        <v>8</v>
      </c>
    </row>
    <row r="4">
      <c r="A4" s="10"/>
      <c r="B4" s="10"/>
      <c r="C4" s="11">
        <v>1.0</v>
      </c>
      <c r="D4" s="11">
        <v>2.0</v>
      </c>
      <c r="E4" s="11">
        <v>3.0</v>
      </c>
      <c r="F4" s="11">
        <v>4.0</v>
      </c>
      <c r="G4" s="11">
        <v>5.0</v>
      </c>
      <c r="H4" s="11">
        <v>6.0</v>
      </c>
      <c r="I4" s="12"/>
    </row>
    <row r="5">
      <c r="A5" s="14" t="s">
        <v>9</v>
      </c>
      <c r="B5" s="15">
        <v>17.0</v>
      </c>
      <c r="C5" s="16"/>
      <c r="D5" s="17"/>
      <c r="E5" s="17"/>
      <c r="F5" s="17"/>
      <c r="G5" s="17"/>
      <c r="H5" s="17"/>
      <c r="I5" s="19">
        <f t="shared" ref="I5:I12" si="1">SUM(C5:H5)</f>
        <v>0</v>
      </c>
    </row>
    <row r="6">
      <c r="A6" s="20" t="s">
        <v>10</v>
      </c>
      <c r="B6" s="22">
        <v>3.0</v>
      </c>
      <c r="C6" s="23">
        <v>2.0</v>
      </c>
      <c r="D6" s="24"/>
      <c r="E6" s="24"/>
      <c r="F6" s="24"/>
      <c r="G6" s="24"/>
      <c r="H6" s="24"/>
      <c r="I6" s="19">
        <f t="shared" si="1"/>
        <v>2</v>
      </c>
    </row>
    <row r="7">
      <c r="A7" s="20" t="s">
        <v>12</v>
      </c>
      <c r="B7" s="22">
        <v>2.0</v>
      </c>
      <c r="C7" s="26"/>
      <c r="D7" s="25">
        <v>1.0</v>
      </c>
      <c r="E7" s="24"/>
      <c r="F7" s="24"/>
      <c r="G7" s="24"/>
      <c r="H7" s="24"/>
      <c r="I7" s="19">
        <f t="shared" si="1"/>
        <v>1</v>
      </c>
    </row>
    <row r="8">
      <c r="A8" s="20" t="s">
        <v>14</v>
      </c>
      <c r="B8" s="22">
        <v>3.0</v>
      </c>
      <c r="C8" s="26"/>
      <c r="D8" s="24"/>
      <c r="E8" s="25">
        <v>2.0</v>
      </c>
      <c r="F8" s="24"/>
      <c r="G8" s="24"/>
      <c r="H8" s="24"/>
      <c r="I8" s="19">
        <f t="shared" si="1"/>
        <v>2</v>
      </c>
    </row>
    <row r="9">
      <c r="A9" s="20" t="s">
        <v>16</v>
      </c>
      <c r="B9" s="22">
        <v>3.0</v>
      </c>
      <c r="C9" s="26"/>
      <c r="D9" s="24"/>
      <c r="E9" s="25">
        <v>2.0</v>
      </c>
      <c r="F9" s="24"/>
      <c r="G9" s="24"/>
      <c r="H9" s="24"/>
      <c r="I9" s="19">
        <f t="shared" si="1"/>
        <v>2</v>
      </c>
    </row>
    <row r="10">
      <c r="A10" s="20" t="s">
        <v>17</v>
      </c>
      <c r="B10" s="22">
        <v>1.0</v>
      </c>
      <c r="C10" s="26"/>
      <c r="D10" s="24"/>
      <c r="E10" s="24"/>
      <c r="F10" s="24"/>
      <c r="G10" s="24"/>
      <c r="H10" s="25">
        <v>1.0</v>
      </c>
      <c r="I10" s="27">
        <f t="shared" si="1"/>
        <v>1</v>
      </c>
    </row>
    <row r="11">
      <c r="A11" s="20" t="s">
        <v>19</v>
      </c>
      <c r="B11" s="22">
        <v>3.0</v>
      </c>
      <c r="C11" s="26"/>
      <c r="D11" s="24"/>
      <c r="E11" s="24"/>
      <c r="F11" s="25">
        <v>2.0</v>
      </c>
      <c r="G11" s="25">
        <v>1.0</v>
      </c>
      <c r="H11" s="24"/>
      <c r="I11" s="27">
        <f t="shared" si="1"/>
        <v>3</v>
      </c>
    </row>
    <row r="12">
      <c r="A12" s="20" t="s">
        <v>20</v>
      </c>
      <c r="B12" s="22">
        <v>3.0</v>
      </c>
      <c r="C12" s="24"/>
      <c r="D12" s="24"/>
      <c r="E12" s="24"/>
      <c r="F12" s="25"/>
      <c r="G12" s="25">
        <v>2.0</v>
      </c>
      <c r="H12" s="25">
        <v>2.0</v>
      </c>
      <c r="I12" s="27">
        <f t="shared" si="1"/>
        <v>4</v>
      </c>
    </row>
    <row r="14">
      <c r="A14" s="28" t="s">
        <v>18</v>
      </c>
      <c r="B14" s="4">
        <f>SUM(B5:B11)</f>
        <v>32</v>
      </c>
      <c r="C14" s="4">
        <f t="shared" ref="C14:H14" si="2">B14-SUM(C5:C11)</f>
        <v>30</v>
      </c>
      <c r="D14" s="4">
        <f t="shared" si="2"/>
        <v>29</v>
      </c>
      <c r="E14" s="4">
        <f t="shared" si="2"/>
        <v>25</v>
      </c>
      <c r="F14" s="4">
        <f t="shared" si="2"/>
        <v>23</v>
      </c>
      <c r="G14" s="4">
        <f t="shared" si="2"/>
        <v>22</v>
      </c>
      <c r="H14" s="4">
        <f t="shared" si="2"/>
        <v>21</v>
      </c>
    </row>
    <row r="16">
      <c r="A16" s="28" t="s">
        <v>23</v>
      </c>
      <c r="B16" s="4">
        <f>SUM(B5:B11)</f>
        <v>32</v>
      </c>
      <c r="C16" s="4">
        <f t="shared" ref="C16:H16" si="3">B16-(SUM($B$5:$B$11)/20)</f>
        <v>30.4</v>
      </c>
      <c r="D16" s="4">
        <f t="shared" si="3"/>
        <v>28.8</v>
      </c>
      <c r="E16" s="4">
        <f t="shared" si="3"/>
        <v>27.2</v>
      </c>
      <c r="F16" s="4">
        <f t="shared" si="3"/>
        <v>25.6</v>
      </c>
      <c r="G16" s="4">
        <f t="shared" si="3"/>
        <v>24</v>
      </c>
      <c r="H16" s="4">
        <f t="shared" si="3"/>
        <v>22.4</v>
      </c>
    </row>
    <row r="18">
      <c r="A18" s="24"/>
      <c r="B18" s="32"/>
      <c r="C18" s="24"/>
      <c r="D18" s="24"/>
      <c r="E18" s="24"/>
      <c r="F18" s="24"/>
      <c r="G18" s="24"/>
      <c r="H18" s="24"/>
    </row>
    <row r="19">
      <c r="A19" s="24"/>
      <c r="B19" s="32"/>
      <c r="C19" s="24"/>
      <c r="D19" s="24"/>
      <c r="E19" s="24"/>
      <c r="F19" s="24"/>
      <c r="G19" s="32"/>
      <c r="H19" s="24"/>
    </row>
    <row r="20">
      <c r="A20" s="24"/>
      <c r="B20" s="32"/>
      <c r="C20" s="24"/>
      <c r="D20" s="24"/>
      <c r="E20" s="24"/>
      <c r="F20" s="24"/>
      <c r="G20" s="32"/>
      <c r="H20" s="24"/>
    </row>
    <row r="21">
      <c r="A21" s="24"/>
      <c r="B21" s="32"/>
      <c r="C21" s="24"/>
      <c r="D21" s="24"/>
      <c r="E21" s="24"/>
      <c r="F21" s="24"/>
      <c r="G21" s="32"/>
      <c r="H21" s="24"/>
    </row>
    <row r="22">
      <c r="A22" s="24"/>
      <c r="B22" s="32"/>
      <c r="C22" s="24"/>
      <c r="D22" s="24"/>
      <c r="E22" s="24"/>
      <c r="F22" s="24"/>
      <c r="G22" s="32"/>
      <c r="H22" s="24"/>
    </row>
    <row r="23" ht="15.75" customHeight="1">
      <c r="A23" s="24"/>
      <c r="B23" s="32"/>
      <c r="C23" s="24"/>
      <c r="D23" s="24"/>
      <c r="E23" s="24"/>
      <c r="F23" s="24"/>
      <c r="G23" s="32"/>
      <c r="H23" s="24"/>
    </row>
    <row r="24" ht="15.75" customHeight="1">
      <c r="A24" s="24"/>
      <c r="B24" s="32"/>
      <c r="C24" s="24"/>
      <c r="D24" s="24"/>
      <c r="E24" s="24"/>
      <c r="F24" s="24"/>
      <c r="G24" s="32"/>
      <c r="H24" s="24"/>
    </row>
    <row r="25" ht="15.75" customHeight="1">
      <c r="A25" s="24"/>
      <c r="B25" s="32"/>
      <c r="C25" s="24"/>
      <c r="D25" s="24"/>
      <c r="E25" s="24"/>
      <c r="F25" s="24"/>
      <c r="G25" s="24"/>
      <c r="H25" s="24"/>
    </row>
    <row r="26" ht="15.75" customHeight="1">
      <c r="A26" s="24"/>
      <c r="B26" s="32"/>
      <c r="C26" s="24"/>
      <c r="D26" s="24"/>
      <c r="E26" s="24"/>
      <c r="F26" s="24"/>
      <c r="G26" s="24"/>
      <c r="H26" s="24"/>
    </row>
    <row r="27" ht="15.75" customHeight="1">
      <c r="A27" s="24"/>
      <c r="B27" s="32"/>
      <c r="C27" s="24"/>
      <c r="D27" s="24"/>
      <c r="E27" s="24"/>
      <c r="F27" s="24"/>
      <c r="G27" s="24"/>
      <c r="H27" s="2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">
    <mergeCell ref="A3:A4"/>
    <mergeCell ref="B3:B4"/>
    <mergeCell ref="C3:H3"/>
    <mergeCell ref="I3:I4"/>
    <mergeCell ref="C5:H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86"/>
    <col customWidth="1" min="2" max="2" width="17.0"/>
    <col customWidth="1" min="3" max="3" width="4.0"/>
    <col customWidth="1" min="4" max="8" width="3.43"/>
    <col customWidth="1" min="9" max="15" width="10.71"/>
  </cols>
  <sheetData>
    <row r="1">
      <c r="A1" s="3" t="s">
        <v>3</v>
      </c>
    </row>
    <row r="3">
      <c r="A3" s="5" t="s">
        <v>5</v>
      </c>
      <c r="B3" s="5" t="s">
        <v>6</v>
      </c>
      <c r="C3" s="6" t="s">
        <v>7</v>
      </c>
      <c r="D3" s="8"/>
      <c r="E3" s="8"/>
      <c r="F3" s="8"/>
      <c r="G3" s="8"/>
      <c r="H3" s="9"/>
      <c r="I3" s="5" t="s">
        <v>8</v>
      </c>
    </row>
    <row r="4">
      <c r="A4" s="10"/>
      <c r="B4" s="10"/>
      <c r="C4" s="11">
        <v>1.0</v>
      </c>
      <c r="D4" s="11">
        <v>2.0</v>
      </c>
      <c r="E4" s="11">
        <v>3.0</v>
      </c>
      <c r="F4" s="11">
        <v>4.0</v>
      </c>
      <c r="G4" s="11">
        <v>5.0</v>
      </c>
      <c r="H4" s="11">
        <v>6.0</v>
      </c>
      <c r="I4" s="12"/>
    </row>
    <row r="5">
      <c r="A5" s="14" t="s">
        <v>9</v>
      </c>
      <c r="B5" s="15">
        <v>18.0</v>
      </c>
      <c r="C5" s="16"/>
      <c r="D5" s="17"/>
      <c r="E5" s="17"/>
      <c r="F5" s="17"/>
      <c r="G5" s="17"/>
      <c r="H5" s="17"/>
      <c r="I5" s="19">
        <f t="shared" ref="I5:I10" si="1">SUM(C5:H5)</f>
        <v>0</v>
      </c>
    </row>
    <row r="6">
      <c r="A6" s="20" t="s">
        <v>11</v>
      </c>
      <c r="B6" s="22">
        <v>3.0</v>
      </c>
      <c r="C6" s="23">
        <v>2.0</v>
      </c>
      <c r="D6" s="25">
        <v>1.0</v>
      </c>
      <c r="E6" s="24"/>
      <c r="F6" s="24"/>
      <c r="G6" s="24"/>
      <c r="H6" s="24"/>
      <c r="I6" s="19">
        <f t="shared" si="1"/>
        <v>3</v>
      </c>
    </row>
    <row r="7">
      <c r="A7" s="20" t="s">
        <v>13</v>
      </c>
      <c r="B7" s="22">
        <v>2.0</v>
      </c>
      <c r="C7" s="26"/>
      <c r="D7" s="25">
        <v>2.0</v>
      </c>
      <c r="E7" s="24"/>
      <c r="F7" s="24"/>
      <c r="G7" s="24"/>
      <c r="H7" s="24"/>
      <c r="I7" s="19">
        <f t="shared" si="1"/>
        <v>2</v>
      </c>
    </row>
    <row r="8">
      <c r="A8" s="20" t="s">
        <v>15</v>
      </c>
      <c r="B8" s="22">
        <v>3.0</v>
      </c>
      <c r="C8" s="26"/>
      <c r="D8" s="24"/>
      <c r="E8" s="25">
        <v>3.0</v>
      </c>
      <c r="F8" s="24"/>
      <c r="G8" s="24"/>
      <c r="H8" s="24"/>
      <c r="I8" s="19">
        <f t="shared" si="1"/>
        <v>3</v>
      </c>
    </row>
    <row r="9">
      <c r="A9" s="20" t="s">
        <v>21</v>
      </c>
      <c r="B9" s="22">
        <v>3.0</v>
      </c>
      <c r="C9" s="26"/>
      <c r="D9" s="24"/>
      <c r="E9" s="25"/>
      <c r="F9" s="25">
        <v>3.0</v>
      </c>
      <c r="G9" s="24"/>
      <c r="H9" s="24"/>
      <c r="I9" s="19">
        <f t="shared" si="1"/>
        <v>3</v>
      </c>
    </row>
    <row r="10">
      <c r="A10" s="20" t="s">
        <v>22</v>
      </c>
      <c r="B10" s="22">
        <v>1.0</v>
      </c>
      <c r="C10" s="26"/>
      <c r="D10" s="24"/>
      <c r="E10" s="24"/>
      <c r="F10" s="24"/>
      <c r="G10" s="25">
        <v>3.0</v>
      </c>
      <c r="H10" s="25">
        <v>2.0</v>
      </c>
      <c r="I10" s="27">
        <f t="shared" si="1"/>
        <v>5</v>
      </c>
    </row>
    <row r="12">
      <c r="A12" s="28" t="s">
        <v>18</v>
      </c>
      <c r="B12" s="4">
        <f>SUM(B5:B10)</f>
        <v>30</v>
      </c>
      <c r="C12" s="4">
        <f t="shared" ref="C12:H12" si="2">B12-SUM(C5:C10)</f>
        <v>28</v>
      </c>
      <c r="D12" s="4">
        <f t="shared" si="2"/>
        <v>25</v>
      </c>
      <c r="E12" s="4">
        <f t="shared" si="2"/>
        <v>22</v>
      </c>
      <c r="F12" s="4">
        <f t="shared" si="2"/>
        <v>19</v>
      </c>
      <c r="G12" s="4">
        <f t="shared" si="2"/>
        <v>16</v>
      </c>
      <c r="H12" s="4">
        <f t="shared" si="2"/>
        <v>14</v>
      </c>
    </row>
    <row r="14">
      <c r="A14" s="28" t="s">
        <v>23</v>
      </c>
      <c r="B14" s="4">
        <f>SUM(B5:B10)</f>
        <v>30</v>
      </c>
      <c r="C14" s="4">
        <f t="shared" ref="C14:H14" si="3">B14-(SUM($B$5:$B$10)/20)</f>
        <v>28.5</v>
      </c>
      <c r="D14" s="4">
        <f t="shared" si="3"/>
        <v>27</v>
      </c>
      <c r="E14" s="4">
        <f t="shared" si="3"/>
        <v>25.5</v>
      </c>
      <c r="F14" s="4">
        <f t="shared" si="3"/>
        <v>24</v>
      </c>
      <c r="G14" s="4">
        <f t="shared" si="3"/>
        <v>22.5</v>
      </c>
      <c r="H14" s="4">
        <f t="shared" si="3"/>
        <v>21</v>
      </c>
    </row>
    <row r="16">
      <c r="A16" s="24"/>
      <c r="B16" s="32"/>
      <c r="C16" s="24"/>
      <c r="D16" s="24"/>
      <c r="E16" s="24"/>
      <c r="F16" s="24"/>
      <c r="G16" s="24"/>
      <c r="H16" s="24"/>
    </row>
    <row r="17">
      <c r="A17" s="24"/>
      <c r="B17" s="32"/>
      <c r="C17" s="24"/>
      <c r="D17" s="24"/>
      <c r="E17" s="24"/>
      <c r="F17" s="24"/>
      <c r="G17" s="32"/>
      <c r="H17" s="24"/>
    </row>
    <row r="18">
      <c r="A18" s="24"/>
      <c r="B18" s="32"/>
      <c r="C18" s="24"/>
      <c r="D18" s="24"/>
      <c r="E18" s="24"/>
      <c r="F18" s="24"/>
      <c r="G18" s="32"/>
      <c r="H18" s="24"/>
    </row>
    <row r="19">
      <c r="A19" s="24"/>
      <c r="B19" s="32"/>
      <c r="C19" s="24"/>
      <c r="D19" s="24"/>
      <c r="E19" s="24"/>
      <c r="F19" s="24"/>
      <c r="G19" s="32"/>
      <c r="H19" s="24"/>
    </row>
    <row r="20">
      <c r="A20" s="24"/>
      <c r="B20" s="32"/>
      <c r="C20" s="24"/>
      <c r="D20" s="24"/>
      <c r="E20" s="24"/>
      <c r="F20" s="24"/>
      <c r="G20" s="32"/>
      <c r="H20" s="24"/>
    </row>
    <row r="21" ht="15.75" customHeight="1">
      <c r="A21" s="24"/>
      <c r="B21" s="32"/>
      <c r="C21" s="24"/>
      <c r="D21" s="24"/>
      <c r="E21" s="24"/>
      <c r="F21" s="24"/>
      <c r="G21" s="32"/>
      <c r="H21" s="24"/>
    </row>
    <row r="22" ht="15.75" customHeight="1">
      <c r="A22" s="24"/>
      <c r="B22" s="32"/>
      <c r="C22" s="24"/>
      <c r="D22" s="24"/>
      <c r="E22" s="24"/>
      <c r="F22" s="24"/>
      <c r="G22" s="32"/>
      <c r="H22" s="24"/>
    </row>
    <row r="23" ht="15.75" customHeight="1">
      <c r="A23" s="24"/>
      <c r="B23" s="32"/>
      <c r="C23" s="24"/>
      <c r="D23" s="24"/>
      <c r="E23" s="24"/>
      <c r="F23" s="24"/>
      <c r="G23" s="24"/>
      <c r="H23" s="24"/>
    </row>
    <row r="24" ht="15.75" customHeight="1">
      <c r="A24" s="24"/>
      <c r="B24" s="32"/>
      <c r="C24" s="24"/>
      <c r="D24" s="24"/>
      <c r="E24" s="24"/>
      <c r="F24" s="24"/>
      <c r="G24" s="24"/>
      <c r="H24" s="24"/>
    </row>
    <row r="25" ht="15.75" customHeight="1">
      <c r="A25" s="24"/>
      <c r="B25" s="32"/>
      <c r="C25" s="24"/>
      <c r="D25" s="24"/>
      <c r="E25" s="24"/>
      <c r="F25" s="24"/>
      <c r="G25" s="24"/>
      <c r="H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H3"/>
    <mergeCell ref="I3:I4"/>
    <mergeCell ref="C5:H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86"/>
    <col customWidth="1" min="2" max="2" width="17.0"/>
    <col customWidth="1" min="3" max="3" width="4.0"/>
    <col customWidth="1" min="4" max="8" width="3.43"/>
    <col customWidth="1" min="9" max="15" width="10.71"/>
  </cols>
  <sheetData>
    <row r="1">
      <c r="A1" s="1" t="s">
        <v>1</v>
      </c>
    </row>
    <row r="3">
      <c r="A3" s="5" t="s">
        <v>5</v>
      </c>
      <c r="B3" s="5" t="s">
        <v>6</v>
      </c>
      <c r="C3" s="6" t="s">
        <v>7</v>
      </c>
      <c r="D3" s="8"/>
      <c r="E3" s="8"/>
      <c r="F3" s="8"/>
      <c r="G3" s="8"/>
      <c r="H3" s="9"/>
      <c r="I3" s="5" t="s">
        <v>8</v>
      </c>
    </row>
    <row r="4">
      <c r="A4" s="10"/>
      <c r="B4" s="10"/>
      <c r="C4" s="11">
        <v>1.0</v>
      </c>
      <c r="D4" s="11">
        <v>2.0</v>
      </c>
      <c r="E4" s="11">
        <v>3.0</v>
      </c>
      <c r="F4" s="11">
        <v>4.0</v>
      </c>
      <c r="G4" s="11">
        <v>5.0</v>
      </c>
      <c r="H4" s="11">
        <v>6.0</v>
      </c>
      <c r="I4" s="12"/>
    </row>
    <row r="5">
      <c r="A5" s="14" t="s">
        <v>9</v>
      </c>
      <c r="B5" s="15">
        <v>18.0</v>
      </c>
      <c r="C5" s="16"/>
      <c r="D5" s="17"/>
      <c r="E5" s="17"/>
      <c r="F5" s="17"/>
      <c r="G5" s="17"/>
      <c r="H5" s="17"/>
      <c r="I5" s="19">
        <f t="shared" ref="I5:I10" si="1">SUM(C5:H5)</f>
        <v>0</v>
      </c>
    </row>
    <row r="6">
      <c r="A6" s="20"/>
      <c r="B6" s="22">
        <v>3.0</v>
      </c>
      <c r="C6" s="23">
        <v>2.0</v>
      </c>
      <c r="D6" s="25">
        <v>1.0</v>
      </c>
      <c r="E6" s="24"/>
      <c r="F6" s="24"/>
      <c r="G6" s="24"/>
      <c r="H6" s="24"/>
      <c r="I6" s="19">
        <f t="shared" si="1"/>
        <v>3</v>
      </c>
    </row>
    <row r="7">
      <c r="A7" s="20"/>
      <c r="B7" s="22">
        <v>2.0</v>
      </c>
      <c r="C7" s="26"/>
      <c r="D7" s="25">
        <v>2.0</v>
      </c>
      <c r="E7" s="24"/>
      <c r="F7" s="24"/>
      <c r="G7" s="24"/>
      <c r="H7" s="24"/>
      <c r="I7" s="19">
        <f t="shared" si="1"/>
        <v>2</v>
      </c>
    </row>
    <row r="8">
      <c r="A8" s="20"/>
      <c r="B8" s="22">
        <v>3.0</v>
      </c>
      <c r="C8" s="26"/>
      <c r="D8" s="24"/>
      <c r="E8" s="25">
        <v>3.0</v>
      </c>
      <c r="F8" s="24"/>
      <c r="G8" s="24"/>
      <c r="H8" s="24"/>
      <c r="I8" s="19">
        <f t="shared" si="1"/>
        <v>3</v>
      </c>
    </row>
    <row r="9">
      <c r="A9" s="20"/>
      <c r="B9" s="22">
        <v>3.0</v>
      </c>
      <c r="C9" s="26"/>
      <c r="D9" s="24"/>
      <c r="E9" s="25"/>
      <c r="F9" s="25">
        <v>3.0</v>
      </c>
      <c r="G9" s="24"/>
      <c r="H9" s="24"/>
      <c r="I9" s="19">
        <f t="shared" si="1"/>
        <v>3</v>
      </c>
    </row>
    <row r="10">
      <c r="A10" s="20"/>
      <c r="B10" s="22">
        <v>1.0</v>
      </c>
      <c r="C10" s="26"/>
      <c r="D10" s="24"/>
      <c r="E10" s="24"/>
      <c r="F10" s="24"/>
      <c r="G10" s="25">
        <v>3.0</v>
      </c>
      <c r="H10" s="25">
        <v>2.0</v>
      </c>
      <c r="I10" s="27">
        <f t="shared" si="1"/>
        <v>5</v>
      </c>
    </row>
    <row r="12">
      <c r="A12" s="28" t="s">
        <v>18</v>
      </c>
      <c r="B12" s="4">
        <f>SUM(B5:B10)</f>
        <v>30</v>
      </c>
      <c r="C12" s="4">
        <f t="shared" ref="C12:H12" si="2">B12-SUM(C5:C10)</f>
        <v>28</v>
      </c>
      <c r="D12" s="4">
        <f t="shared" si="2"/>
        <v>25</v>
      </c>
      <c r="E12" s="4">
        <f t="shared" si="2"/>
        <v>22</v>
      </c>
      <c r="F12" s="4">
        <f t="shared" si="2"/>
        <v>19</v>
      </c>
      <c r="G12" s="4">
        <f t="shared" si="2"/>
        <v>16</v>
      </c>
      <c r="H12" s="4">
        <f t="shared" si="2"/>
        <v>14</v>
      </c>
    </row>
    <row r="14">
      <c r="A14" s="28" t="s">
        <v>23</v>
      </c>
      <c r="B14" s="4">
        <f>SUM(B5:B10)</f>
        <v>30</v>
      </c>
      <c r="C14" s="4">
        <f t="shared" ref="C14:H14" si="3">B14-(SUM($B$5:$B$10)/20)</f>
        <v>28.5</v>
      </c>
      <c r="D14" s="4">
        <f t="shared" si="3"/>
        <v>27</v>
      </c>
      <c r="E14" s="4">
        <f t="shared" si="3"/>
        <v>25.5</v>
      </c>
      <c r="F14" s="4">
        <f t="shared" si="3"/>
        <v>24</v>
      </c>
      <c r="G14" s="4">
        <f t="shared" si="3"/>
        <v>22.5</v>
      </c>
      <c r="H14" s="4">
        <f t="shared" si="3"/>
        <v>21</v>
      </c>
    </row>
    <row r="16">
      <c r="A16" s="24"/>
      <c r="B16" s="32"/>
      <c r="C16" s="24"/>
      <c r="D16" s="24"/>
      <c r="E16" s="24"/>
      <c r="F16" s="24"/>
      <c r="G16" s="24"/>
      <c r="H16" s="24"/>
    </row>
    <row r="17">
      <c r="A17" s="24"/>
      <c r="B17" s="32"/>
      <c r="C17" s="24"/>
      <c r="D17" s="24"/>
      <c r="E17" s="24"/>
      <c r="F17" s="24"/>
      <c r="G17" s="32"/>
      <c r="H17" s="24"/>
    </row>
    <row r="18">
      <c r="A18" s="24"/>
      <c r="B18" s="32"/>
      <c r="C18" s="24"/>
      <c r="D18" s="24"/>
      <c r="E18" s="24"/>
      <c r="F18" s="24"/>
      <c r="G18" s="32"/>
      <c r="H18" s="24"/>
    </row>
    <row r="19">
      <c r="A19" s="24"/>
      <c r="B19" s="32"/>
      <c r="C19" s="24"/>
      <c r="D19" s="24"/>
      <c r="E19" s="24"/>
      <c r="F19" s="24"/>
      <c r="G19" s="32"/>
      <c r="H19" s="24"/>
    </row>
    <row r="20">
      <c r="A20" s="24"/>
      <c r="B20" s="32"/>
      <c r="C20" s="24"/>
      <c r="D20" s="24"/>
      <c r="E20" s="24"/>
      <c r="F20" s="24"/>
      <c r="G20" s="32"/>
      <c r="H20" s="24"/>
    </row>
    <row r="21" ht="15.75" customHeight="1">
      <c r="A21" s="24"/>
      <c r="B21" s="32"/>
      <c r="C21" s="24"/>
      <c r="D21" s="24"/>
      <c r="E21" s="24"/>
      <c r="F21" s="24"/>
      <c r="G21" s="32"/>
      <c r="H21" s="24"/>
    </row>
    <row r="22" ht="15.75" customHeight="1">
      <c r="A22" s="24"/>
      <c r="B22" s="32"/>
      <c r="C22" s="24"/>
      <c r="D22" s="24"/>
      <c r="E22" s="24"/>
      <c r="F22" s="24"/>
      <c r="G22" s="32"/>
      <c r="H22" s="24"/>
    </row>
    <row r="23" ht="15.75" customHeight="1">
      <c r="A23" s="24"/>
      <c r="B23" s="32"/>
      <c r="C23" s="24"/>
      <c r="D23" s="24"/>
      <c r="E23" s="24"/>
      <c r="F23" s="24"/>
      <c r="G23" s="24"/>
      <c r="H23" s="24"/>
    </row>
    <row r="24" ht="15.75" customHeight="1">
      <c r="A24" s="24"/>
      <c r="B24" s="32"/>
      <c r="C24" s="24"/>
      <c r="D24" s="24"/>
      <c r="E24" s="24"/>
      <c r="F24" s="24"/>
      <c r="G24" s="24"/>
      <c r="H24" s="24"/>
    </row>
    <row r="25" ht="15.75" customHeight="1">
      <c r="A25" s="24"/>
      <c r="B25" s="32"/>
      <c r="C25" s="24"/>
      <c r="D25" s="24"/>
      <c r="E25" s="24"/>
      <c r="F25" s="24"/>
      <c r="G25" s="24"/>
      <c r="H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H3"/>
    <mergeCell ref="I3:I4"/>
    <mergeCell ref="C5:H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86"/>
    <col customWidth="1" min="2" max="2" width="17.0"/>
    <col customWidth="1" min="3" max="3" width="4.0"/>
    <col customWidth="1" min="4" max="122" width="3.43"/>
    <col customWidth="1" min="123" max="129" width="10.71"/>
  </cols>
  <sheetData>
    <row r="1">
      <c r="A1" s="2" t="s">
        <v>2</v>
      </c>
      <c r="B1" s="4" t="s">
        <v>4</v>
      </c>
    </row>
    <row r="3">
      <c r="A3" s="7" t="s">
        <v>5</v>
      </c>
      <c r="B3" s="7" t="s">
        <v>6</v>
      </c>
      <c r="C3" s="13" t="s">
        <v>7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9"/>
      <c r="DS3" s="7" t="s">
        <v>8</v>
      </c>
    </row>
    <row r="4">
      <c r="A4" s="10"/>
      <c r="B4" s="10"/>
      <c r="C4" s="18">
        <v>1.0</v>
      </c>
      <c r="D4" s="18">
        <v>2.0</v>
      </c>
      <c r="E4" s="18">
        <v>3.0</v>
      </c>
      <c r="F4" s="18">
        <v>4.0</v>
      </c>
      <c r="G4" s="18">
        <v>5.0</v>
      </c>
      <c r="H4" s="18">
        <v>6.0</v>
      </c>
      <c r="I4" s="18">
        <v>7.0</v>
      </c>
      <c r="J4" s="18">
        <v>8.0</v>
      </c>
      <c r="K4" s="18">
        <v>9.0</v>
      </c>
      <c r="L4" s="18">
        <v>10.0</v>
      </c>
      <c r="M4" s="18">
        <v>11.0</v>
      </c>
      <c r="N4" s="18">
        <v>12.0</v>
      </c>
      <c r="O4" s="18">
        <v>13.0</v>
      </c>
      <c r="P4" s="18">
        <v>14.0</v>
      </c>
      <c r="Q4" s="18">
        <v>15.0</v>
      </c>
      <c r="R4" s="18">
        <v>16.0</v>
      </c>
      <c r="S4" s="18">
        <v>17.0</v>
      </c>
      <c r="T4" s="18">
        <v>18.0</v>
      </c>
      <c r="U4" s="18">
        <v>19.0</v>
      </c>
      <c r="V4" s="18">
        <v>20.0</v>
      </c>
      <c r="W4" s="21">
        <v>21.0</v>
      </c>
      <c r="X4" s="18">
        <v>22.0</v>
      </c>
      <c r="Y4" s="18">
        <v>23.0</v>
      </c>
      <c r="Z4" s="18">
        <v>24.0</v>
      </c>
      <c r="AA4" s="18">
        <v>25.0</v>
      </c>
      <c r="AB4" s="18">
        <v>26.0</v>
      </c>
      <c r="AC4" s="18">
        <v>27.0</v>
      </c>
      <c r="AD4" s="18">
        <v>28.0</v>
      </c>
      <c r="AE4" s="18">
        <v>29.0</v>
      </c>
      <c r="AF4" s="18">
        <v>30.0</v>
      </c>
      <c r="AG4" s="18">
        <v>31.0</v>
      </c>
      <c r="AH4" s="18">
        <v>32.0</v>
      </c>
      <c r="AI4" s="18">
        <v>33.0</v>
      </c>
      <c r="AJ4" s="18">
        <v>34.0</v>
      </c>
      <c r="AK4" s="18">
        <v>35.0</v>
      </c>
      <c r="AL4" s="18">
        <v>36.0</v>
      </c>
      <c r="AM4" s="18">
        <v>37.0</v>
      </c>
      <c r="AN4" s="18">
        <v>38.0</v>
      </c>
      <c r="AO4" s="18">
        <v>39.0</v>
      </c>
      <c r="AP4" s="18">
        <v>40.0</v>
      </c>
      <c r="AQ4" s="18">
        <v>41.0</v>
      </c>
      <c r="AR4" s="18">
        <v>42.0</v>
      </c>
      <c r="AS4" s="18">
        <v>43.0</v>
      </c>
      <c r="AT4" s="18">
        <v>44.0</v>
      </c>
      <c r="AU4" s="18">
        <v>45.0</v>
      </c>
      <c r="AV4" s="21">
        <v>46.0</v>
      </c>
      <c r="AW4" s="18">
        <v>47.0</v>
      </c>
      <c r="AX4" s="18">
        <v>48.0</v>
      </c>
      <c r="AY4" s="18">
        <v>49.0</v>
      </c>
      <c r="AZ4" s="18">
        <v>50.0</v>
      </c>
      <c r="BA4" s="18">
        <v>51.0</v>
      </c>
      <c r="BB4" s="18">
        <v>52.0</v>
      </c>
      <c r="BC4" s="18">
        <v>53.0</v>
      </c>
      <c r="BD4" s="18">
        <v>54.0</v>
      </c>
      <c r="BE4" s="18">
        <v>55.0</v>
      </c>
      <c r="BF4" s="18">
        <v>56.0</v>
      </c>
      <c r="BG4" s="18">
        <v>57.0</v>
      </c>
      <c r="BH4" s="18">
        <v>58.0</v>
      </c>
      <c r="BI4" s="18">
        <v>59.0</v>
      </c>
      <c r="BJ4" s="18">
        <v>60.0</v>
      </c>
      <c r="BK4" s="18">
        <v>61.0</v>
      </c>
      <c r="BL4" s="18">
        <v>62.0</v>
      </c>
      <c r="BM4" s="18">
        <v>63.0</v>
      </c>
      <c r="BN4" s="18">
        <v>64.0</v>
      </c>
      <c r="BO4" s="18">
        <v>65.0</v>
      </c>
      <c r="BP4" s="18">
        <v>66.0</v>
      </c>
      <c r="BQ4" s="18">
        <v>67.0</v>
      </c>
      <c r="BR4" s="18">
        <v>68.0</v>
      </c>
      <c r="BS4" s="18">
        <v>69.0</v>
      </c>
      <c r="BT4" s="18">
        <v>70.0</v>
      </c>
      <c r="BU4" s="21">
        <v>71.0</v>
      </c>
      <c r="BV4" s="18">
        <v>72.0</v>
      </c>
      <c r="BW4" s="18">
        <v>73.0</v>
      </c>
      <c r="BX4" s="18">
        <v>74.0</v>
      </c>
      <c r="BY4" s="18">
        <v>75.0</v>
      </c>
      <c r="BZ4" s="18">
        <v>76.0</v>
      </c>
      <c r="CA4" s="18">
        <v>77.0</v>
      </c>
      <c r="CB4" s="18">
        <v>78.0</v>
      </c>
      <c r="CC4" s="18">
        <v>79.0</v>
      </c>
      <c r="CD4" s="18">
        <v>80.0</v>
      </c>
      <c r="CE4" s="18">
        <v>81.0</v>
      </c>
      <c r="CF4" s="18">
        <v>82.0</v>
      </c>
      <c r="CG4" s="18">
        <v>83.0</v>
      </c>
      <c r="CH4" s="18">
        <v>84.0</v>
      </c>
      <c r="CI4" s="18">
        <v>85.0</v>
      </c>
      <c r="CJ4" s="18">
        <v>86.0</v>
      </c>
      <c r="CK4" s="18">
        <v>87.0</v>
      </c>
      <c r="CL4" s="18">
        <v>88.0</v>
      </c>
      <c r="CM4" s="18">
        <v>89.0</v>
      </c>
      <c r="CN4" s="18">
        <v>90.0</v>
      </c>
      <c r="CO4" s="18">
        <v>91.0</v>
      </c>
      <c r="CP4" s="18">
        <v>92.0</v>
      </c>
      <c r="CQ4" s="18">
        <v>93.0</v>
      </c>
      <c r="CR4" s="18">
        <v>94.0</v>
      </c>
      <c r="CS4" s="18">
        <v>95.0</v>
      </c>
      <c r="CT4" s="21">
        <v>96.0</v>
      </c>
      <c r="CU4" s="18">
        <v>97.0</v>
      </c>
      <c r="CV4" s="18">
        <v>98.0</v>
      </c>
      <c r="CW4" s="18">
        <v>99.0</v>
      </c>
      <c r="CX4" s="18">
        <v>100.0</v>
      </c>
      <c r="CY4" s="18">
        <v>101.0</v>
      </c>
      <c r="CZ4" s="18">
        <v>102.0</v>
      </c>
      <c r="DA4" s="18">
        <v>103.0</v>
      </c>
      <c r="DB4" s="18">
        <v>104.0</v>
      </c>
      <c r="DC4" s="18">
        <v>105.0</v>
      </c>
      <c r="DD4" s="18">
        <v>106.0</v>
      </c>
      <c r="DE4" s="18">
        <v>107.0</v>
      </c>
      <c r="DF4" s="18">
        <v>108.0</v>
      </c>
      <c r="DG4" s="18">
        <v>109.0</v>
      </c>
      <c r="DH4" s="18">
        <v>110.0</v>
      </c>
      <c r="DI4" s="18">
        <v>111.0</v>
      </c>
      <c r="DJ4" s="18">
        <v>112.0</v>
      </c>
      <c r="DK4" s="18">
        <v>113.0</v>
      </c>
      <c r="DL4" s="18">
        <v>114.0</v>
      </c>
      <c r="DM4" s="18">
        <v>115.0</v>
      </c>
      <c r="DN4" s="18">
        <v>116.0</v>
      </c>
      <c r="DO4" s="18">
        <v>117.0</v>
      </c>
      <c r="DP4" s="18">
        <v>118.0</v>
      </c>
      <c r="DQ4" s="18">
        <v>119.0</v>
      </c>
      <c r="DR4" s="18">
        <v>120.0</v>
      </c>
      <c r="DS4" s="12"/>
    </row>
    <row r="5">
      <c r="A5" s="29" t="s">
        <v>9</v>
      </c>
      <c r="B5" s="30">
        <v>28.0</v>
      </c>
      <c r="C5" s="31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9"/>
    </row>
    <row r="6">
      <c r="A6" s="20" t="s">
        <v>10</v>
      </c>
      <c r="B6" s="33">
        <v>3.0</v>
      </c>
      <c r="C6" s="23">
        <v>2.0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34">
        <f t="shared" ref="DS6:DS32" si="1">SUM(C6:V6)</f>
        <v>2</v>
      </c>
    </row>
    <row r="7">
      <c r="A7" s="20" t="s">
        <v>12</v>
      </c>
      <c r="B7" s="33">
        <v>2.0</v>
      </c>
      <c r="C7" s="26"/>
      <c r="D7" s="25">
        <v>1.0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34">
        <f t="shared" si="1"/>
        <v>1</v>
      </c>
    </row>
    <row r="8">
      <c r="A8" s="20" t="s">
        <v>14</v>
      </c>
      <c r="B8" s="33">
        <v>3.0</v>
      </c>
      <c r="C8" s="26"/>
      <c r="D8" s="24"/>
      <c r="E8" s="25">
        <v>2.0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34">
        <f t="shared" si="1"/>
        <v>2</v>
      </c>
    </row>
    <row r="9">
      <c r="A9" s="20" t="s">
        <v>16</v>
      </c>
      <c r="B9" s="33">
        <v>3.0</v>
      </c>
      <c r="C9" s="26"/>
      <c r="D9" s="24"/>
      <c r="E9" s="25">
        <v>2.0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34">
        <f t="shared" si="1"/>
        <v>2</v>
      </c>
    </row>
    <row r="10">
      <c r="A10" s="20" t="s">
        <v>17</v>
      </c>
      <c r="B10" s="33">
        <v>1.0</v>
      </c>
      <c r="C10" s="26"/>
      <c r="D10" s="24"/>
      <c r="E10" s="24"/>
      <c r="F10" s="24"/>
      <c r="G10" s="24"/>
      <c r="H10" s="25">
        <v>1.0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34">
        <f t="shared" si="1"/>
        <v>1</v>
      </c>
    </row>
    <row r="11">
      <c r="A11" s="20" t="s">
        <v>19</v>
      </c>
      <c r="B11" s="33">
        <v>3.0</v>
      </c>
      <c r="C11" s="26"/>
      <c r="D11" s="24"/>
      <c r="E11" s="24"/>
      <c r="F11" s="25">
        <v>2.0</v>
      </c>
      <c r="G11" s="25">
        <v>1.0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34">
        <f t="shared" si="1"/>
        <v>3</v>
      </c>
    </row>
    <row r="12">
      <c r="A12" s="20" t="s">
        <v>20</v>
      </c>
      <c r="B12" s="33">
        <v>3.0</v>
      </c>
      <c r="C12" s="24"/>
      <c r="D12" s="24"/>
      <c r="E12" s="24"/>
      <c r="F12" s="25"/>
      <c r="G12" s="25">
        <v>2.0</v>
      </c>
      <c r="H12" s="25">
        <v>2.0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34">
        <f t="shared" si="1"/>
        <v>4</v>
      </c>
    </row>
    <row r="13">
      <c r="A13" s="20" t="s">
        <v>11</v>
      </c>
      <c r="B13" s="33">
        <v>3.0</v>
      </c>
      <c r="C13" s="24"/>
      <c r="D13" s="24"/>
      <c r="E13" s="24"/>
      <c r="F13" s="24"/>
      <c r="G13" s="24"/>
      <c r="H13" s="24"/>
      <c r="I13" s="25">
        <v>2.0</v>
      </c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34">
        <f t="shared" si="1"/>
        <v>2</v>
      </c>
    </row>
    <row r="14">
      <c r="A14" s="20" t="s">
        <v>13</v>
      </c>
      <c r="B14" s="33">
        <v>2.0</v>
      </c>
      <c r="C14" s="24"/>
      <c r="D14" s="24"/>
      <c r="E14" s="24"/>
      <c r="F14" s="24"/>
      <c r="G14" s="24"/>
      <c r="H14" s="24"/>
      <c r="I14" s="24"/>
      <c r="J14" s="25">
        <v>2.0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34">
        <f t="shared" si="1"/>
        <v>2</v>
      </c>
    </row>
    <row r="15">
      <c r="A15" s="20" t="s">
        <v>15</v>
      </c>
      <c r="B15" s="33">
        <v>3.0</v>
      </c>
      <c r="C15" s="24"/>
      <c r="D15" s="24"/>
      <c r="E15" s="24"/>
      <c r="F15" s="24"/>
      <c r="G15" s="24"/>
      <c r="H15" s="24"/>
      <c r="I15" s="24"/>
      <c r="J15" s="24"/>
      <c r="K15" s="25">
        <v>3.0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34">
        <f t="shared" si="1"/>
        <v>3</v>
      </c>
    </row>
    <row r="16">
      <c r="A16" s="20" t="s">
        <v>21</v>
      </c>
      <c r="B16" s="33">
        <v>3.0</v>
      </c>
      <c r="C16" s="24"/>
      <c r="D16" s="24"/>
      <c r="E16" s="24"/>
      <c r="F16" s="24"/>
      <c r="G16" s="24"/>
      <c r="H16" s="24"/>
      <c r="I16" s="24"/>
      <c r="J16" s="24"/>
      <c r="K16" s="25"/>
      <c r="L16" s="25">
        <v>3.0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34">
        <f t="shared" si="1"/>
        <v>3</v>
      </c>
    </row>
    <row r="17">
      <c r="A17" s="20" t="s">
        <v>22</v>
      </c>
      <c r="B17" s="33">
        <v>1.0</v>
      </c>
      <c r="I17" s="24"/>
      <c r="J17" s="24"/>
      <c r="K17" s="24"/>
      <c r="L17" s="24"/>
      <c r="M17" s="25">
        <v>3.0</v>
      </c>
      <c r="N17" s="25">
        <v>2.0</v>
      </c>
      <c r="DS17" s="34">
        <f t="shared" si="1"/>
        <v>5</v>
      </c>
    </row>
    <row r="18">
      <c r="A18" s="35" t="s">
        <v>24</v>
      </c>
      <c r="B18" s="36">
        <v>8.0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34">
        <f t="shared" si="1"/>
        <v>0</v>
      </c>
    </row>
    <row r="19">
      <c r="A19" s="20" t="s">
        <v>25</v>
      </c>
      <c r="B19" s="37"/>
      <c r="C19" s="2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34">
        <f t="shared" si="1"/>
        <v>0</v>
      </c>
    </row>
    <row r="20">
      <c r="A20" s="20" t="s">
        <v>26</v>
      </c>
      <c r="B20" s="37"/>
      <c r="C20" s="2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34">
        <f t="shared" si="1"/>
        <v>0</v>
      </c>
    </row>
    <row r="21">
      <c r="A21" s="20" t="s">
        <v>29</v>
      </c>
      <c r="B21" s="37"/>
      <c r="C21" s="2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34">
        <f t="shared" si="1"/>
        <v>0</v>
      </c>
    </row>
    <row r="22">
      <c r="A22" s="20" t="s">
        <v>33</v>
      </c>
      <c r="B22" s="37"/>
      <c r="C22" s="26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34">
        <f t="shared" si="1"/>
        <v>0</v>
      </c>
    </row>
    <row r="23">
      <c r="A23" s="46" t="s">
        <v>35</v>
      </c>
      <c r="B23" s="42">
        <v>34.0</v>
      </c>
      <c r="C23" s="26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34">
        <f t="shared" si="1"/>
        <v>0</v>
      </c>
    </row>
    <row r="24">
      <c r="A24" s="20" t="s">
        <v>36</v>
      </c>
      <c r="B24" s="37"/>
      <c r="C24" s="26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34">
        <f t="shared" si="1"/>
        <v>0</v>
      </c>
    </row>
    <row r="25">
      <c r="A25" s="20" t="s">
        <v>37</v>
      </c>
      <c r="B25" s="37"/>
      <c r="C25" s="26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34">
        <f t="shared" si="1"/>
        <v>0</v>
      </c>
    </row>
    <row r="26">
      <c r="A26" s="20" t="s">
        <v>38</v>
      </c>
      <c r="B26" s="37"/>
      <c r="C26" s="26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34">
        <f t="shared" si="1"/>
        <v>0</v>
      </c>
    </row>
    <row r="27">
      <c r="A27" s="20" t="s">
        <v>39</v>
      </c>
      <c r="B27" s="37"/>
      <c r="C27" s="26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34">
        <f t="shared" si="1"/>
        <v>0</v>
      </c>
    </row>
    <row r="28">
      <c r="A28" s="20" t="s">
        <v>40</v>
      </c>
      <c r="B28" s="37"/>
      <c r="C28" s="26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34">
        <f t="shared" si="1"/>
        <v>0</v>
      </c>
    </row>
    <row r="29">
      <c r="A29" s="46" t="s">
        <v>41</v>
      </c>
      <c r="B29" s="42"/>
      <c r="C29" s="26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34">
        <f t="shared" si="1"/>
        <v>0</v>
      </c>
    </row>
    <row r="30">
      <c r="A30" s="20" t="s">
        <v>42</v>
      </c>
      <c r="B30" s="37"/>
      <c r="C30" s="26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34">
        <f t="shared" si="1"/>
        <v>0</v>
      </c>
    </row>
    <row r="31">
      <c r="A31" s="20" t="s">
        <v>43</v>
      </c>
      <c r="B31" s="37"/>
      <c r="C31" s="26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34">
        <f t="shared" si="1"/>
        <v>0</v>
      </c>
    </row>
    <row r="32">
      <c r="A32" s="20" t="s">
        <v>44</v>
      </c>
      <c r="B32" s="37"/>
      <c r="C32" s="43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27">
        <f t="shared" si="1"/>
        <v>0</v>
      </c>
    </row>
    <row r="33">
      <c r="A33" s="25"/>
      <c r="B33" s="3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</row>
    <row r="34">
      <c r="A34" s="25"/>
      <c r="B34" s="3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</row>
    <row r="35">
      <c r="A35" s="25"/>
      <c r="B35" s="3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</row>
    <row r="37">
      <c r="A37" s="45" t="s">
        <v>18</v>
      </c>
      <c r="B37" s="4">
        <f>SUM(B18:B36)</f>
        <v>42</v>
      </c>
      <c r="C37" s="4">
        <f t="shared" ref="C37:DR37" si="2">B37-SUM(C6:C32)</f>
        <v>40</v>
      </c>
      <c r="D37" s="4">
        <f t="shared" si="2"/>
        <v>39</v>
      </c>
      <c r="E37" s="4">
        <f t="shared" si="2"/>
        <v>35</v>
      </c>
      <c r="F37" s="4">
        <f t="shared" si="2"/>
        <v>33</v>
      </c>
      <c r="G37" s="4">
        <f t="shared" si="2"/>
        <v>30</v>
      </c>
      <c r="H37" s="4">
        <f t="shared" si="2"/>
        <v>27</v>
      </c>
      <c r="I37" s="4">
        <f t="shared" si="2"/>
        <v>25</v>
      </c>
      <c r="J37" s="4">
        <f t="shared" si="2"/>
        <v>23</v>
      </c>
      <c r="K37" s="4">
        <f t="shared" si="2"/>
        <v>20</v>
      </c>
      <c r="L37" s="4">
        <f t="shared" si="2"/>
        <v>17</v>
      </c>
      <c r="M37" s="4">
        <f t="shared" si="2"/>
        <v>14</v>
      </c>
      <c r="N37" s="4">
        <f t="shared" si="2"/>
        <v>12</v>
      </c>
      <c r="O37" s="4">
        <f t="shared" si="2"/>
        <v>12</v>
      </c>
      <c r="P37" s="4">
        <f t="shared" si="2"/>
        <v>12</v>
      </c>
      <c r="Q37" s="4">
        <f t="shared" si="2"/>
        <v>12</v>
      </c>
      <c r="R37" s="4">
        <f t="shared" si="2"/>
        <v>12</v>
      </c>
      <c r="S37" s="4">
        <f t="shared" si="2"/>
        <v>12</v>
      </c>
      <c r="T37" s="4">
        <f t="shared" si="2"/>
        <v>12</v>
      </c>
      <c r="U37" s="4">
        <f t="shared" si="2"/>
        <v>12</v>
      </c>
      <c r="V37" s="4">
        <f t="shared" si="2"/>
        <v>12</v>
      </c>
      <c r="W37" s="4">
        <f t="shared" si="2"/>
        <v>12</v>
      </c>
      <c r="X37" s="4">
        <f t="shared" si="2"/>
        <v>12</v>
      </c>
      <c r="Y37" s="4">
        <f t="shared" si="2"/>
        <v>12</v>
      </c>
      <c r="Z37" s="4">
        <f t="shared" si="2"/>
        <v>12</v>
      </c>
      <c r="AA37" s="4">
        <f t="shared" si="2"/>
        <v>12</v>
      </c>
      <c r="AB37" s="4">
        <f t="shared" si="2"/>
        <v>12</v>
      </c>
      <c r="AC37" s="4">
        <f t="shared" si="2"/>
        <v>12</v>
      </c>
      <c r="AD37" s="4">
        <f t="shared" si="2"/>
        <v>12</v>
      </c>
      <c r="AE37" s="4">
        <f t="shared" si="2"/>
        <v>12</v>
      </c>
      <c r="AF37" s="4">
        <f t="shared" si="2"/>
        <v>12</v>
      </c>
      <c r="AG37" s="4">
        <f t="shared" si="2"/>
        <v>12</v>
      </c>
      <c r="AH37" s="4">
        <f t="shared" si="2"/>
        <v>12</v>
      </c>
      <c r="AI37" s="4">
        <f t="shared" si="2"/>
        <v>12</v>
      </c>
      <c r="AJ37" s="4">
        <f t="shared" si="2"/>
        <v>12</v>
      </c>
      <c r="AK37" s="4">
        <f t="shared" si="2"/>
        <v>12</v>
      </c>
      <c r="AL37" s="4">
        <f t="shared" si="2"/>
        <v>12</v>
      </c>
      <c r="AM37" s="4">
        <f t="shared" si="2"/>
        <v>12</v>
      </c>
      <c r="AN37" s="4">
        <f t="shared" si="2"/>
        <v>12</v>
      </c>
      <c r="AO37" s="4">
        <f t="shared" si="2"/>
        <v>12</v>
      </c>
      <c r="AP37" s="4">
        <f t="shared" si="2"/>
        <v>12</v>
      </c>
      <c r="AQ37" s="4">
        <f t="shared" si="2"/>
        <v>12</v>
      </c>
      <c r="AR37" s="4">
        <f t="shared" si="2"/>
        <v>12</v>
      </c>
      <c r="AS37" s="4">
        <f t="shared" si="2"/>
        <v>12</v>
      </c>
      <c r="AT37" s="4">
        <f t="shared" si="2"/>
        <v>12</v>
      </c>
      <c r="AU37" s="4">
        <f t="shared" si="2"/>
        <v>12</v>
      </c>
      <c r="AV37" s="4">
        <f t="shared" si="2"/>
        <v>12</v>
      </c>
      <c r="AW37" s="4">
        <f t="shared" si="2"/>
        <v>12</v>
      </c>
      <c r="AX37" s="4">
        <f t="shared" si="2"/>
        <v>12</v>
      </c>
      <c r="AY37" s="4">
        <f t="shared" si="2"/>
        <v>12</v>
      </c>
      <c r="AZ37" s="4">
        <f t="shared" si="2"/>
        <v>12</v>
      </c>
      <c r="BA37" s="4">
        <f t="shared" si="2"/>
        <v>12</v>
      </c>
      <c r="BB37" s="4">
        <f t="shared" si="2"/>
        <v>12</v>
      </c>
      <c r="BC37" s="4">
        <f t="shared" si="2"/>
        <v>12</v>
      </c>
      <c r="BD37" s="4">
        <f t="shared" si="2"/>
        <v>12</v>
      </c>
      <c r="BE37" s="4">
        <f t="shared" si="2"/>
        <v>12</v>
      </c>
      <c r="BF37" s="4">
        <f t="shared" si="2"/>
        <v>12</v>
      </c>
      <c r="BG37" s="4">
        <f t="shared" si="2"/>
        <v>12</v>
      </c>
      <c r="BH37" s="4">
        <f t="shared" si="2"/>
        <v>12</v>
      </c>
      <c r="BI37" s="4">
        <f t="shared" si="2"/>
        <v>12</v>
      </c>
      <c r="BJ37" s="4">
        <f t="shared" si="2"/>
        <v>12</v>
      </c>
      <c r="BK37" s="4">
        <f t="shared" si="2"/>
        <v>12</v>
      </c>
      <c r="BL37" s="4">
        <f t="shared" si="2"/>
        <v>12</v>
      </c>
      <c r="BM37" s="4">
        <f t="shared" si="2"/>
        <v>12</v>
      </c>
      <c r="BN37" s="4">
        <f t="shared" si="2"/>
        <v>12</v>
      </c>
      <c r="BO37" s="4">
        <f t="shared" si="2"/>
        <v>12</v>
      </c>
      <c r="BP37" s="4">
        <f t="shared" si="2"/>
        <v>12</v>
      </c>
      <c r="BQ37" s="4">
        <f t="shared" si="2"/>
        <v>12</v>
      </c>
      <c r="BR37" s="4">
        <f t="shared" si="2"/>
        <v>12</v>
      </c>
      <c r="BS37" s="4">
        <f t="shared" si="2"/>
        <v>12</v>
      </c>
      <c r="BT37" s="4">
        <f t="shared" si="2"/>
        <v>12</v>
      </c>
      <c r="BU37" s="4">
        <f t="shared" si="2"/>
        <v>12</v>
      </c>
      <c r="BV37" s="4">
        <f t="shared" si="2"/>
        <v>12</v>
      </c>
      <c r="BW37" s="4">
        <f t="shared" si="2"/>
        <v>12</v>
      </c>
      <c r="BX37" s="4">
        <f t="shared" si="2"/>
        <v>12</v>
      </c>
      <c r="BY37" s="4">
        <f t="shared" si="2"/>
        <v>12</v>
      </c>
      <c r="BZ37" s="4">
        <f t="shared" si="2"/>
        <v>12</v>
      </c>
      <c r="CA37" s="4">
        <f t="shared" si="2"/>
        <v>12</v>
      </c>
      <c r="CB37" s="4">
        <f t="shared" si="2"/>
        <v>12</v>
      </c>
      <c r="CC37" s="4">
        <f t="shared" si="2"/>
        <v>12</v>
      </c>
      <c r="CD37" s="4">
        <f t="shared" si="2"/>
        <v>12</v>
      </c>
      <c r="CE37" s="4">
        <f t="shared" si="2"/>
        <v>12</v>
      </c>
      <c r="CF37" s="4">
        <f t="shared" si="2"/>
        <v>12</v>
      </c>
      <c r="CG37" s="4">
        <f t="shared" si="2"/>
        <v>12</v>
      </c>
      <c r="CH37" s="4">
        <f t="shared" si="2"/>
        <v>12</v>
      </c>
      <c r="CI37" s="4">
        <f t="shared" si="2"/>
        <v>12</v>
      </c>
      <c r="CJ37" s="4">
        <f t="shared" si="2"/>
        <v>12</v>
      </c>
      <c r="CK37" s="4">
        <f t="shared" si="2"/>
        <v>12</v>
      </c>
      <c r="CL37" s="4">
        <f t="shared" si="2"/>
        <v>12</v>
      </c>
      <c r="CM37" s="4">
        <f t="shared" si="2"/>
        <v>12</v>
      </c>
      <c r="CN37" s="4">
        <f t="shared" si="2"/>
        <v>12</v>
      </c>
      <c r="CO37" s="4">
        <f t="shared" si="2"/>
        <v>12</v>
      </c>
      <c r="CP37" s="4">
        <f t="shared" si="2"/>
        <v>12</v>
      </c>
      <c r="CQ37" s="4">
        <f t="shared" si="2"/>
        <v>12</v>
      </c>
      <c r="CR37" s="4">
        <f t="shared" si="2"/>
        <v>12</v>
      </c>
      <c r="CS37" s="4">
        <f t="shared" si="2"/>
        <v>12</v>
      </c>
      <c r="CT37" s="4">
        <f t="shared" si="2"/>
        <v>12</v>
      </c>
      <c r="CU37" s="4">
        <f t="shared" si="2"/>
        <v>12</v>
      </c>
      <c r="CV37" s="4">
        <f t="shared" si="2"/>
        <v>12</v>
      </c>
      <c r="CW37" s="4">
        <f t="shared" si="2"/>
        <v>12</v>
      </c>
      <c r="CX37" s="4">
        <f t="shared" si="2"/>
        <v>12</v>
      </c>
      <c r="CY37" s="4">
        <f t="shared" si="2"/>
        <v>12</v>
      </c>
      <c r="CZ37" s="4">
        <f t="shared" si="2"/>
        <v>12</v>
      </c>
      <c r="DA37" s="4">
        <f t="shared" si="2"/>
        <v>12</v>
      </c>
      <c r="DB37" s="4">
        <f t="shared" si="2"/>
        <v>12</v>
      </c>
      <c r="DC37" s="4">
        <f t="shared" si="2"/>
        <v>12</v>
      </c>
      <c r="DD37" s="4">
        <f t="shared" si="2"/>
        <v>12</v>
      </c>
      <c r="DE37" s="4">
        <f t="shared" si="2"/>
        <v>12</v>
      </c>
      <c r="DF37" s="4">
        <f t="shared" si="2"/>
        <v>12</v>
      </c>
      <c r="DG37" s="4">
        <f t="shared" si="2"/>
        <v>12</v>
      </c>
      <c r="DH37" s="4">
        <f t="shared" si="2"/>
        <v>12</v>
      </c>
      <c r="DI37" s="4">
        <f t="shared" si="2"/>
        <v>12</v>
      </c>
      <c r="DJ37" s="4">
        <f t="shared" si="2"/>
        <v>12</v>
      </c>
      <c r="DK37" s="4">
        <f t="shared" si="2"/>
        <v>12</v>
      </c>
      <c r="DL37" s="4">
        <f t="shared" si="2"/>
        <v>12</v>
      </c>
      <c r="DM37" s="4">
        <f t="shared" si="2"/>
        <v>12</v>
      </c>
      <c r="DN37" s="4">
        <f t="shared" si="2"/>
        <v>12</v>
      </c>
      <c r="DO37" s="4">
        <f t="shared" si="2"/>
        <v>12</v>
      </c>
      <c r="DP37" s="4">
        <f t="shared" si="2"/>
        <v>12</v>
      </c>
      <c r="DQ37" s="4">
        <f t="shared" si="2"/>
        <v>12</v>
      </c>
      <c r="DR37" s="4">
        <f t="shared" si="2"/>
        <v>12</v>
      </c>
    </row>
    <row r="39">
      <c r="A39" s="45" t="s">
        <v>23</v>
      </c>
      <c r="B39" s="4">
        <f>SUM(B18:B32)</f>
        <v>42</v>
      </c>
      <c r="C39" s="4">
        <f t="shared" ref="C39:DR39" si="3">B39-(SUM($B$18:$B$32)/20)</f>
        <v>39.9</v>
      </c>
      <c r="D39" s="4">
        <f t="shared" si="3"/>
        <v>37.8</v>
      </c>
      <c r="E39" s="4">
        <f t="shared" si="3"/>
        <v>35.7</v>
      </c>
      <c r="F39" s="4">
        <f t="shared" si="3"/>
        <v>33.6</v>
      </c>
      <c r="G39" s="4">
        <f t="shared" si="3"/>
        <v>31.5</v>
      </c>
      <c r="H39" s="4">
        <f t="shared" si="3"/>
        <v>29.4</v>
      </c>
      <c r="I39" s="4">
        <f t="shared" si="3"/>
        <v>27.3</v>
      </c>
      <c r="J39" s="4">
        <f t="shared" si="3"/>
        <v>25.2</v>
      </c>
      <c r="K39" s="4">
        <f t="shared" si="3"/>
        <v>23.1</v>
      </c>
      <c r="L39" s="4">
        <f t="shared" si="3"/>
        <v>21</v>
      </c>
      <c r="M39" s="4">
        <f t="shared" si="3"/>
        <v>18.9</v>
      </c>
      <c r="N39" s="4">
        <f t="shared" si="3"/>
        <v>16.8</v>
      </c>
      <c r="O39" s="4">
        <f t="shared" si="3"/>
        <v>14.7</v>
      </c>
      <c r="P39" s="4">
        <f t="shared" si="3"/>
        <v>12.6</v>
      </c>
      <c r="Q39" s="4">
        <f t="shared" si="3"/>
        <v>10.5</v>
      </c>
      <c r="R39" s="4">
        <f t="shared" si="3"/>
        <v>8.4</v>
      </c>
      <c r="S39" s="4">
        <f t="shared" si="3"/>
        <v>6.3</v>
      </c>
      <c r="T39" s="4">
        <f t="shared" si="3"/>
        <v>4.2</v>
      </c>
      <c r="U39" s="4">
        <f t="shared" si="3"/>
        <v>2.1</v>
      </c>
      <c r="V39" s="4">
        <f t="shared" si="3"/>
        <v>0</v>
      </c>
      <c r="W39" s="4">
        <f t="shared" si="3"/>
        <v>-2.1</v>
      </c>
      <c r="X39" s="4">
        <f t="shared" si="3"/>
        <v>-4.2</v>
      </c>
      <c r="Y39" s="4">
        <f t="shared" si="3"/>
        <v>-6.3</v>
      </c>
      <c r="Z39" s="4">
        <f t="shared" si="3"/>
        <v>-8.4</v>
      </c>
      <c r="AA39" s="4">
        <f t="shared" si="3"/>
        <v>-10.5</v>
      </c>
      <c r="AB39" s="4">
        <f t="shared" si="3"/>
        <v>-12.6</v>
      </c>
      <c r="AC39" s="4">
        <f t="shared" si="3"/>
        <v>-14.7</v>
      </c>
      <c r="AD39" s="4">
        <f t="shared" si="3"/>
        <v>-16.8</v>
      </c>
      <c r="AE39" s="4">
        <f t="shared" si="3"/>
        <v>-18.9</v>
      </c>
      <c r="AF39" s="4">
        <f t="shared" si="3"/>
        <v>-21</v>
      </c>
      <c r="AG39" s="4">
        <f t="shared" si="3"/>
        <v>-23.1</v>
      </c>
      <c r="AH39" s="4">
        <f t="shared" si="3"/>
        <v>-25.2</v>
      </c>
      <c r="AI39" s="4">
        <f t="shared" si="3"/>
        <v>-27.3</v>
      </c>
      <c r="AJ39" s="4">
        <f t="shared" si="3"/>
        <v>-29.4</v>
      </c>
      <c r="AK39" s="4">
        <f t="shared" si="3"/>
        <v>-31.5</v>
      </c>
      <c r="AL39" s="4">
        <f t="shared" si="3"/>
        <v>-33.6</v>
      </c>
      <c r="AM39" s="4">
        <f t="shared" si="3"/>
        <v>-35.7</v>
      </c>
      <c r="AN39" s="4">
        <f t="shared" si="3"/>
        <v>-37.8</v>
      </c>
      <c r="AO39" s="4">
        <f t="shared" si="3"/>
        <v>-39.9</v>
      </c>
      <c r="AP39" s="4">
        <f t="shared" si="3"/>
        <v>-42</v>
      </c>
      <c r="AQ39" s="4">
        <f t="shared" si="3"/>
        <v>-44.1</v>
      </c>
      <c r="AR39" s="4">
        <f t="shared" si="3"/>
        <v>-46.2</v>
      </c>
      <c r="AS39" s="4">
        <f t="shared" si="3"/>
        <v>-48.3</v>
      </c>
      <c r="AT39" s="4">
        <f t="shared" si="3"/>
        <v>-50.4</v>
      </c>
      <c r="AU39" s="4">
        <f t="shared" si="3"/>
        <v>-52.5</v>
      </c>
      <c r="AV39" s="4">
        <f t="shared" si="3"/>
        <v>-54.6</v>
      </c>
      <c r="AW39" s="4">
        <f t="shared" si="3"/>
        <v>-56.7</v>
      </c>
      <c r="AX39" s="4">
        <f t="shared" si="3"/>
        <v>-58.8</v>
      </c>
      <c r="AY39" s="4">
        <f t="shared" si="3"/>
        <v>-60.9</v>
      </c>
      <c r="AZ39" s="4">
        <f t="shared" si="3"/>
        <v>-63</v>
      </c>
      <c r="BA39" s="4">
        <f t="shared" si="3"/>
        <v>-65.1</v>
      </c>
      <c r="BB39" s="4">
        <f t="shared" si="3"/>
        <v>-67.2</v>
      </c>
      <c r="BC39" s="4">
        <f t="shared" si="3"/>
        <v>-69.3</v>
      </c>
      <c r="BD39" s="4">
        <f t="shared" si="3"/>
        <v>-71.4</v>
      </c>
      <c r="BE39" s="4">
        <f t="shared" si="3"/>
        <v>-73.5</v>
      </c>
      <c r="BF39" s="4">
        <f t="shared" si="3"/>
        <v>-75.6</v>
      </c>
      <c r="BG39" s="4">
        <f t="shared" si="3"/>
        <v>-77.7</v>
      </c>
      <c r="BH39" s="4">
        <f t="shared" si="3"/>
        <v>-79.8</v>
      </c>
      <c r="BI39" s="4">
        <f t="shared" si="3"/>
        <v>-81.9</v>
      </c>
      <c r="BJ39" s="4">
        <f t="shared" si="3"/>
        <v>-84</v>
      </c>
      <c r="BK39" s="4">
        <f t="shared" si="3"/>
        <v>-86.1</v>
      </c>
      <c r="BL39" s="4">
        <f t="shared" si="3"/>
        <v>-88.2</v>
      </c>
      <c r="BM39" s="4">
        <f t="shared" si="3"/>
        <v>-90.3</v>
      </c>
      <c r="BN39" s="4">
        <f t="shared" si="3"/>
        <v>-92.4</v>
      </c>
      <c r="BO39" s="4">
        <f t="shared" si="3"/>
        <v>-94.5</v>
      </c>
      <c r="BP39" s="4">
        <f t="shared" si="3"/>
        <v>-96.6</v>
      </c>
      <c r="BQ39" s="4">
        <f t="shared" si="3"/>
        <v>-98.7</v>
      </c>
      <c r="BR39" s="4">
        <f t="shared" si="3"/>
        <v>-100.8</v>
      </c>
      <c r="BS39" s="4">
        <f t="shared" si="3"/>
        <v>-102.9</v>
      </c>
      <c r="BT39" s="4">
        <f t="shared" si="3"/>
        <v>-105</v>
      </c>
      <c r="BU39" s="4">
        <f t="shared" si="3"/>
        <v>-107.1</v>
      </c>
      <c r="BV39" s="4">
        <f t="shared" si="3"/>
        <v>-109.2</v>
      </c>
      <c r="BW39" s="4">
        <f t="shared" si="3"/>
        <v>-111.3</v>
      </c>
      <c r="BX39" s="4">
        <f t="shared" si="3"/>
        <v>-113.4</v>
      </c>
      <c r="BY39" s="4">
        <f t="shared" si="3"/>
        <v>-115.5</v>
      </c>
      <c r="BZ39" s="4">
        <f t="shared" si="3"/>
        <v>-117.6</v>
      </c>
      <c r="CA39" s="4">
        <f t="shared" si="3"/>
        <v>-119.7</v>
      </c>
      <c r="CB39" s="4">
        <f t="shared" si="3"/>
        <v>-121.8</v>
      </c>
      <c r="CC39" s="4">
        <f t="shared" si="3"/>
        <v>-123.9</v>
      </c>
      <c r="CD39" s="4">
        <f t="shared" si="3"/>
        <v>-126</v>
      </c>
      <c r="CE39" s="4">
        <f t="shared" si="3"/>
        <v>-128.1</v>
      </c>
      <c r="CF39" s="4">
        <f t="shared" si="3"/>
        <v>-130.2</v>
      </c>
      <c r="CG39" s="4">
        <f t="shared" si="3"/>
        <v>-132.3</v>
      </c>
      <c r="CH39" s="4">
        <f t="shared" si="3"/>
        <v>-134.4</v>
      </c>
      <c r="CI39" s="4">
        <f t="shared" si="3"/>
        <v>-136.5</v>
      </c>
      <c r="CJ39" s="4">
        <f t="shared" si="3"/>
        <v>-138.6</v>
      </c>
      <c r="CK39" s="4">
        <f t="shared" si="3"/>
        <v>-140.7</v>
      </c>
      <c r="CL39" s="4">
        <f t="shared" si="3"/>
        <v>-142.8</v>
      </c>
      <c r="CM39" s="4">
        <f t="shared" si="3"/>
        <v>-144.9</v>
      </c>
      <c r="CN39" s="4">
        <f t="shared" si="3"/>
        <v>-147</v>
      </c>
      <c r="CO39" s="4">
        <f t="shared" si="3"/>
        <v>-149.1</v>
      </c>
      <c r="CP39" s="4">
        <f t="shared" si="3"/>
        <v>-151.2</v>
      </c>
      <c r="CQ39" s="4">
        <f t="shared" si="3"/>
        <v>-153.3</v>
      </c>
      <c r="CR39" s="4">
        <f t="shared" si="3"/>
        <v>-155.4</v>
      </c>
      <c r="CS39" s="4">
        <f t="shared" si="3"/>
        <v>-157.5</v>
      </c>
      <c r="CT39" s="4">
        <f t="shared" si="3"/>
        <v>-159.6</v>
      </c>
      <c r="CU39" s="4">
        <f t="shared" si="3"/>
        <v>-161.7</v>
      </c>
      <c r="CV39" s="4">
        <f t="shared" si="3"/>
        <v>-163.8</v>
      </c>
      <c r="CW39" s="4">
        <f t="shared" si="3"/>
        <v>-165.9</v>
      </c>
      <c r="CX39" s="4">
        <f t="shared" si="3"/>
        <v>-168</v>
      </c>
      <c r="CY39" s="4">
        <f t="shared" si="3"/>
        <v>-170.1</v>
      </c>
      <c r="CZ39" s="4">
        <f t="shared" si="3"/>
        <v>-172.2</v>
      </c>
      <c r="DA39" s="4">
        <f t="shared" si="3"/>
        <v>-174.3</v>
      </c>
      <c r="DB39" s="4">
        <f t="shared" si="3"/>
        <v>-176.4</v>
      </c>
      <c r="DC39" s="4">
        <f t="shared" si="3"/>
        <v>-178.5</v>
      </c>
      <c r="DD39" s="4">
        <f t="shared" si="3"/>
        <v>-180.6</v>
      </c>
      <c r="DE39" s="4">
        <f t="shared" si="3"/>
        <v>-182.7</v>
      </c>
      <c r="DF39" s="4">
        <f t="shared" si="3"/>
        <v>-184.8</v>
      </c>
      <c r="DG39" s="4">
        <f t="shared" si="3"/>
        <v>-186.9</v>
      </c>
      <c r="DH39" s="4">
        <f t="shared" si="3"/>
        <v>-189</v>
      </c>
      <c r="DI39" s="4">
        <f t="shared" si="3"/>
        <v>-191.1</v>
      </c>
      <c r="DJ39" s="4">
        <f t="shared" si="3"/>
        <v>-193.2</v>
      </c>
      <c r="DK39" s="4">
        <f t="shared" si="3"/>
        <v>-195.3</v>
      </c>
      <c r="DL39" s="4">
        <f t="shared" si="3"/>
        <v>-197.4</v>
      </c>
      <c r="DM39" s="4">
        <f t="shared" si="3"/>
        <v>-199.5</v>
      </c>
      <c r="DN39" s="4">
        <f t="shared" si="3"/>
        <v>-201.6</v>
      </c>
      <c r="DO39" s="4">
        <f t="shared" si="3"/>
        <v>-203.7</v>
      </c>
      <c r="DP39" s="4">
        <f t="shared" si="3"/>
        <v>-205.8</v>
      </c>
      <c r="DQ39" s="4">
        <f t="shared" si="3"/>
        <v>-207.9</v>
      </c>
      <c r="DR39" s="4">
        <f t="shared" si="3"/>
        <v>-210</v>
      </c>
    </row>
    <row r="41">
      <c r="A41" s="24"/>
      <c r="B41" s="32"/>
      <c r="C41" s="24"/>
      <c r="D41" s="24"/>
      <c r="E41" s="24"/>
      <c r="F41" s="24"/>
      <c r="G41" s="24"/>
      <c r="H41" s="24"/>
      <c r="I41" s="24"/>
    </row>
    <row r="42">
      <c r="A42" s="24"/>
      <c r="B42" s="32"/>
      <c r="C42" s="24"/>
      <c r="D42" s="24"/>
      <c r="E42" s="24"/>
      <c r="F42" s="24"/>
      <c r="G42" s="32"/>
      <c r="H42" s="24"/>
      <c r="I42" s="24"/>
    </row>
    <row r="43">
      <c r="A43" s="24"/>
      <c r="B43" s="32"/>
      <c r="C43" s="24"/>
      <c r="D43" s="24"/>
      <c r="E43" s="24"/>
      <c r="F43" s="24"/>
      <c r="G43" s="32"/>
      <c r="H43" s="24"/>
      <c r="I43" s="24"/>
    </row>
    <row r="44">
      <c r="A44" s="24"/>
      <c r="B44" s="32"/>
      <c r="C44" s="24"/>
      <c r="D44" s="24"/>
      <c r="E44" s="24"/>
      <c r="F44" s="24"/>
      <c r="G44" s="32"/>
      <c r="H44" s="24"/>
      <c r="I44" s="24"/>
    </row>
    <row r="45">
      <c r="A45" s="24"/>
      <c r="B45" s="32"/>
      <c r="C45" s="24"/>
      <c r="D45" s="24"/>
      <c r="E45" s="24"/>
      <c r="F45" s="24"/>
      <c r="G45" s="32"/>
      <c r="H45" s="24"/>
      <c r="I45" s="24"/>
    </row>
    <row r="46" ht="15.75" customHeight="1">
      <c r="A46" s="24"/>
      <c r="B46" s="32"/>
      <c r="C46" s="24"/>
      <c r="D46" s="24"/>
      <c r="E46" s="24"/>
      <c r="F46" s="24"/>
      <c r="G46" s="32"/>
      <c r="H46" s="24"/>
      <c r="I46" s="24"/>
    </row>
    <row r="47" ht="15.75" customHeight="1">
      <c r="A47" s="24"/>
      <c r="B47" s="32"/>
      <c r="C47" s="24"/>
      <c r="D47" s="24"/>
      <c r="E47" s="24"/>
      <c r="F47" s="24"/>
      <c r="G47" s="32"/>
      <c r="H47" s="24"/>
      <c r="I47" s="24"/>
    </row>
    <row r="48" ht="15.75" customHeight="1">
      <c r="A48" s="24"/>
      <c r="B48" s="32"/>
      <c r="C48" s="24"/>
      <c r="D48" s="24"/>
      <c r="E48" s="24"/>
      <c r="F48" s="24"/>
      <c r="G48" s="24"/>
      <c r="H48" s="24"/>
      <c r="I48" s="24"/>
    </row>
    <row r="49" ht="15.75" customHeight="1">
      <c r="A49" s="24"/>
      <c r="B49" s="32"/>
      <c r="C49" s="24"/>
      <c r="D49" s="24"/>
      <c r="E49" s="24"/>
      <c r="F49" s="24"/>
      <c r="G49" s="24"/>
      <c r="H49" s="24"/>
      <c r="I49" s="24"/>
    </row>
    <row r="50" ht="15.75" customHeight="1">
      <c r="A50" s="24"/>
      <c r="B50" s="32"/>
      <c r="C50" s="24"/>
      <c r="D50" s="24"/>
      <c r="E50" s="24"/>
      <c r="F50" s="24"/>
      <c r="G50" s="24"/>
      <c r="H50" s="24"/>
      <c r="I50" s="2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mergeCells count="5">
    <mergeCell ref="A3:A4"/>
    <mergeCell ref="B3:B4"/>
    <mergeCell ref="DS3:DS4"/>
    <mergeCell ref="C5:DS5"/>
    <mergeCell ref="C3:DR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17.0"/>
    <col customWidth="1" min="3" max="3" width="4.0"/>
    <col customWidth="1" min="4" max="22" width="3.43"/>
    <col customWidth="1" min="23" max="29" width="10.71"/>
  </cols>
  <sheetData>
    <row r="1">
      <c r="A1" s="2" t="s">
        <v>2</v>
      </c>
      <c r="B1" s="4" t="s">
        <v>4</v>
      </c>
    </row>
    <row r="3">
      <c r="A3" s="7" t="s">
        <v>5</v>
      </c>
      <c r="B3" s="7" t="s">
        <v>6</v>
      </c>
      <c r="C3" s="13" t="s">
        <v>7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7" t="s">
        <v>8</v>
      </c>
    </row>
    <row r="4">
      <c r="A4" s="10"/>
      <c r="B4" s="10"/>
      <c r="C4" s="18">
        <v>1.0</v>
      </c>
      <c r="D4" s="18">
        <v>2.0</v>
      </c>
      <c r="E4" s="18">
        <v>3.0</v>
      </c>
      <c r="F4" s="18">
        <v>4.0</v>
      </c>
      <c r="G4" s="18">
        <v>5.0</v>
      </c>
      <c r="H4" s="18">
        <v>6.0</v>
      </c>
      <c r="I4" s="18">
        <v>7.0</v>
      </c>
      <c r="J4" s="18">
        <v>8.0</v>
      </c>
      <c r="K4" s="18">
        <v>9.0</v>
      </c>
      <c r="L4" s="18">
        <v>10.0</v>
      </c>
      <c r="M4" s="18">
        <v>11.0</v>
      </c>
      <c r="N4" s="18">
        <v>12.0</v>
      </c>
      <c r="O4" s="18">
        <v>13.0</v>
      </c>
      <c r="P4" s="18">
        <v>14.0</v>
      </c>
      <c r="Q4" s="18">
        <v>15.0</v>
      </c>
      <c r="R4" s="18">
        <v>16.0</v>
      </c>
      <c r="S4" s="18">
        <v>17.0</v>
      </c>
      <c r="T4" s="18">
        <v>18.0</v>
      </c>
      <c r="U4" s="18">
        <v>19.0</v>
      </c>
      <c r="V4" s="18">
        <v>20.0</v>
      </c>
      <c r="W4" s="12"/>
    </row>
    <row r="5">
      <c r="A5" s="38" t="s">
        <v>27</v>
      </c>
      <c r="B5" s="39">
        <v>8.0</v>
      </c>
      <c r="C5" s="16">
        <v>2.0</v>
      </c>
      <c r="D5" s="40">
        <v>2.0</v>
      </c>
      <c r="E5" s="40">
        <v>2.0</v>
      </c>
      <c r="F5" s="40">
        <v>1.0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>
        <v>1.0</v>
      </c>
      <c r="W5" s="18">
        <f t="shared" ref="W5:W10" si="1">SUM(C5:V5)</f>
        <v>8</v>
      </c>
    </row>
    <row r="6">
      <c r="A6" s="19" t="s">
        <v>28</v>
      </c>
      <c r="B6" s="37">
        <v>24.0</v>
      </c>
      <c r="C6" s="26">
        <v>6.0</v>
      </c>
      <c r="D6" s="24">
        <v>4.0</v>
      </c>
      <c r="E6" s="24">
        <v>2.0</v>
      </c>
      <c r="F6" s="24">
        <v>2.0</v>
      </c>
      <c r="G6" s="24"/>
      <c r="H6" s="24">
        <v>2.0</v>
      </c>
      <c r="I6" s="24">
        <v>2.0</v>
      </c>
      <c r="J6" s="24"/>
      <c r="K6" s="24">
        <v>2.0</v>
      </c>
      <c r="L6" s="24">
        <v>3.0</v>
      </c>
      <c r="M6" s="24"/>
      <c r="N6" s="24"/>
      <c r="O6" s="24"/>
      <c r="P6" s="24"/>
      <c r="Q6" s="24"/>
      <c r="R6" s="24"/>
      <c r="S6" s="24"/>
      <c r="T6" s="24"/>
      <c r="U6" s="24"/>
      <c r="V6" s="24">
        <v>1.0</v>
      </c>
      <c r="W6" s="34">
        <f t="shared" si="1"/>
        <v>24</v>
      </c>
    </row>
    <row r="7">
      <c r="A7" s="41" t="s">
        <v>30</v>
      </c>
      <c r="B7" s="42">
        <v>34.0</v>
      </c>
      <c r="C7" s="26"/>
      <c r="D7" s="24"/>
      <c r="E7" s="24">
        <v>6.0</v>
      </c>
      <c r="F7" s="24">
        <v>6.0</v>
      </c>
      <c r="G7" s="24">
        <v>8.0</v>
      </c>
      <c r="H7" s="24">
        <v>3.0</v>
      </c>
      <c r="I7" s="24">
        <v>3.0</v>
      </c>
      <c r="J7" s="24">
        <v>3.0</v>
      </c>
      <c r="K7" s="24">
        <v>2.0</v>
      </c>
      <c r="L7" s="24"/>
      <c r="M7" s="24"/>
      <c r="N7" s="24"/>
      <c r="O7" s="24"/>
      <c r="P7" s="24"/>
      <c r="Q7" s="24"/>
      <c r="R7" s="24"/>
      <c r="S7" s="24"/>
      <c r="T7" s="24">
        <v>1.0</v>
      </c>
      <c r="U7" s="24">
        <v>1.0</v>
      </c>
      <c r="V7" s="24">
        <v>1.0</v>
      </c>
      <c r="W7" s="34">
        <f t="shared" si="1"/>
        <v>34</v>
      </c>
    </row>
    <row r="8">
      <c r="A8" s="19" t="s">
        <v>31</v>
      </c>
      <c r="B8" s="37">
        <v>14.0</v>
      </c>
      <c r="C8" s="26"/>
      <c r="D8" s="24"/>
      <c r="E8" s="24"/>
      <c r="F8" s="24"/>
      <c r="G8" s="24"/>
      <c r="H8" s="24"/>
      <c r="I8" s="24"/>
      <c r="J8" s="24"/>
      <c r="K8" s="24"/>
      <c r="L8" s="24"/>
      <c r="M8" s="24"/>
      <c r="N8" s="24">
        <v>4.0</v>
      </c>
      <c r="O8" s="24">
        <v>2.0</v>
      </c>
      <c r="P8" s="24">
        <v>2.0</v>
      </c>
      <c r="Q8" s="24"/>
      <c r="R8" s="24"/>
      <c r="S8" s="24"/>
      <c r="T8" s="24"/>
      <c r="U8" s="24">
        <v>5.0</v>
      </c>
      <c r="V8" s="24">
        <v>1.0</v>
      </c>
      <c r="W8" s="34">
        <f t="shared" si="1"/>
        <v>14</v>
      </c>
    </row>
    <row r="9">
      <c r="A9" s="19" t="s">
        <v>32</v>
      </c>
      <c r="B9" s="37">
        <v>10.0</v>
      </c>
      <c r="C9" s="26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>
        <v>4.0</v>
      </c>
      <c r="T9" s="24">
        <v>4.0</v>
      </c>
      <c r="U9" s="24">
        <v>1.0</v>
      </c>
      <c r="V9" s="24">
        <v>1.0</v>
      </c>
      <c r="W9" s="34">
        <f t="shared" si="1"/>
        <v>10</v>
      </c>
    </row>
    <row r="10">
      <c r="A10" s="19" t="s">
        <v>34</v>
      </c>
      <c r="B10" s="37">
        <v>16.0</v>
      </c>
      <c r="C10" s="43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>
        <v>2.0</v>
      </c>
      <c r="Q10" s="44"/>
      <c r="R10" s="44"/>
      <c r="S10" s="44">
        <v>4.0</v>
      </c>
      <c r="T10" s="44">
        <v>4.0</v>
      </c>
      <c r="U10" s="44">
        <v>5.0</v>
      </c>
      <c r="V10" s="44">
        <v>1.0</v>
      </c>
      <c r="W10" s="27">
        <f t="shared" si="1"/>
        <v>16</v>
      </c>
    </row>
    <row r="12">
      <c r="A12" s="45" t="s">
        <v>18</v>
      </c>
      <c r="B12" s="4">
        <f>SUM(B5:B11)</f>
        <v>106</v>
      </c>
      <c r="C12" s="4">
        <f t="shared" ref="C12:V12" si="2">B12-SUM(C5:C10)</f>
        <v>98</v>
      </c>
      <c r="D12" s="4">
        <f t="shared" si="2"/>
        <v>92</v>
      </c>
      <c r="E12" s="4">
        <f t="shared" si="2"/>
        <v>82</v>
      </c>
      <c r="F12" s="4">
        <f t="shared" si="2"/>
        <v>73</v>
      </c>
      <c r="G12" s="4">
        <f t="shared" si="2"/>
        <v>65</v>
      </c>
      <c r="H12" s="4">
        <f t="shared" si="2"/>
        <v>60</v>
      </c>
      <c r="I12" s="4">
        <f t="shared" si="2"/>
        <v>55</v>
      </c>
      <c r="J12" s="4">
        <f t="shared" si="2"/>
        <v>52</v>
      </c>
      <c r="K12" s="4">
        <f t="shared" si="2"/>
        <v>48</v>
      </c>
      <c r="L12" s="4">
        <f t="shared" si="2"/>
        <v>45</v>
      </c>
      <c r="M12" s="4">
        <f t="shared" si="2"/>
        <v>45</v>
      </c>
      <c r="N12" s="4">
        <f t="shared" si="2"/>
        <v>41</v>
      </c>
      <c r="O12" s="4">
        <f t="shared" si="2"/>
        <v>39</v>
      </c>
      <c r="P12" s="4">
        <f t="shared" si="2"/>
        <v>35</v>
      </c>
      <c r="Q12" s="4">
        <f t="shared" si="2"/>
        <v>35</v>
      </c>
      <c r="R12" s="4">
        <f t="shared" si="2"/>
        <v>35</v>
      </c>
      <c r="S12" s="4">
        <f t="shared" si="2"/>
        <v>27</v>
      </c>
      <c r="T12" s="4">
        <f t="shared" si="2"/>
        <v>18</v>
      </c>
      <c r="U12" s="4">
        <f t="shared" si="2"/>
        <v>6</v>
      </c>
      <c r="V12" s="4">
        <f t="shared" si="2"/>
        <v>0</v>
      </c>
    </row>
    <row r="14">
      <c r="A14" s="45" t="s">
        <v>23</v>
      </c>
      <c r="B14" s="4">
        <f>SUM(B5:B10)</f>
        <v>106</v>
      </c>
      <c r="C14" s="4">
        <f t="shared" ref="C14:V14" si="3">B14-(SUM($B$5:$B$10)/20)</f>
        <v>100.7</v>
      </c>
      <c r="D14" s="4">
        <f t="shared" si="3"/>
        <v>95.4</v>
      </c>
      <c r="E14" s="4">
        <f t="shared" si="3"/>
        <v>90.1</v>
      </c>
      <c r="F14" s="4">
        <f t="shared" si="3"/>
        <v>84.8</v>
      </c>
      <c r="G14" s="4">
        <f t="shared" si="3"/>
        <v>79.5</v>
      </c>
      <c r="H14" s="4">
        <f t="shared" si="3"/>
        <v>74.2</v>
      </c>
      <c r="I14" s="4">
        <f t="shared" si="3"/>
        <v>68.9</v>
      </c>
      <c r="J14" s="4">
        <f t="shared" si="3"/>
        <v>63.6</v>
      </c>
      <c r="K14" s="4">
        <f t="shared" si="3"/>
        <v>58.3</v>
      </c>
      <c r="L14" s="4">
        <f t="shared" si="3"/>
        <v>53</v>
      </c>
      <c r="M14" s="4">
        <f t="shared" si="3"/>
        <v>47.7</v>
      </c>
      <c r="N14" s="4">
        <f t="shared" si="3"/>
        <v>42.4</v>
      </c>
      <c r="O14" s="4">
        <f t="shared" si="3"/>
        <v>37.1</v>
      </c>
      <c r="P14" s="4">
        <f t="shared" si="3"/>
        <v>31.8</v>
      </c>
      <c r="Q14" s="4">
        <f t="shared" si="3"/>
        <v>26.5</v>
      </c>
      <c r="R14" s="4">
        <f t="shared" si="3"/>
        <v>21.2</v>
      </c>
      <c r="S14" s="4">
        <f t="shared" si="3"/>
        <v>15.9</v>
      </c>
      <c r="T14" s="4">
        <f t="shared" si="3"/>
        <v>10.6</v>
      </c>
      <c r="U14" s="4">
        <f t="shared" si="3"/>
        <v>5.3</v>
      </c>
      <c r="V14" s="4">
        <f t="shared" si="3"/>
        <v>0</v>
      </c>
    </row>
    <row r="16">
      <c r="A16" s="24"/>
      <c r="B16" s="32"/>
      <c r="C16" s="24"/>
      <c r="D16" s="24"/>
      <c r="E16" s="24"/>
      <c r="F16" s="24"/>
      <c r="G16" s="24"/>
      <c r="H16" s="24"/>
      <c r="I16" s="24"/>
    </row>
    <row r="17">
      <c r="A17" s="24"/>
      <c r="B17" s="32"/>
      <c r="C17" s="24"/>
      <c r="D17" s="24"/>
      <c r="E17" s="24"/>
      <c r="F17" s="24"/>
      <c r="G17" s="32"/>
      <c r="H17" s="24"/>
      <c r="I17" s="24"/>
    </row>
    <row r="18">
      <c r="A18" s="24"/>
      <c r="B18" s="32"/>
      <c r="C18" s="24"/>
      <c r="D18" s="24"/>
      <c r="E18" s="24"/>
      <c r="F18" s="24"/>
      <c r="G18" s="32"/>
      <c r="H18" s="24"/>
      <c r="I18" s="24"/>
    </row>
    <row r="19">
      <c r="A19" s="24"/>
      <c r="B19" s="32"/>
      <c r="C19" s="24"/>
      <c r="D19" s="24"/>
      <c r="E19" s="24"/>
      <c r="F19" s="24"/>
      <c r="G19" s="32"/>
      <c r="H19" s="24"/>
      <c r="I19" s="24"/>
    </row>
    <row r="20">
      <c r="A20" s="24"/>
      <c r="B20" s="32"/>
      <c r="C20" s="24"/>
      <c r="D20" s="24"/>
      <c r="E20" s="24"/>
      <c r="F20" s="24"/>
      <c r="G20" s="32"/>
      <c r="H20" s="24"/>
      <c r="I20" s="24"/>
    </row>
    <row r="21" ht="15.75" customHeight="1">
      <c r="A21" s="24"/>
      <c r="B21" s="32"/>
      <c r="C21" s="24"/>
      <c r="D21" s="24"/>
      <c r="E21" s="24"/>
      <c r="F21" s="24"/>
      <c r="G21" s="32"/>
      <c r="H21" s="24"/>
      <c r="I21" s="24"/>
    </row>
    <row r="22" ht="15.75" customHeight="1">
      <c r="A22" s="24"/>
      <c r="B22" s="32"/>
      <c r="C22" s="24"/>
      <c r="D22" s="24"/>
      <c r="E22" s="24"/>
      <c r="F22" s="24"/>
      <c r="G22" s="32"/>
      <c r="H22" s="24"/>
      <c r="I22" s="24"/>
    </row>
    <row r="23" ht="15.75" customHeight="1">
      <c r="A23" s="24"/>
      <c r="B23" s="32"/>
      <c r="C23" s="24"/>
      <c r="D23" s="24"/>
      <c r="E23" s="24"/>
      <c r="F23" s="24"/>
      <c r="G23" s="24"/>
      <c r="H23" s="24"/>
      <c r="I23" s="24"/>
    </row>
    <row r="24" ht="15.75" customHeight="1">
      <c r="A24" s="24"/>
      <c r="B24" s="32"/>
      <c r="C24" s="24"/>
      <c r="D24" s="24"/>
      <c r="E24" s="24"/>
      <c r="F24" s="24"/>
      <c r="G24" s="24"/>
      <c r="H24" s="24"/>
      <c r="I24" s="24"/>
    </row>
    <row r="25" ht="15.75" customHeight="1">
      <c r="A25" s="24"/>
      <c r="B25" s="32"/>
      <c r="C25" s="24"/>
      <c r="D25" s="24"/>
      <c r="E25" s="24"/>
      <c r="F25" s="24"/>
      <c r="G25" s="24"/>
      <c r="H25" s="24"/>
      <c r="I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
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09A59832-729F-4ED3-9439-370CD98EAAC0}" xr6:coauthVersionLast="47" xr6:coauthVersionMax="47" xr10:uidLastSave="{00000000-0000-0000-0000-000000000000}"/>
  <bookViews>
    <workbookView xWindow="28680" yWindow="-120" windowWidth="38640" windowHeight="21120" tabRatio="500" firstSheet="1" activeTab="7" xr2:uid="{00000000-000D-0000-FFFF-FFFF00000000}"/>
  </bookViews>
  <sheets>
    <sheet name="Sprint N°1" sheetId="2" r:id="rId1"/>
    <sheet name="Sprint N°2" sheetId="3" r:id="rId2"/>
    <sheet name="Sprint N°3" sheetId="4" r:id="rId3"/>
    <sheet name="Sprint N°4" sheetId="5" r:id="rId4"/>
    <sheet name="Sprint N°5" sheetId="6" r:id="rId5"/>
    <sheet name="Sprint N°6" sheetId="7" r:id="rId6"/>
    <sheet name="Sprint N°7" sheetId="8" r:id="rId7"/>
    <sheet name="Sprint N°8" sheetId="9" r:id="rId8"/>
    <sheet name="burndown_Proyecto_HouseCount" sheetId="10" r:id="rId9"/>
    <sheet name="Resumen_Sprints" sheetId="1" r:id="rId10"/>
    <sheet name="Ejemplo1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4" i="11" l="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F14" i="11"/>
  <c r="G14" i="11" s="1"/>
  <c r="B14" i="11"/>
  <c r="C14" i="11" s="1"/>
  <c r="D14" i="11" s="1"/>
  <c r="E14" i="11" s="1"/>
  <c r="T12" i="11"/>
  <c r="U12" i="11" s="1"/>
  <c r="V12" i="11" s="1"/>
  <c r="D12" i="11"/>
  <c r="E12" i="11" s="1"/>
  <c r="F12" i="11" s="1"/>
  <c r="G12" i="11" s="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C12" i="11"/>
  <c r="B12" i="11"/>
  <c r="W10" i="11"/>
  <c r="W9" i="11"/>
  <c r="W8" i="11"/>
  <c r="W7" i="11"/>
  <c r="W6" i="11"/>
  <c r="W5" i="11"/>
  <c r="C21" i="1"/>
  <c r="C20" i="1"/>
  <c r="J14" i="1"/>
  <c r="H14" i="1"/>
  <c r="D13" i="1"/>
  <c r="C13" i="1"/>
  <c r="D12" i="1"/>
  <c r="C12" i="1"/>
  <c r="I11" i="1"/>
  <c r="M11" i="1" s="1"/>
  <c r="D11" i="1"/>
  <c r="C11" i="1"/>
  <c r="D10" i="1"/>
  <c r="C10" i="1"/>
  <c r="D9" i="1"/>
  <c r="C9" i="1"/>
  <c r="D8" i="1"/>
  <c r="C8" i="1"/>
  <c r="E7" i="1"/>
  <c r="D7" i="1"/>
  <c r="C7" i="1"/>
  <c r="F6" i="1"/>
  <c r="D6" i="1"/>
  <c r="C6" i="1"/>
  <c r="CT53" i="10"/>
  <c r="CS53" i="10"/>
  <c r="CR53" i="10"/>
  <c r="CQ53" i="10"/>
  <c r="CP53" i="10"/>
  <c r="CO53" i="10"/>
  <c r="CN53" i="10"/>
  <c r="CM53" i="10"/>
  <c r="CL53" i="10"/>
  <c r="CK53" i="10"/>
  <c r="CJ53" i="10"/>
  <c r="CI53" i="10"/>
  <c r="CH53" i="10"/>
  <c r="CG53" i="10"/>
  <c r="CF53" i="10"/>
  <c r="CE53" i="10"/>
  <c r="CD53" i="10"/>
  <c r="CC53" i="10"/>
  <c r="CB53" i="10"/>
  <c r="CA53" i="10"/>
  <c r="BZ53" i="10"/>
  <c r="BY53" i="10"/>
  <c r="BX53" i="10"/>
  <c r="BW53" i="10"/>
  <c r="BV53" i="10"/>
  <c r="BU53" i="10"/>
  <c r="BT53" i="10"/>
  <c r="BS53" i="10"/>
  <c r="BR53" i="10"/>
  <c r="BQ53" i="10"/>
  <c r="BP53" i="10"/>
  <c r="BO53" i="10"/>
  <c r="BN53" i="10"/>
  <c r="BM53" i="10"/>
  <c r="BL53" i="10"/>
  <c r="BK53" i="10"/>
  <c r="BJ53" i="10"/>
  <c r="BI53" i="10"/>
  <c r="BH53" i="10"/>
  <c r="BG53" i="10"/>
  <c r="BF53" i="10"/>
  <c r="BE53" i="10"/>
  <c r="BD53" i="10"/>
  <c r="BC53" i="10"/>
  <c r="BB53" i="10"/>
  <c r="BA53" i="10"/>
  <c r="AZ53" i="10"/>
  <c r="AY53" i="10"/>
  <c r="AX53" i="10"/>
  <c r="AW53" i="10"/>
  <c r="AV53" i="10"/>
  <c r="AU53" i="10"/>
  <c r="AT53" i="10"/>
  <c r="AS53" i="10"/>
  <c r="AR53" i="10"/>
  <c r="AQ53" i="10"/>
  <c r="AP53" i="10"/>
  <c r="AO53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0" i="10"/>
  <c r="A50" i="10"/>
  <c r="B49" i="10"/>
  <c r="A49" i="10"/>
  <c r="B48" i="10"/>
  <c r="A48" i="10"/>
  <c r="B47" i="10"/>
  <c r="A47" i="10"/>
  <c r="B46" i="10"/>
  <c r="A46" i="10"/>
  <c r="B45" i="10"/>
  <c r="A45" i="10"/>
  <c r="B44" i="10"/>
  <c r="A44" i="10"/>
  <c r="B43" i="10"/>
  <c r="A43" i="10"/>
  <c r="B42" i="10"/>
  <c r="A42" i="10"/>
  <c r="B41" i="10"/>
  <c r="A41" i="10"/>
  <c r="B40" i="10"/>
  <c r="A40" i="10"/>
  <c r="A39" i="10"/>
  <c r="B38" i="10"/>
  <c r="A38" i="10"/>
  <c r="B37" i="10"/>
  <c r="A37" i="10"/>
  <c r="B36" i="10"/>
  <c r="A36" i="10"/>
  <c r="B35" i="10"/>
  <c r="A35" i="10"/>
  <c r="B34" i="10"/>
  <c r="B33" i="10" s="1"/>
  <c r="A34" i="10"/>
  <c r="A33" i="10"/>
  <c r="B32" i="10"/>
  <c r="A32" i="10"/>
  <c r="B31" i="10"/>
  <c r="B28" i="10" s="1"/>
  <c r="A31" i="10"/>
  <c r="B30" i="10"/>
  <c r="A30" i="10"/>
  <c r="B29" i="10"/>
  <c r="A29" i="10"/>
  <c r="A28" i="10"/>
  <c r="B27" i="10"/>
  <c r="A27" i="10"/>
  <c r="B26" i="10"/>
  <c r="A26" i="10"/>
  <c r="B25" i="10"/>
  <c r="A25" i="10"/>
  <c r="B24" i="10"/>
  <c r="B23" i="10" s="1"/>
  <c r="A24" i="10"/>
  <c r="A23" i="10"/>
  <c r="B22" i="10"/>
  <c r="A22" i="10"/>
  <c r="B21" i="10"/>
  <c r="A21" i="10"/>
  <c r="B20" i="10"/>
  <c r="A20" i="10"/>
  <c r="B19" i="10"/>
  <c r="B18" i="10" s="1"/>
  <c r="A19" i="10"/>
  <c r="A18" i="10"/>
  <c r="CR17" i="10"/>
  <c r="CQ17" i="10"/>
  <c r="CP17" i="10"/>
  <c r="CM17" i="10"/>
  <c r="CL17" i="10"/>
  <c r="CI17" i="10"/>
  <c r="CH17" i="10"/>
  <c r="CE17" i="10"/>
  <c r="CD17" i="10"/>
  <c r="CC17" i="10"/>
  <c r="BU17" i="10"/>
  <c r="BR17" i="10"/>
  <c r="BQ17" i="10"/>
  <c r="BP17" i="10"/>
  <c r="BO17" i="10"/>
  <c r="BN17" i="10"/>
  <c r="BM17" i="10"/>
  <c r="BL17" i="10"/>
  <c r="BG17" i="10"/>
  <c r="BF17" i="10"/>
  <c r="BB17" i="10"/>
  <c r="AX17" i="10"/>
  <c r="AW17" i="10"/>
  <c r="AV17" i="10"/>
  <c r="AU17" i="10"/>
  <c r="AT17" i="10"/>
  <c r="AQ17" i="10"/>
  <c r="AP17" i="10"/>
  <c r="AO17" i="10"/>
  <c r="AI17" i="10"/>
  <c r="AH17" i="10"/>
  <c r="AG17" i="10"/>
  <c r="AC17" i="10"/>
  <c r="Z17" i="10"/>
  <c r="Y17" i="10"/>
  <c r="X17" i="10"/>
  <c r="T17" i="10"/>
  <c r="S17" i="10"/>
  <c r="R17" i="10"/>
  <c r="Q17" i="10"/>
  <c r="N17" i="10"/>
  <c r="M17" i="10"/>
  <c r="L17" i="10"/>
  <c r="C17" i="10"/>
  <c r="B17" i="10"/>
  <c r="A17" i="10"/>
  <c r="CT16" i="10"/>
  <c r="CS16" i="10"/>
  <c r="CR16" i="10"/>
  <c r="CQ16" i="10"/>
  <c r="CK16" i="10"/>
  <c r="CJ16" i="10"/>
  <c r="CG16" i="10"/>
  <c r="CC16" i="10"/>
  <c r="CB16" i="10"/>
  <c r="CA16" i="10"/>
  <c r="BZ16" i="10"/>
  <c r="BY16" i="10"/>
  <c r="BU16" i="10"/>
  <c r="BT16" i="10"/>
  <c r="BS16" i="10"/>
  <c r="BP16" i="10"/>
  <c r="BN16" i="10"/>
  <c r="BM16" i="10"/>
  <c r="BL16" i="10"/>
  <c r="BH16" i="10"/>
  <c r="BD16" i="10"/>
  <c r="BC16" i="10"/>
  <c r="BB16" i="10"/>
  <c r="AY16" i="10"/>
  <c r="AX16" i="10"/>
  <c r="AW16" i="10"/>
  <c r="AV16" i="10"/>
  <c r="AU16" i="10"/>
  <c r="AS16" i="10"/>
  <c r="AR16" i="10"/>
  <c r="AQ16" i="10"/>
  <c r="AH16" i="10"/>
  <c r="AG16" i="10"/>
  <c r="AF16" i="10"/>
  <c r="AE16" i="10"/>
  <c r="AD16" i="10"/>
  <c r="AC16" i="10"/>
  <c r="AB16" i="10"/>
  <c r="AA16" i="10"/>
  <c r="Y16" i="10"/>
  <c r="U16" i="10"/>
  <c r="T16" i="10"/>
  <c r="Q16" i="10"/>
  <c r="M16" i="10"/>
  <c r="L16" i="10"/>
  <c r="K16" i="10"/>
  <c r="I16" i="10"/>
  <c r="H16" i="10"/>
  <c r="E16" i="10"/>
  <c r="D16" i="10"/>
  <c r="C16" i="10"/>
  <c r="B16" i="10"/>
  <c r="A16" i="10"/>
  <c r="CT15" i="10"/>
  <c r="CS15" i="10"/>
  <c r="CN15" i="10"/>
  <c r="CM15" i="10"/>
  <c r="CL15" i="10"/>
  <c r="CI15" i="10"/>
  <c r="CH15" i="10"/>
  <c r="CG15" i="10"/>
  <c r="CD15" i="10"/>
  <c r="CC15" i="10"/>
  <c r="CB15" i="10"/>
  <c r="BZ15" i="10"/>
  <c r="BX15" i="10"/>
  <c r="BW15" i="10"/>
  <c r="BQ15" i="10"/>
  <c r="BP15" i="10"/>
  <c r="BM15" i="10"/>
  <c r="BL15" i="10"/>
  <c r="BK15" i="10"/>
  <c r="BJ15" i="10"/>
  <c r="BH15" i="10"/>
  <c r="BG15" i="10"/>
  <c r="BF15" i="10"/>
  <c r="BD15" i="10"/>
  <c r="BA15" i="10"/>
  <c r="AZ15" i="10"/>
  <c r="AT15" i="10"/>
  <c r="AR15" i="10"/>
  <c r="AQ15" i="10"/>
  <c r="AP15" i="10"/>
  <c r="AO15" i="10"/>
  <c r="AN15" i="10"/>
  <c r="AM15" i="10"/>
  <c r="AJ15" i="10"/>
  <c r="AI15" i="10"/>
  <c r="AE15" i="10"/>
  <c r="AD15" i="10"/>
  <c r="AB15" i="10"/>
  <c r="X15" i="10"/>
  <c r="W15" i="10"/>
  <c r="V15" i="10"/>
  <c r="S15" i="10"/>
  <c r="R15" i="10"/>
  <c r="Q15" i="10"/>
  <c r="N15" i="10"/>
  <c r="L15" i="10"/>
  <c r="K15" i="10"/>
  <c r="I15" i="10"/>
  <c r="H15" i="10"/>
  <c r="G15" i="10"/>
  <c r="B15" i="10"/>
  <c r="A15" i="10"/>
  <c r="CQ14" i="10"/>
  <c r="CP14" i="10"/>
  <c r="CO14" i="10"/>
  <c r="CN14" i="10"/>
  <c r="CM14" i="10"/>
  <c r="CL14" i="10"/>
  <c r="CK14" i="10"/>
  <c r="CI14" i="10"/>
  <c r="CF14" i="10"/>
  <c r="CE14" i="10"/>
  <c r="BX14" i="10"/>
  <c r="BW14" i="10"/>
  <c r="BV14" i="10"/>
  <c r="BU14" i="10"/>
  <c r="BT14" i="10"/>
  <c r="BS14" i="10"/>
  <c r="BR14" i="10"/>
  <c r="BO14" i="10"/>
  <c r="BN14" i="10"/>
  <c r="BI14" i="10"/>
  <c r="BH14" i="10"/>
  <c r="BG14" i="10"/>
  <c r="BC14" i="10"/>
  <c r="BB14" i="10"/>
  <c r="BA14" i="10"/>
  <c r="AX14" i="10"/>
  <c r="AW14" i="10"/>
  <c r="AU14" i="10"/>
  <c r="AR14" i="10"/>
  <c r="AQ14" i="10"/>
  <c r="AP14" i="10"/>
  <c r="AN14" i="10"/>
  <c r="AM14" i="10"/>
  <c r="AL14" i="10"/>
  <c r="AE14" i="10"/>
  <c r="AD14" i="10"/>
  <c r="AA14" i="10"/>
  <c r="Z14" i="10"/>
  <c r="Y14" i="10"/>
  <c r="X14" i="10"/>
  <c r="W14" i="10"/>
  <c r="V14" i="10"/>
  <c r="U14" i="10"/>
  <c r="S14" i="10"/>
  <c r="P14" i="10"/>
  <c r="O14" i="10"/>
  <c r="I14" i="10"/>
  <c r="H14" i="10"/>
  <c r="G14" i="10"/>
  <c r="F14" i="10"/>
  <c r="E14" i="10"/>
  <c r="D14" i="10"/>
  <c r="C14" i="10"/>
  <c r="B14" i="10"/>
  <c r="A14" i="10"/>
  <c r="CT13" i="10"/>
  <c r="CS13" i="10"/>
  <c r="CP13" i="10"/>
  <c r="CL13" i="10"/>
  <c r="CK13" i="10"/>
  <c r="CJ13" i="10"/>
  <c r="CI13" i="10"/>
  <c r="CH13" i="10"/>
  <c r="CE13" i="10"/>
  <c r="CD13" i="10"/>
  <c r="CC13" i="10"/>
  <c r="BZ13" i="10"/>
  <c r="BX13" i="10"/>
  <c r="BW13" i="10"/>
  <c r="BV13" i="10"/>
  <c r="BR13" i="10"/>
  <c r="BO13" i="10"/>
  <c r="BN13" i="10"/>
  <c r="BM13" i="10"/>
  <c r="BJ13" i="10"/>
  <c r="BI13" i="10"/>
  <c r="BH13" i="10"/>
  <c r="BG13" i="10"/>
  <c r="BF13" i="10"/>
  <c r="BD13" i="10"/>
  <c r="BC13" i="10"/>
  <c r="BB13" i="10"/>
  <c r="AT13" i="10"/>
  <c r="AS13" i="10"/>
  <c r="AR13" i="10"/>
  <c r="AQ13" i="10"/>
  <c r="AP13" i="10"/>
  <c r="AO13" i="10"/>
  <c r="AN13" i="10"/>
  <c r="AM13" i="10"/>
  <c r="AL13" i="10"/>
  <c r="AH13" i="10"/>
  <c r="AG13" i="10"/>
  <c r="AD13" i="10"/>
  <c r="Z13" i="10"/>
  <c r="Y13" i="10"/>
  <c r="X13" i="10"/>
  <c r="W13" i="10"/>
  <c r="V13" i="10"/>
  <c r="S13" i="10"/>
  <c r="R13" i="10"/>
  <c r="Q13" i="10"/>
  <c r="N13" i="10"/>
  <c r="L13" i="10"/>
  <c r="K13" i="10"/>
  <c r="J13" i="10"/>
  <c r="F13" i="10"/>
  <c r="C13" i="10"/>
  <c r="B13" i="10"/>
  <c r="A13" i="10"/>
  <c r="CS12" i="10"/>
  <c r="CR12" i="10"/>
  <c r="CQ12" i="10"/>
  <c r="CP12" i="10"/>
  <c r="CO12" i="10"/>
  <c r="CM12" i="10"/>
  <c r="CL12" i="10"/>
  <c r="CK12" i="10"/>
  <c r="CC12" i="10"/>
  <c r="CB12" i="10"/>
  <c r="CA12" i="10"/>
  <c r="BZ12" i="10"/>
  <c r="BY12" i="10"/>
  <c r="BX12" i="10"/>
  <c r="BW12" i="10"/>
  <c r="BV12" i="10"/>
  <c r="BU12" i="10"/>
  <c r="BQ12" i="10"/>
  <c r="BP12" i="10"/>
  <c r="BM12" i="10"/>
  <c r="BI12" i="10"/>
  <c r="BH12" i="10"/>
  <c r="BG12" i="10"/>
  <c r="BF12" i="10"/>
  <c r="BE12" i="10"/>
  <c r="BB12" i="10"/>
  <c r="BA12" i="10"/>
  <c r="AZ12" i="10"/>
  <c r="AW12" i="10"/>
  <c r="AU12" i="10"/>
  <c r="AT12" i="10"/>
  <c r="AS12" i="10"/>
  <c r="AO12" i="10"/>
  <c r="AL12" i="10"/>
  <c r="AK12" i="10"/>
  <c r="AJ12" i="10"/>
  <c r="AG12" i="10"/>
  <c r="AF12" i="10"/>
  <c r="AE12" i="10"/>
  <c r="AD12" i="10"/>
  <c r="AC12" i="10"/>
  <c r="AA12" i="10"/>
  <c r="Z12" i="10"/>
  <c r="Y12" i="10"/>
  <c r="Q12" i="10"/>
  <c r="P12" i="10"/>
  <c r="O12" i="10"/>
  <c r="N12" i="10"/>
  <c r="M12" i="10"/>
  <c r="L12" i="10"/>
  <c r="K12" i="10"/>
  <c r="J12" i="10"/>
  <c r="I12" i="10"/>
  <c r="E12" i="10"/>
  <c r="D12" i="10"/>
  <c r="B12" i="10"/>
  <c r="A12" i="10"/>
  <c r="A11" i="10"/>
  <c r="CT10" i="10"/>
  <c r="CS10" i="10"/>
  <c r="CR10" i="10"/>
  <c r="CQ10" i="10"/>
  <c r="CP10" i="10"/>
  <c r="CO10" i="10"/>
  <c r="CN10" i="10"/>
  <c r="CM10" i="10"/>
  <c r="CL10" i="10"/>
  <c r="CK10" i="10"/>
  <c r="CJ10" i="10"/>
  <c r="CI10" i="10"/>
  <c r="CH10" i="10"/>
  <c r="CG10" i="10"/>
  <c r="CF10" i="10"/>
  <c r="CE10" i="10"/>
  <c r="CD10" i="10"/>
  <c r="CC10" i="10"/>
  <c r="CB10" i="10"/>
  <c r="CA10" i="10"/>
  <c r="BZ10" i="10"/>
  <c r="BY10" i="10"/>
  <c r="BX10" i="10"/>
  <c r="BW10" i="10"/>
  <c r="BV10" i="10"/>
  <c r="BU10" i="10"/>
  <c r="BT10" i="10"/>
  <c r="BS10" i="10"/>
  <c r="BR10" i="10"/>
  <c r="BQ10" i="10"/>
  <c r="BP10" i="10"/>
  <c r="BO10" i="10"/>
  <c r="BN10" i="10"/>
  <c r="BM10" i="10"/>
  <c r="BL10" i="10"/>
  <c r="BK10" i="10"/>
  <c r="BJ10" i="10"/>
  <c r="BI10" i="10"/>
  <c r="BH10" i="10"/>
  <c r="BG10" i="10"/>
  <c r="BF10" i="10"/>
  <c r="BE10" i="10"/>
  <c r="BD10" i="10"/>
  <c r="BC10" i="10"/>
  <c r="BB10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CU10" i="10" s="1"/>
  <c r="B10" i="10"/>
  <c r="A10" i="10"/>
  <c r="CT9" i="10"/>
  <c r="CS9" i="10"/>
  <c r="CR9" i="10"/>
  <c r="CQ9" i="10"/>
  <c r="CP9" i="10"/>
  <c r="CO9" i="10"/>
  <c r="CN9" i="10"/>
  <c r="CM9" i="10"/>
  <c r="CL9" i="10"/>
  <c r="CK9" i="10"/>
  <c r="CJ9" i="10"/>
  <c r="CI9" i="10"/>
  <c r="CH9" i="10"/>
  <c r="CG9" i="10"/>
  <c r="CF9" i="10"/>
  <c r="CE9" i="10"/>
  <c r="CD9" i="10"/>
  <c r="CC9" i="10"/>
  <c r="CB9" i="10"/>
  <c r="CA9" i="10"/>
  <c r="BZ9" i="10"/>
  <c r="BY9" i="10"/>
  <c r="BX9" i="10"/>
  <c r="BW9" i="10"/>
  <c r="BV9" i="10"/>
  <c r="BU9" i="10"/>
  <c r="BT9" i="10"/>
  <c r="BS9" i="10"/>
  <c r="BR9" i="10"/>
  <c r="BQ9" i="10"/>
  <c r="BP9" i="10"/>
  <c r="BO9" i="10"/>
  <c r="BN9" i="10"/>
  <c r="BM9" i="10"/>
  <c r="BL9" i="10"/>
  <c r="BK9" i="10"/>
  <c r="BJ9" i="10"/>
  <c r="BI9" i="10"/>
  <c r="BH9" i="10"/>
  <c r="BG9" i="10"/>
  <c r="BF9" i="10"/>
  <c r="BE9" i="10"/>
  <c r="BD9" i="10"/>
  <c r="BC9" i="10"/>
  <c r="BB9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CU9" i="10" s="1"/>
  <c r="B9" i="10"/>
  <c r="A9" i="10"/>
  <c r="CT8" i="10"/>
  <c r="CS8" i="10"/>
  <c r="CR8" i="10"/>
  <c r="CQ8" i="10"/>
  <c r="CP8" i="10"/>
  <c r="CO8" i="10"/>
  <c r="CN8" i="10"/>
  <c r="CM8" i="10"/>
  <c r="CL8" i="10"/>
  <c r="CK8" i="10"/>
  <c r="CJ8" i="10"/>
  <c r="CI8" i="10"/>
  <c r="CH8" i="10"/>
  <c r="CG8" i="10"/>
  <c r="CF8" i="10"/>
  <c r="CE8" i="10"/>
  <c r="CD8" i="10"/>
  <c r="CC8" i="10"/>
  <c r="CB8" i="10"/>
  <c r="CA8" i="10"/>
  <c r="BZ8" i="10"/>
  <c r="BY8" i="10"/>
  <c r="BX8" i="10"/>
  <c r="BW8" i="10"/>
  <c r="BV8" i="10"/>
  <c r="BU8" i="10"/>
  <c r="BT8" i="10"/>
  <c r="BS8" i="10"/>
  <c r="BR8" i="10"/>
  <c r="BQ8" i="10"/>
  <c r="BP8" i="10"/>
  <c r="BO8" i="10"/>
  <c r="BN8" i="10"/>
  <c r="BM8" i="10"/>
  <c r="BL8" i="10"/>
  <c r="BK8" i="10"/>
  <c r="BJ8" i="10"/>
  <c r="BI8" i="10"/>
  <c r="BH8" i="10"/>
  <c r="BG8" i="10"/>
  <c r="BF8" i="10"/>
  <c r="BE8" i="10"/>
  <c r="BD8" i="10"/>
  <c r="BC8" i="10"/>
  <c r="BB8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CT7" i="10"/>
  <c r="CS7" i="10"/>
  <c r="CR7" i="10"/>
  <c r="CQ7" i="10"/>
  <c r="CP7" i="10"/>
  <c r="CO7" i="10"/>
  <c r="CN7" i="10"/>
  <c r="CM7" i="10"/>
  <c r="CL7" i="10"/>
  <c r="CK7" i="10"/>
  <c r="CJ7" i="10"/>
  <c r="CI7" i="10"/>
  <c r="CH7" i="10"/>
  <c r="CG7" i="10"/>
  <c r="CF7" i="10"/>
  <c r="CE7" i="10"/>
  <c r="CD7" i="10"/>
  <c r="CC7" i="10"/>
  <c r="CB7" i="10"/>
  <c r="CA7" i="10"/>
  <c r="BZ7" i="10"/>
  <c r="BY7" i="10"/>
  <c r="BX7" i="10"/>
  <c r="BW7" i="10"/>
  <c r="BV7" i="10"/>
  <c r="BU7" i="10"/>
  <c r="BT7" i="10"/>
  <c r="BS7" i="10"/>
  <c r="BR7" i="10"/>
  <c r="BQ7" i="10"/>
  <c r="BP7" i="10"/>
  <c r="BO7" i="10"/>
  <c r="BN7" i="10"/>
  <c r="BM7" i="10"/>
  <c r="BL7" i="10"/>
  <c r="BK7" i="10"/>
  <c r="BJ7" i="10"/>
  <c r="BI7" i="10"/>
  <c r="BH7" i="10"/>
  <c r="BG7" i="10"/>
  <c r="BF7" i="10"/>
  <c r="BE7" i="10"/>
  <c r="BD7" i="10"/>
  <c r="BC7" i="10"/>
  <c r="BB7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CU7" i="10" s="1"/>
  <c r="B7" i="10"/>
  <c r="A7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B5" i="10" s="1"/>
  <c r="A6" i="10"/>
  <c r="A5" i="10"/>
  <c r="M16" i="9"/>
  <c r="L16" i="9"/>
  <c r="K16" i="9"/>
  <c r="J16" i="9"/>
  <c r="I16" i="9"/>
  <c r="H16" i="9"/>
  <c r="G16" i="9"/>
  <c r="F16" i="9"/>
  <c r="E16" i="9"/>
  <c r="D16" i="9"/>
  <c r="B16" i="9"/>
  <c r="C16" i="9" s="1"/>
  <c r="E14" i="9"/>
  <c r="F14" i="9" s="1"/>
  <c r="G14" i="9" s="1"/>
  <c r="H14" i="9" s="1"/>
  <c r="I14" i="9" s="1"/>
  <c r="J14" i="9" s="1"/>
  <c r="K14" i="9" s="1"/>
  <c r="L14" i="9" s="1"/>
  <c r="M14" i="9" s="1"/>
  <c r="D14" i="9"/>
  <c r="B14" i="9"/>
  <c r="C14" i="9" s="1"/>
  <c r="M13" i="9"/>
  <c r="L13" i="9"/>
  <c r="K13" i="9"/>
  <c r="J13" i="9"/>
  <c r="I13" i="9"/>
  <c r="H13" i="9"/>
  <c r="G13" i="9"/>
  <c r="F13" i="9"/>
  <c r="E13" i="9"/>
  <c r="D13" i="9"/>
  <c r="C13" i="9"/>
  <c r="N10" i="9"/>
  <c r="N9" i="9"/>
  <c r="N8" i="9"/>
  <c r="N7" i="9"/>
  <c r="N6" i="9"/>
  <c r="B5" i="9"/>
  <c r="I13" i="1" s="1"/>
  <c r="M13" i="1" s="1"/>
  <c r="A1" i="9"/>
  <c r="L16" i="7"/>
  <c r="K16" i="7"/>
  <c r="J16" i="7"/>
  <c r="I16" i="7"/>
  <c r="H16" i="7"/>
  <c r="G16" i="7"/>
  <c r="F16" i="7"/>
  <c r="E16" i="7"/>
  <c r="D16" i="7"/>
  <c r="C16" i="7"/>
  <c r="B16" i="7"/>
  <c r="N16" i="7" s="1"/>
  <c r="B14" i="7"/>
  <c r="C14" i="7" s="1"/>
  <c r="D14" i="7" s="1"/>
  <c r="E14" i="7" s="1"/>
  <c r="F14" i="7" s="1"/>
  <c r="G14" i="7" s="1"/>
  <c r="H14" i="7" s="1"/>
  <c r="I14" i="7" s="1"/>
  <c r="J14" i="7" s="1"/>
  <c r="K14" i="7" s="1"/>
  <c r="L14" i="7" s="1"/>
  <c r="M14" i="7" s="1"/>
  <c r="N14" i="7" s="1"/>
  <c r="N13" i="7"/>
  <c r="M13" i="7"/>
  <c r="L13" i="7"/>
  <c r="K13" i="7"/>
  <c r="J13" i="7"/>
  <c r="I13" i="7"/>
  <c r="H13" i="7"/>
  <c r="G13" i="7"/>
  <c r="F13" i="7"/>
  <c r="E13" i="7"/>
  <c r="D13" i="7"/>
  <c r="C13" i="7"/>
  <c r="O10" i="7"/>
  <c r="O9" i="7"/>
  <c r="O8" i="7"/>
  <c r="O7" i="7"/>
  <c r="O6" i="7"/>
  <c r="B5" i="7"/>
  <c r="A1" i="7"/>
  <c r="R15" i="6"/>
  <c r="Q15" i="6"/>
  <c r="P15" i="6"/>
  <c r="M15" i="6"/>
  <c r="L15" i="6"/>
  <c r="K15" i="6"/>
  <c r="J15" i="6"/>
  <c r="I15" i="6"/>
  <c r="H15" i="6"/>
  <c r="G15" i="6"/>
  <c r="F15" i="6"/>
  <c r="E15" i="6"/>
  <c r="D15" i="6"/>
  <c r="B15" i="6"/>
  <c r="B13" i="6"/>
  <c r="C13" i="6" s="1"/>
  <c r="D13" i="6" s="1"/>
  <c r="E13" i="6" s="1"/>
  <c r="F13" i="6" s="1"/>
  <c r="G13" i="6" s="1"/>
  <c r="H13" i="6" s="1"/>
  <c r="I13" i="6" s="1"/>
  <c r="J13" i="6" s="1"/>
  <c r="K13" i="6" s="1"/>
  <c r="L13" i="6" s="1"/>
  <c r="M13" i="6" s="1"/>
  <c r="N13" i="6" s="1"/>
  <c r="O13" i="6" s="1"/>
  <c r="P13" i="6" s="1"/>
  <c r="Q13" i="6" s="1"/>
  <c r="R13" i="6" s="1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S9" i="6"/>
  <c r="S8" i="6"/>
  <c r="S7" i="6"/>
  <c r="S6" i="6"/>
  <c r="B5" i="6"/>
  <c r="I10" i="1" s="1"/>
  <c r="M10" i="1" s="1"/>
  <c r="A1" i="6"/>
  <c r="P15" i="5"/>
  <c r="O15" i="5"/>
  <c r="N15" i="5"/>
  <c r="M15" i="5"/>
  <c r="L15" i="5"/>
  <c r="K15" i="5"/>
  <c r="J15" i="5"/>
  <c r="H15" i="5"/>
  <c r="G15" i="5"/>
  <c r="F15" i="5"/>
  <c r="C15" i="5"/>
  <c r="B15" i="5"/>
  <c r="E13" i="5"/>
  <c r="F13" i="5" s="1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B13" i="5"/>
  <c r="C13" i="5" s="1"/>
  <c r="D13" i="5" s="1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Q9" i="5"/>
  <c r="Q8" i="5"/>
  <c r="Q7" i="5"/>
  <c r="Q6" i="5"/>
  <c r="L9" i="1" s="1"/>
  <c r="B5" i="5"/>
  <c r="I9" i="1" s="1"/>
  <c r="M9" i="1" s="1"/>
  <c r="A1" i="5"/>
  <c r="B15" i="4"/>
  <c r="F15" i="4" s="1"/>
  <c r="B13" i="4"/>
  <c r="C13" i="4" s="1"/>
  <c r="D13" i="4" s="1"/>
  <c r="E13" i="4" s="1"/>
  <c r="F13" i="4" s="1"/>
  <c r="G13" i="4" s="1"/>
  <c r="H13" i="4" s="1"/>
  <c r="I13" i="4" s="1"/>
  <c r="I12" i="4"/>
  <c r="H12" i="4"/>
  <c r="G12" i="4"/>
  <c r="F12" i="4"/>
  <c r="E12" i="4"/>
  <c r="D12" i="4"/>
  <c r="C12" i="4"/>
  <c r="J9" i="4"/>
  <c r="J8" i="4"/>
  <c r="J7" i="4"/>
  <c r="J6" i="4"/>
  <c r="B5" i="4"/>
  <c r="I8" i="1" s="1"/>
  <c r="M8" i="1" s="1"/>
  <c r="A1" i="4"/>
  <c r="O17" i="3"/>
  <c r="N17" i="3"/>
  <c r="M17" i="3"/>
  <c r="L17" i="3"/>
  <c r="K17" i="3"/>
  <c r="J17" i="3"/>
  <c r="I17" i="3"/>
  <c r="H17" i="3"/>
  <c r="G17" i="3"/>
  <c r="F17" i="3"/>
  <c r="E17" i="3"/>
  <c r="D17" i="3"/>
  <c r="B17" i="3"/>
  <c r="C17" i="3" s="1"/>
  <c r="J15" i="3"/>
  <c r="K15" i="3" s="1"/>
  <c r="L15" i="3" s="1"/>
  <c r="M15" i="3" s="1"/>
  <c r="N15" i="3" s="1"/>
  <c r="O15" i="3" s="1"/>
  <c r="B15" i="3"/>
  <c r="C15" i="3" s="1"/>
  <c r="D15" i="3" s="1"/>
  <c r="E15" i="3" s="1"/>
  <c r="F15" i="3" s="1"/>
  <c r="G15" i="3" s="1"/>
  <c r="H15" i="3" s="1"/>
  <c r="I15" i="3" s="1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P11" i="3"/>
  <c r="P10" i="3"/>
  <c r="P9" i="3"/>
  <c r="P8" i="3"/>
  <c r="P7" i="3"/>
  <c r="P6" i="3"/>
  <c r="B5" i="3"/>
  <c r="I7" i="1" s="1"/>
  <c r="M7" i="1" s="1"/>
  <c r="A1" i="3"/>
  <c r="I16" i="2"/>
  <c r="H16" i="2"/>
  <c r="G16" i="2"/>
  <c r="F16" i="2"/>
  <c r="E16" i="2"/>
  <c r="B16" i="2"/>
  <c r="D16" i="2" s="1"/>
  <c r="C14" i="2"/>
  <c r="D14" i="2" s="1"/>
  <c r="E14" i="2" s="1"/>
  <c r="F14" i="2" s="1"/>
  <c r="G14" i="2" s="1"/>
  <c r="H14" i="2" s="1"/>
  <c r="I14" i="2" s="1"/>
  <c r="B14" i="2"/>
  <c r="I13" i="2"/>
  <c r="H13" i="2"/>
  <c r="G13" i="2"/>
  <c r="F13" i="2"/>
  <c r="E13" i="2"/>
  <c r="D13" i="2"/>
  <c r="C13" i="2"/>
  <c r="J10" i="2"/>
  <c r="J9" i="2"/>
  <c r="J8" i="2"/>
  <c r="J7" i="2"/>
  <c r="J6" i="2"/>
  <c r="B5" i="2"/>
  <c r="I6" i="1" s="1"/>
  <c r="A1" i="2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C14" i="8"/>
  <c r="D14" i="8" s="1"/>
  <c r="E14" i="8" s="1"/>
  <c r="F14" i="8" s="1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B14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Q10" i="8"/>
  <c r="Q9" i="8"/>
  <c r="Q8" i="8"/>
  <c r="Q7" i="8"/>
  <c r="Q6" i="8"/>
  <c r="B5" i="8"/>
  <c r="I12" i="1" s="1"/>
  <c r="M12" i="1" s="1"/>
  <c r="A1" i="8"/>
  <c r="CU8" i="10" l="1"/>
  <c r="CU6" i="10"/>
  <c r="D15" i="4"/>
  <c r="I15" i="4"/>
  <c r="H15" i="4"/>
  <c r="C15" i="4"/>
  <c r="L7" i="1"/>
  <c r="E15" i="4"/>
  <c r="B39" i="10"/>
  <c r="G15" i="4"/>
  <c r="B11" i="10"/>
  <c r="B54" i="10" s="1"/>
  <c r="G7" i="1"/>
  <c r="CJ17" i="10"/>
  <c r="BT17" i="10"/>
  <c r="E8" i="1"/>
  <c r="F7" i="1"/>
  <c r="CK17" i="10"/>
  <c r="BS17" i="10"/>
  <c r="BC17" i="10"/>
  <c r="AM17" i="10"/>
  <c r="W17" i="10"/>
  <c r="G17" i="10"/>
  <c r="CL16" i="10"/>
  <c r="BV16" i="10"/>
  <c r="BF16" i="10"/>
  <c r="AP16" i="10"/>
  <c r="Z16" i="10"/>
  <c r="J16" i="10"/>
  <c r="CO15" i="10"/>
  <c r="BY15" i="10"/>
  <c r="BI15" i="10"/>
  <c r="AS15" i="10"/>
  <c r="AC15" i="10"/>
  <c r="M15" i="10"/>
  <c r="CR14" i="10"/>
  <c r="CB14" i="10"/>
  <c r="BL14" i="10"/>
  <c r="AV14" i="10"/>
  <c r="AF14" i="10"/>
  <c r="CT17" i="10"/>
  <c r="CB17" i="10"/>
  <c r="BJ17" i="10"/>
  <c r="AS17" i="10"/>
  <c r="AB17" i="10"/>
  <c r="K17" i="10"/>
  <c r="CO16" i="10"/>
  <c r="BX16" i="10"/>
  <c r="BG16" i="10"/>
  <c r="AO16" i="10"/>
  <c r="X16" i="10"/>
  <c r="G16" i="10"/>
  <c r="CK15" i="10"/>
  <c r="BT15" i="10"/>
  <c r="BC15" i="10"/>
  <c r="AL15" i="10"/>
  <c r="U15" i="10"/>
  <c r="D15" i="10"/>
  <c r="CH14" i="10"/>
  <c r="BQ14" i="10"/>
  <c r="AZ14" i="10"/>
  <c r="AI14" i="10"/>
  <c r="R14" i="10"/>
  <c r="CG13" i="10"/>
  <c r="BQ13" i="10"/>
  <c r="BA13" i="10"/>
  <c r="AK13" i="10"/>
  <c r="U13" i="10"/>
  <c r="E13" i="10"/>
  <c r="CJ12" i="10"/>
  <c r="BT12" i="10"/>
  <c r="BD12" i="10"/>
  <c r="AN12" i="10"/>
  <c r="X12" i="10"/>
  <c r="H12" i="10"/>
  <c r="CS17" i="10"/>
  <c r="CA17" i="10"/>
  <c r="BI17" i="10"/>
  <c r="AR17" i="10"/>
  <c r="AA17" i="10"/>
  <c r="J17" i="10"/>
  <c r="CN16" i="10"/>
  <c r="BW16" i="10"/>
  <c r="BE16" i="10"/>
  <c r="AN16" i="10"/>
  <c r="W16" i="10"/>
  <c r="F16" i="10"/>
  <c r="CU16" i="10" s="1"/>
  <c r="CJ15" i="10"/>
  <c r="BS15" i="10"/>
  <c r="BB15" i="10"/>
  <c r="AK15" i="10"/>
  <c r="T15" i="10"/>
  <c r="C15" i="10"/>
  <c r="CG14" i="10"/>
  <c r="BP14" i="10"/>
  <c r="AY14" i="10"/>
  <c r="AH14" i="10"/>
  <c r="Q14" i="10"/>
  <c r="CF13" i="10"/>
  <c r="BP13" i="10"/>
  <c r="AZ13" i="10"/>
  <c r="AJ13" i="10"/>
  <c r="T13" i="10"/>
  <c r="D13" i="10"/>
  <c r="CU13" i="10" s="1"/>
  <c r="CI12" i="10"/>
  <c r="BS12" i="10"/>
  <c r="BC12" i="10"/>
  <c r="AM12" i="10"/>
  <c r="W12" i="10"/>
  <c r="G12" i="10"/>
  <c r="CO17" i="10"/>
  <c r="BW17" i="10"/>
  <c r="BE17" i="10"/>
  <c r="AN17" i="10"/>
  <c r="V17" i="10"/>
  <c r="E17" i="10"/>
  <c r="CI16" i="10"/>
  <c r="BR16" i="10"/>
  <c r="BA16" i="10"/>
  <c r="AJ16" i="10"/>
  <c r="S16" i="10"/>
  <c r="CF15" i="10"/>
  <c r="BO15" i="10"/>
  <c r="AX15" i="10"/>
  <c r="AG15" i="10"/>
  <c r="P15" i="10"/>
  <c r="CT14" i="10"/>
  <c r="CC14" i="10"/>
  <c r="BK14" i="10"/>
  <c r="AT14" i="10"/>
  <c r="AC14" i="10"/>
  <c r="M14" i="10"/>
  <c r="CR13" i="10"/>
  <c r="CB13" i="10"/>
  <c r="BL13" i="10"/>
  <c r="AV13" i="10"/>
  <c r="AF13" i="10"/>
  <c r="P13" i="10"/>
  <c r="CE12" i="10"/>
  <c r="BO12" i="10"/>
  <c r="AY12" i="10"/>
  <c r="AI12" i="10"/>
  <c r="S12" i="10"/>
  <c r="C12" i="10"/>
  <c r="CN17" i="10"/>
  <c r="BV17" i="10"/>
  <c r="BD17" i="10"/>
  <c r="AL17" i="10"/>
  <c r="U17" i="10"/>
  <c r="D17" i="10"/>
  <c r="CH16" i="10"/>
  <c r="BQ16" i="10"/>
  <c r="AZ16" i="10"/>
  <c r="AI16" i="10"/>
  <c r="R16" i="10"/>
  <c r="CE15" i="10"/>
  <c r="BN15" i="10"/>
  <c r="AW15" i="10"/>
  <c r="AF15" i="10"/>
  <c r="O15" i="10"/>
  <c r="CS14" i="10"/>
  <c r="CA14" i="10"/>
  <c r="BJ14" i="10"/>
  <c r="AS14" i="10"/>
  <c r="AB14" i="10"/>
  <c r="L14" i="10"/>
  <c r="CQ13" i="10"/>
  <c r="CA13" i="10"/>
  <c r="BK13" i="10"/>
  <c r="AU13" i="10"/>
  <c r="AE13" i="10"/>
  <c r="O13" i="10"/>
  <c r="CT12" i="10"/>
  <c r="CD12" i="10"/>
  <c r="BN12" i="10"/>
  <c r="AX12" i="10"/>
  <c r="AH12" i="10"/>
  <c r="R12" i="10"/>
  <c r="CG17" i="10"/>
  <c r="BK17" i="10"/>
  <c r="AK17" i="10"/>
  <c r="P17" i="10"/>
  <c r="CP16" i="10"/>
  <c r="CF17" i="10"/>
  <c r="BH17" i="10"/>
  <c r="AJ17" i="10"/>
  <c r="O17" i="10"/>
  <c r="CM16" i="10"/>
  <c r="BO16" i="10"/>
  <c r="AT16" i="10"/>
  <c r="V16" i="10"/>
  <c r="CA15" i="10"/>
  <c r="BE15" i="10"/>
  <c r="AH15" i="10"/>
  <c r="J15" i="10"/>
  <c r="CJ14" i="10"/>
  <c r="BM14" i="10"/>
  <c r="AO14" i="10"/>
  <c r="T14" i="10"/>
  <c r="BY13" i="10"/>
  <c r="BE13" i="10"/>
  <c r="AI13" i="10"/>
  <c r="M13" i="10"/>
  <c r="CN12" i="10"/>
  <c r="BR12" i="10"/>
  <c r="AV12" i="10"/>
  <c r="AB12" i="10"/>
  <c r="F12" i="10"/>
  <c r="BZ17" i="10"/>
  <c r="BA17" i="10"/>
  <c r="AF17" i="10"/>
  <c r="I17" i="10"/>
  <c r="CF16" i="10"/>
  <c r="BK16" i="10"/>
  <c r="AM16" i="10"/>
  <c r="P16" i="10"/>
  <c r="CR15" i="10"/>
  <c r="BV15" i="10"/>
  <c r="AY15" i="10"/>
  <c r="AA15" i="10"/>
  <c r="F15" i="10"/>
  <c r="CD14" i="10"/>
  <c r="BF14" i="10"/>
  <c r="AK14" i="10"/>
  <c r="N14" i="10"/>
  <c r="CO13" i="10"/>
  <c r="BU13" i="10"/>
  <c r="AY13" i="10"/>
  <c r="AC13" i="10"/>
  <c r="I13" i="10"/>
  <c r="CH12" i="10"/>
  <c r="BL12" i="10"/>
  <c r="AR12" i="10"/>
  <c r="V12" i="10"/>
  <c r="CD16" i="10"/>
  <c r="CP15" i="10"/>
  <c r="Y15" i="10"/>
  <c r="BY14" i="10"/>
  <c r="BD14" i="10"/>
  <c r="J14" i="10"/>
  <c r="CU14" i="10" s="1"/>
  <c r="BS13" i="10"/>
  <c r="AA13" i="10"/>
  <c r="G13" i="10"/>
  <c r="BJ12" i="10"/>
  <c r="AP12" i="10"/>
  <c r="BY17" i="10"/>
  <c r="AZ17" i="10"/>
  <c r="AE17" i="10"/>
  <c r="H17" i="10"/>
  <c r="CE16" i="10"/>
  <c r="BJ16" i="10"/>
  <c r="AL16" i="10"/>
  <c r="O16" i="10"/>
  <c r="CQ15" i="10"/>
  <c r="BU15" i="10"/>
  <c r="AV15" i="10"/>
  <c r="Z15" i="10"/>
  <c r="E15" i="10"/>
  <c r="BZ14" i="10"/>
  <c r="BE14" i="10"/>
  <c r="AJ14" i="10"/>
  <c r="K14" i="10"/>
  <c r="CN13" i="10"/>
  <c r="BT13" i="10"/>
  <c r="AX13" i="10"/>
  <c r="AB13" i="10"/>
  <c r="H13" i="10"/>
  <c r="CG12" i="10"/>
  <c r="BK12" i="10"/>
  <c r="AQ12" i="10"/>
  <c r="U12" i="10"/>
  <c r="BX17" i="10"/>
  <c r="AY17" i="10"/>
  <c r="AD17" i="10"/>
  <c r="F17" i="10"/>
  <c r="BI16" i="10"/>
  <c r="AK16" i="10"/>
  <c r="N16" i="10"/>
  <c r="BR15" i="10"/>
  <c r="AU15" i="10"/>
  <c r="AG14" i="10"/>
  <c r="CM13" i="10"/>
  <c r="AW13" i="10"/>
  <c r="CF12" i="10"/>
  <c r="T12" i="10"/>
  <c r="L12" i="1"/>
  <c r="L13" i="1"/>
  <c r="C16" i="2"/>
  <c r="L10" i="1"/>
  <c r="I15" i="5"/>
  <c r="E15" i="5"/>
  <c r="D15" i="5"/>
  <c r="C15" i="6"/>
  <c r="O15" i="6"/>
  <c r="N15" i="6"/>
  <c r="L11" i="1"/>
  <c r="I14" i="1"/>
  <c r="M6" i="1"/>
  <c r="M14" i="1" s="1"/>
  <c r="L8" i="1"/>
  <c r="M16" i="7"/>
  <c r="C14" i="1"/>
  <c r="L6" i="1"/>
  <c r="D14" i="1"/>
  <c r="D20" i="1" s="1"/>
  <c r="E20" i="1" s="1"/>
  <c r="F20" i="1" s="1"/>
  <c r="G6" i="1"/>
  <c r="B58" i="10" l="1"/>
  <c r="B56" i="10"/>
  <c r="CU15" i="10"/>
  <c r="CU17" i="10"/>
  <c r="L14" i="1"/>
  <c r="C22" i="1" s="1"/>
  <c r="CU12" i="10"/>
  <c r="F8" i="1"/>
  <c r="G8" i="1"/>
  <c r="CL22" i="10"/>
  <c r="BV22" i="10"/>
  <c r="BF22" i="10"/>
  <c r="AP22" i="10"/>
  <c r="Z22" i="10"/>
  <c r="J22" i="10"/>
  <c r="CO21" i="10"/>
  <c r="BY21" i="10"/>
  <c r="BI21" i="10"/>
  <c r="AS21" i="10"/>
  <c r="AC21" i="10"/>
  <c r="M21" i="10"/>
  <c r="CR20" i="10"/>
  <c r="CB20" i="10"/>
  <c r="BL20" i="10"/>
  <c r="AV20" i="10"/>
  <c r="AF20" i="10"/>
  <c r="P20" i="10"/>
  <c r="CE19" i="10"/>
  <c r="BO19" i="10"/>
  <c r="AY19" i="10"/>
  <c r="AI19" i="10"/>
  <c r="S19" i="10"/>
  <c r="C19" i="10"/>
  <c r="E9" i="1"/>
  <c r="CO22" i="10"/>
  <c r="BX22" i="10"/>
  <c r="BG22" i="10"/>
  <c r="AO22" i="10"/>
  <c r="CH22" i="10"/>
  <c r="BP22" i="10"/>
  <c r="AX22" i="10"/>
  <c r="AF22" i="10"/>
  <c r="O22" i="10"/>
  <c r="CS21" i="10"/>
  <c r="CB21" i="10"/>
  <c r="BK21" i="10"/>
  <c r="AT21" i="10"/>
  <c r="AB21" i="10"/>
  <c r="K21" i="10"/>
  <c r="CO20" i="10"/>
  <c r="BX20" i="10"/>
  <c r="BG20" i="10"/>
  <c r="AP20" i="10"/>
  <c r="Y20" i="10"/>
  <c r="H20" i="10"/>
  <c r="CL19" i="10"/>
  <c r="BU19" i="10"/>
  <c r="BD19" i="10"/>
  <c r="AM19" i="10"/>
  <c r="V19" i="10"/>
  <c r="E19" i="10"/>
  <c r="CG22" i="10"/>
  <c r="BN22" i="10"/>
  <c r="AU22" i="10"/>
  <c r="AB22" i="10"/>
  <c r="I22" i="10"/>
  <c r="CL21" i="10"/>
  <c r="BT21" i="10"/>
  <c r="BB21" i="10"/>
  <c r="AJ21" i="10"/>
  <c r="R21" i="10"/>
  <c r="CC20" i="10"/>
  <c r="BJ20" i="10"/>
  <c r="AR20" i="10"/>
  <c r="Z20" i="10"/>
  <c r="G20" i="10"/>
  <c r="CJ19" i="10"/>
  <c r="BR19" i="10"/>
  <c r="AZ19" i="10"/>
  <c r="AG19" i="10"/>
  <c r="O19" i="10"/>
  <c r="CF22" i="10"/>
  <c r="BM22" i="10"/>
  <c r="AT22" i="10"/>
  <c r="AA22" i="10"/>
  <c r="H22" i="10"/>
  <c r="CK21" i="10"/>
  <c r="BS21" i="10"/>
  <c r="BA21" i="10"/>
  <c r="AI21" i="10"/>
  <c r="Q21" i="10"/>
  <c r="CT20" i="10"/>
  <c r="CA20" i="10"/>
  <c r="BI20" i="10"/>
  <c r="AQ20" i="10"/>
  <c r="X20" i="10"/>
  <c r="F20" i="10"/>
  <c r="CI19" i="10"/>
  <c r="BQ19" i="10"/>
  <c r="AX19" i="10"/>
  <c r="AF19" i="10"/>
  <c r="N19" i="10"/>
  <c r="CB22" i="10"/>
  <c r="BI22" i="10"/>
  <c r="AN22" i="10"/>
  <c r="V22" i="10"/>
  <c r="D22" i="10"/>
  <c r="CG21" i="10"/>
  <c r="BO21" i="10"/>
  <c r="AW21" i="10"/>
  <c r="AE21" i="10"/>
  <c r="L21" i="10"/>
  <c r="CN20" i="10"/>
  <c r="BV20" i="10"/>
  <c r="BD20" i="10"/>
  <c r="AL20" i="10"/>
  <c r="T20" i="10"/>
  <c r="CD19" i="10"/>
  <c r="BL19" i="10"/>
  <c r="AT19" i="10"/>
  <c r="AB19" i="10"/>
  <c r="J19" i="10"/>
  <c r="CT22" i="10"/>
  <c r="CA22" i="10"/>
  <c r="BH22" i="10"/>
  <c r="AM22" i="10"/>
  <c r="U22" i="10"/>
  <c r="C22" i="10"/>
  <c r="CF21" i="10"/>
  <c r="BN21" i="10"/>
  <c r="AV21" i="10"/>
  <c r="AD21" i="10"/>
  <c r="J21" i="10"/>
  <c r="CM20" i="10"/>
  <c r="BU20" i="10"/>
  <c r="BC20" i="10"/>
  <c r="AK20" i="10"/>
  <c r="S20" i="10"/>
  <c r="CC19" i="10"/>
  <c r="BK19" i="10"/>
  <c r="AS19" i="10"/>
  <c r="AA19" i="10"/>
  <c r="I19" i="10"/>
  <c r="BW22" i="10"/>
  <c r="AY22" i="10"/>
  <c r="X22" i="10"/>
  <c r="BW21" i="10"/>
  <c r="AY21" i="10"/>
  <c r="Y21" i="10"/>
  <c r="C21" i="10"/>
  <c r="BY20" i="10"/>
  <c r="AZ20" i="10"/>
  <c r="AC20" i="10"/>
  <c r="D20" i="10"/>
  <c r="CB19" i="10"/>
  <c r="BF19" i="10"/>
  <c r="AH19" i="10"/>
  <c r="H19" i="10"/>
  <c r="BU22" i="10"/>
  <c r="AW22" i="10"/>
  <c r="W22" i="10"/>
  <c r="CT21" i="10"/>
  <c r="BV21" i="10"/>
  <c r="AX21" i="10"/>
  <c r="X21" i="10"/>
  <c r="BW20" i="10"/>
  <c r="AY20" i="10"/>
  <c r="AB20" i="10"/>
  <c r="C20" i="10"/>
  <c r="CA19" i="10"/>
  <c r="BE19" i="10"/>
  <c r="AE19" i="10"/>
  <c r="G19" i="10"/>
  <c r="CP22" i="10"/>
  <c r="BQ22" i="10"/>
  <c r="AQ22" i="10"/>
  <c r="Q22" i="10"/>
  <c r="CN21" i="10"/>
  <c r="BP21" i="10"/>
  <c r="AP21" i="10"/>
  <c r="T21" i="10"/>
  <c r="CP20" i="10"/>
  <c r="BQ20" i="10"/>
  <c r="AT20" i="10"/>
  <c r="U20" i="10"/>
  <c r="CS19" i="10"/>
  <c r="BW19" i="10"/>
  <c r="AW19" i="10"/>
  <c r="Y19" i="10"/>
  <c r="CM22" i="10"/>
  <c r="BL22" i="10"/>
  <c r="AK22" i="10"/>
  <c r="N22" i="10"/>
  <c r="CJ21" i="10"/>
  <c r="BL21" i="10"/>
  <c r="AN21" i="10"/>
  <c r="P21" i="10"/>
  <c r="BO20" i="10"/>
  <c r="AO20" i="10"/>
  <c r="Q20" i="10"/>
  <c r="CQ19" i="10"/>
  <c r="AU19" i="10"/>
  <c r="W19" i="10"/>
  <c r="CN22" i="10"/>
  <c r="BO22" i="10"/>
  <c r="AL22" i="10"/>
  <c r="P22" i="10"/>
  <c r="CM21" i="10"/>
  <c r="BM21" i="10"/>
  <c r="AO21" i="10"/>
  <c r="S21" i="10"/>
  <c r="CL20" i="10"/>
  <c r="BP20" i="10"/>
  <c r="AS20" i="10"/>
  <c r="R20" i="10"/>
  <c r="CR19" i="10"/>
  <c r="BV19" i="10"/>
  <c r="AV19" i="10"/>
  <c r="X19" i="10"/>
  <c r="CK20" i="10"/>
  <c r="BT19" i="10"/>
  <c r="CC22" i="10"/>
  <c r="AR22" i="10"/>
  <c r="F22" i="10"/>
  <c r="BR21" i="10"/>
  <c r="AH21" i="10"/>
  <c r="BM20" i="10"/>
  <c r="AE20" i="10"/>
  <c r="CP19" i="10"/>
  <c r="BI19" i="10"/>
  <c r="Z19" i="10"/>
  <c r="AI22" i="10"/>
  <c r="BH20" i="10"/>
  <c r="T19" i="10"/>
  <c r="BT22" i="10"/>
  <c r="BC19" i="10"/>
  <c r="BS22" i="10"/>
  <c r="AG22" i="10"/>
  <c r="CR21" i="10"/>
  <c r="BG21" i="10"/>
  <c r="Z21" i="10"/>
  <c r="CJ20" i="10"/>
  <c r="BE20" i="10"/>
  <c r="V20" i="10"/>
  <c r="CK19" i="10"/>
  <c r="BB19" i="10"/>
  <c r="Q19" i="10"/>
  <c r="BZ22" i="10"/>
  <c r="AJ22" i="10"/>
  <c r="E22" i="10"/>
  <c r="BQ21" i="10"/>
  <c r="AG21" i="10"/>
  <c r="BK20" i="10"/>
  <c r="AD20" i="10"/>
  <c r="CO19" i="10"/>
  <c r="BH19" i="10"/>
  <c r="U19" i="10"/>
  <c r="BY22" i="10"/>
  <c r="BJ21" i="10"/>
  <c r="AF21" i="10"/>
  <c r="CS20" i="10"/>
  <c r="AA20" i="10"/>
  <c r="CN19" i="10"/>
  <c r="BG19" i="10"/>
  <c r="AH22" i="10"/>
  <c r="BH21" i="10"/>
  <c r="AA21" i="10"/>
  <c r="CQ20" i="10"/>
  <c r="BF20" i="10"/>
  <c r="W20" i="10"/>
  <c r="CM19" i="10"/>
  <c r="R19" i="10"/>
  <c r="BR22" i="10"/>
  <c r="AE22" i="10"/>
  <c r="CQ21" i="10"/>
  <c r="BF21" i="10"/>
  <c r="W21" i="10"/>
  <c r="CI20" i="10"/>
  <c r="BB20" i="10"/>
  <c r="O20" i="10"/>
  <c r="CH19" i="10"/>
  <c r="BA19" i="10"/>
  <c r="P19" i="10"/>
  <c r="BJ22" i="10"/>
  <c r="AC22" i="10"/>
  <c r="CI21" i="10"/>
  <c r="BD21" i="10"/>
  <c r="U21" i="10"/>
  <c r="CG20" i="10"/>
  <c r="AX20" i="10"/>
  <c r="M20" i="10"/>
  <c r="CF19" i="10"/>
  <c r="AQ19" i="10"/>
  <c r="L19" i="10"/>
  <c r="K19" i="10"/>
  <c r="CR22" i="10"/>
  <c r="BD22" i="10"/>
  <c r="T22" i="10"/>
  <c r="CE21" i="10"/>
  <c r="AZ21" i="10"/>
  <c r="N21" i="10"/>
  <c r="CE20" i="10"/>
  <c r="AU20" i="10"/>
  <c r="BY19" i="10"/>
  <c r="AO19" i="10"/>
  <c r="F19" i="10"/>
  <c r="CQ22" i="10"/>
  <c r="BC22" i="10"/>
  <c r="S22" i="10"/>
  <c r="CD21" i="10"/>
  <c r="AU21" i="10"/>
  <c r="I21" i="10"/>
  <c r="CD20" i="10"/>
  <c r="AN20" i="10"/>
  <c r="J20" i="10"/>
  <c r="BX19" i="10"/>
  <c r="AN19" i="10"/>
  <c r="D19" i="10"/>
  <c r="CK22" i="10"/>
  <c r="BB22" i="10"/>
  <c r="R22" i="10"/>
  <c r="CC21" i="10"/>
  <c r="AR21" i="10"/>
  <c r="BZ20" i="10"/>
  <c r="AM20" i="10"/>
  <c r="I20" i="10"/>
  <c r="BS19" i="10"/>
  <c r="AL19" i="10"/>
  <c r="CJ22" i="10"/>
  <c r="CI22" i="10"/>
  <c r="AZ22" i="10"/>
  <c r="L22" i="10"/>
  <c r="BZ21" i="10"/>
  <c r="AM21" i="10"/>
  <c r="F21" i="10"/>
  <c r="BS20" i="10"/>
  <c r="AI20" i="10"/>
  <c r="BN19" i="10"/>
  <c r="AJ19" i="10"/>
  <c r="BK22" i="10"/>
  <c r="AD22" i="10"/>
  <c r="CP21" i="10"/>
  <c r="BE21" i="10"/>
  <c r="V21" i="10"/>
  <c r="CH20" i="10"/>
  <c r="BA20" i="10"/>
  <c r="N20" i="10"/>
  <c r="CG19" i="10"/>
  <c r="AR19" i="10"/>
  <c r="M19" i="10"/>
  <c r="CS22" i="10"/>
  <c r="BE22" i="10"/>
  <c r="Y22" i="10"/>
  <c r="CH21" i="10"/>
  <c r="BC21" i="10"/>
  <c r="O21" i="10"/>
  <c r="CF20" i="10"/>
  <c r="AW20" i="10"/>
  <c r="L20" i="10"/>
  <c r="BZ19" i="10"/>
  <c r="AP19" i="10"/>
  <c r="K20" i="10"/>
  <c r="H21" i="10"/>
  <c r="BA22" i="10"/>
  <c r="M22" i="10"/>
  <c r="CA21" i="10"/>
  <c r="AQ21" i="10"/>
  <c r="G21" i="10"/>
  <c r="BT20" i="10"/>
  <c r="AJ20" i="10"/>
  <c r="E20" i="10"/>
  <c r="BP19" i="10"/>
  <c r="AK19" i="10"/>
  <c r="CE22" i="10"/>
  <c r="BR20" i="10"/>
  <c r="CD22" i="10"/>
  <c r="BN20" i="10"/>
  <c r="AV22" i="10"/>
  <c r="AH20" i="10"/>
  <c r="K22" i="10"/>
  <c r="G22" i="10"/>
  <c r="CT19" i="10"/>
  <c r="BM19" i="10"/>
  <c r="BJ19" i="10"/>
  <c r="BU21" i="10"/>
  <c r="AD19" i="10"/>
  <c r="AL21" i="10"/>
  <c r="AC19" i="10"/>
  <c r="BX21" i="10"/>
  <c r="AS22" i="10"/>
  <c r="AG20" i="10"/>
  <c r="AK21" i="10"/>
  <c r="E21" i="10"/>
  <c r="D21" i="10"/>
  <c r="K13" i="1"/>
  <c r="K6" i="1"/>
  <c r="K9" i="1"/>
  <c r="K8" i="1"/>
  <c r="K10" i="1"/>
  <c r="K7" i="1"/>
  <c r="K12" i="1"/>
  <c r="D19" i="1"/>
  <c r="E19" i="1" s="1"/>
  <c r="F19" i="1" s="1"/>
  <c r="K11" i="1"/>
  <c r="CU20" i="10" l="1"/>
  <c r="K14" i="1"/>
  <c r="CU21" i="10"/>
  <c r="E10" i="1"/>
  <c r="F9" i="1"/>
  <c r="CN27" i="10"/>
  <c r="BX27" i="10"/>
  <c r="BH27" i="10"/>
  <c r="AR27" i="10"/>
  <c r="AB27" i="10"/>
  <c r="L27" i="10"/>
  <c r="CQ26" i="10"/>
  <c r="CA26" i="10"/>
  <c r="BK26" i="10"/>
  <c r="AU26" i="10"/>
  <c r="AE26" i="10"/>
  <c r="O26" i="10"/>
  <c r="CT25" i="10"/>
  <c r="CD25" i="10"/>
  <c r="BN25" i="10"/>
  <c r="AX25" i="10"/>
  <c r="AH25" i="10"/>
  <c r="R25" i="10"/>
  <c r="CG24" i="10"/>
  <c r="BQ24" i="10"/>
  <c r="BA24" i="10"/>
  <c r="AK24" i="10"/>
  <c r="U24" i="10"/>
  <c r="E24" i="10"/>
  <c r="G9" i="1"/>
  <c r="CE27" i="10"/>
  <c r="CP27" i="10"/>
  <c r="BW27" i="10"/>
  <c r="BF27" i="10"/>
  <c r="AO27" i="10"/>
  <c r="X27" i="10"/>
  <c r="G27" i="10"/>
  <c r="CK26" i="10"/>
  <c r="BT26" i="10"/>
  <c r="BC26" i="10"/>
  <c r="AL26" i="10"/>
  <c r="U26" i="10"/>
  <c r="D26" i="10"/>
  <c r="CH25" i="10"/>
  <c r="BQ25" i="10"/>
  <c r="AZ25" i="10"/>
  <c r="AI25" i="10"/>
  <c r="Q25" i="10"/>
  <c r="CE24" i="10"/>
  <c r="BN24" i="10"/>
  <c r="AW24" i="10"/>
  <c r="AF24" i="10"/>
  <c r="O24" i="10"/>
  <c r="CB27" i="10"/>
  <c r="BJ27" i="10"/>
  <c r="AQ27" i="10"/>
  <c r="Y27" i="10"/>
  <c r="F27" i="10"/>
  <c r="CI26" i="10"/>
  <c r="BQ26" i="10"/>
  <c r="CQ27" i="10"/>
  <c r="BV27" i="10"/>
  <c r="BD27" i="10"/>
  <c r="AL27" i="10"/>
  <c r="T27" i="10"/>
  <c r="CE26" i="10"/>
  <c r="BM26" i="10"/>
  <c r="AT26" i="10"/>
  <c r="AB26" i="10"/>
  <c r="J26" i="10"/>
  <c r="CM25" i="10"/>
  <c r="BU25" i="10"/>
  <c r="BC25" i="10"/>
  <c r="AK25" i="10"/>
  <c r="S25" i="10"/>
  <c r="CD24" i="10"/>
  <c r="BL24" i="10"/>
  <c r="AT24" i="10"/>
  <c r="AB24" i="10"/>
  <c r="J24" i="10"/>
  <c r="CI27" i="10"/>
  <c r="BN27" i="10"/>
  <c r="AT27" i="10"/>
  <c r="W27" i="10"/>
  <c r="C27" i="10"/>
  <c r="CD26" i="10"/>
  <c r="BI26" i="10"/>
  <c r="AP26" i="10"/>
  <c r="W26" i="10"/>
  <c r="C26" i="10"/>
  <c r="CE25" i="10"/>
  <c r="BK25" i="10"/>
  <c r="AR25" i="10"/>
  <c r="Y25" i="10"/>
  <c r="F25" i="10"/>
  <c r="CK24" i="10"/>
  <c r="BR24" i="10"/>
  <c r="AX24" i="10"/>
  <c r="CF27" i="10"/>
  <c r="BK27" i="10"/>
  <c r="AN27" i="10"/>
  <c r="S27" i="10"/>
  <c r="BZ26" i="10"/>
  <c r="BF26" i="10"/>
  <c r="AM26" i="10"/>
  <c r="S26" i="10"/>
  <c r="CA25" i="10"/>
  <c r="BH25" i="10"/>
  <c r="AO25" i="10"/>
  <c r="V25" i="10"/>
  <c r="C25" i="10"/>
  <c r="CH24" i="10"/>
  <c r="BM24" i="10"/>
  <c r="AS24" i="10"/>
  <c r="CC27" i="10"/>
  <c r="BG27" i="10"/>
  <c r="AK27" i="10"/>
  <c r="Q27" i="10"/>
  <c r="CS26" i="10"/>
  <c r="BX26" i="10"/>
  <c r="BD26" i="10"/>
  <c r="AJ26" i="10"/>
  <c r="Q26" i="10"/>
  <c r="CR25" i="10"/>
  <c r="BY25" i="10"/>
  <c r="BF25" i="10"/>
  <c r="AM25" i="10"/>
  <c r="T25" i="10"/>
  <c r="CC24" i="10"/>
  <c r="BJ24" i="10"/>
  <c r="AQ24" i="10"/>
  <c r="X24" i="10"/>
  <c r="D24" i="10"/>
  <c r="CK27" i="10"/>
  <c r="BL27" i="10"/>
  <c r="AI27" i="10"/>
  <c r="K27" i="10"/>
  <c r="CH26" i="10"/>
  <c r="BH26" i="10"/>
  <c r="AI26" i="10"/>
  <c r="L26" i="10"/>
  <c r="CJ25" i="10"/>
  <c r="BL25" i="10"/>
  <c r="AN25" i="10"/>
  <c r="N25" i="10"/>
  <c r="CQ24" i="10"/>
  <c r="BU24" i="10"/>
  <c r="AV24" i="10"/>
  <c r="Z24" i="10"/>
  <c r="F24" i="10"/>
  <c r="CJ27" i="10"/>
  <c r="BI27" i="10"/>
  <c r="AH27" i="10"/>
  <c r="J27" i="10"/>
  <c r="CG26" i="10"/>
  <c r="BG26" i="10"/>
  <c r="AH26" i="10"/>
  <c r="K26" i="10"/>
  <c r="CI25" i="10"/>
  <c r="BJ25" i="10"/>
  <c r="AL25" i="10"/>
  <c r="M25" i="10"/>
  <c r="CP24" i="10"/>
  <c r="BT24" i="10"/>
  <c r="AU24" i="10"/>
  <c r="Y24" i="10"/>
  <c r="C24" i="10"/>
  <c r="CA27" i="10"/>
  <c r="BA27" i="10"/>
  <c r="AD27" i="10"/>
  <c r="D27" i="10"/>
  <c r="BY26" i="10"/>
  <c r="AZ26" i="10"/>
  <c r="AC26" i="10"/>
  <c r="F26" i="10"/>
  <c r="CB25" i="10"/>
  <c r="BD25" i="10"/>
  <c r="AE25" i="10"/>
  <c r="I25" i="10"/>
  <c r="CL24" i="10"/>
  <c r="BK24" i="10"/>
  <c r="AN24" i="10"/>
  <c r="S24" i="10"/>
  <c r="BZ27" i="10"/>
  <c r="AZ27" i="10"/>
  <c r="AC27" i="10"/>
  <c r="BW26" i="10"/>
  <c r="AY26" i="10"/>
  <c r="AA26" i="10"/>
  <c r="E26" i="10"/>
  <c r="BZ25" i="10"/>
  <c r="BB25" i="10"/>
  <c r="AD25" i="10"/>
  <c r="H25" i="10"/>
  <c r="CJ24" i="10"/>
  <c r="BI24" i="10"/>
  <c r="AM24" i="10"/>
  <c r="R24" i="10"/>
  <c r="BY27" i="10"/>
  <c r="AU27" i="10"/>
  <c r="M27" i="10"/>
  <c r="CB26" i="10"/>
  <c r="AS26" i="10"/>
  <c r="N26" i="10"/>
  <c r="CC25" i="10"/>
  <c r="AV25" i="10"/>
  <c r="P25" i="10"/>
  <c r="CM24" i="10"/>
  <c r="BE24" i="10"/>
  <c r="AC24" i="10"/>
  <c r="BU27" i="10"/>
  <c r="AS27" i="10"/>
  <c r="I27" i="10"/>
  <c r="BV26" i="10"/>
  <c r="AR26" i="10"/>
  <c r="M26" i="10"/>
  <c r="BX25" i="10"/>
  <c r="AU25" i="10"/>
  <c r="O25" i="10"/>
  <c r="CI24" i="10"/>
  <c r="BD24" i="10"/>
  <c r="AA24" i="10"/>
  <c r="BQ27" i="10"/>
  <c r="AG27" i="10"/>
  <c r="BP26" i="10"/>
  <c r="AK26" i="10"/>
  <c r="BS25" i="10"/>
  <c r="AP25" i="10"/>
  <c r="G25" i="10"/>
  <c r="BZ24" i="10"/>
  <c r="AY24" i="10"/>
  <c r="Q24" i="10"/>
  <c r="BO27" i="10"/>
  <c r="AE27" i="10"/>
  <c r="CR26" i="10"/>
  <c r="BN26" i="10"/>
  <c r="AF26" i="10"/>
  <c r="CS25" i="10"/>
  <c r="BP25" i="10"/>
  <c r="AG25" i="10"/>
  <c r="D25" i="10"/>
  <c r="BX24" i="10"/>
  <c r="AP24" i="10"/>
  <c r="BP27" i="10"/>
  <c r="AF27" i="10"/>
  <c r="CT26" i="10"/>
  <c r="BO26" i="10"/>
  <c r="AG26" i="10"/>
  <c r="BR25" i="10"/>
  <c r="AJ25" i="10"/>
  <c r="E25" i="10"/>
  <c r="BY24" i="10"/>
  <c r="AR24" i="10"/>
  <c r="P24" i="10"/>
  <c r="CT27" i="10"/>
  <c r="N24" i="10"/>
  <c r="BT27" i="10"/>
  <c r="V27" i="10"/>
  <c r="CF26" i="10"/>
  <c r="AD26" i="10"/>
  <c r="CN25" i="10"/>
  <c r="AT25" i="10"/>
  <c r="BF24" i="10"/>
  <c r="L24" i="10"/>
  <c r="BU26" i="10"/>
  <c r="CS24" i="10"/>
  <c r="BS26" i="10"/>
  <c r="BE27" i="10"/>
  <c r="O27" i="10"/>
  <c r="BR26" i="10"/>
  <c r="V26" i="10"/>
  <c r="CF25" i="10"/>
  <c r="AC25" i="10"/>
  <c r="AO24" i="10"/>
  <c r="G24" i="10"/>
  <c r="BS27" i="10"/>
  <c r="U27" i="10"/>
  <c r="CC26" i="10"/>
  <c r="Z26" i="10"/>
  <c r="CL25" i="10"/>
  <c r="AS25" i="10"/>
  <c r="CT24" i="10"/>
  <c r="BC24" i="10"/>
  <c r="K24" i="10"/>
  <c r="BR27" i="10"/>
  <c r="R27" i="10"/>
  <c r="Y26" i="10"/>
  <c r="CK25" i="10"/>
  <c r="AQ25" i="10"/>
  <c r="BB24" i="10"/>
  <c r="I24" i="10"/>
  <c r="BM27" i="10"/>
  <c r="P27" i="10"/>
  <c r="X26" i="10"/>
  <c r="CG25" i="10"/>
  <c r="AF25" i="10"/>
  <c r="CR24" i="10"/>
  <c r="AZ24" i="10"/>
  <c r="H24" i="10"/>
  <c r="CO24" i="10"/>
  <c r="BC27" i="10"/>
  <c r="N27" i="10"/>
  <c r="BL26" i="10"/>
  <c r="T26" i="10"/>
  <c r="BW25" i="10"/>
  <c r="AB25" i="10"/>
  <c r="CN24" i="10"/>
  <c r="AL24" i="10"/>
  <c r="AY27" i="10"/>
  <c r="E27" i="10"/>
  <c r="BE26" i="10"/>
  <c r="P26" i="10"/>
  <c r="BT25" i="10"/>
  <c r="Z25" i="10"/>
  <c r="CB24" i="10"/>
  <c r="AI24" i="10"/>
  <c r="CR27" i="10"/>
  <c r="AW27" i="10"/>
  <c r="BA26" i="10"/>
  <c r="H26" i="10"/>
  <c r="BM25" i="10"/>
  <c r="W25" i="10"/>
  <c r="BW24" i="10"/>
  <c r="AG24" i="10"/>
  <c r="CO27" i="10"/>
  <c r="AV27" i="10"/>
  <c r="CP26" i="10"/>
  <c r="AX26" i="10"/>
  <c r="G26" i="10"/>
  <c r="BI25" i="10"/>
  <c r="U25" i="10"/>
  <c r="BV24" i="10"/>
  <c r="AE24" i="10"/>
  <c r="CM27" i="10"/>
  <c r="AP27" i="10"/>
  <c r="CO26" i="10"/>
  <c r="AW26" i="10"/>
  <c r="BG25" i="10"/>
  <c r="L25" i="10"/>
  <c r="BS24" i="10"/>
  <c r="AD24" i="10"/>
  <c r="CL27" i="10"/>
  <c r="AM27" i="10"/>
  <c r="CN26" i="10"/>
  <c r="AV26" i="10"/>
  <c r="BE25" i="10"/>
  <c r="K25" i="10"/>
  <c r="BP24" i="10"/>
  <c r="W24" i="10"/>
  <c r="CH27" i="10"/>
  <c r="AJ27" i="10"/>
  <c r="CM26" i="10"/>
  <c r="AQ26" i="10"/>
  <c r="CQ25" i="10"/>
  <c r="BA25" i="10"/>
  <c r="J25" i="10"/>
  <c r="BO24" i="10"/>
  <c r="V24" i="10"/>
  <c r="CG27" i="10"/>
  <c r="AA27" i="10"/>
  <c r="BB27" i="10"/>
  <c r="H27" i="10"/>
  <c r="BJ26" i="10"/>
  <c r="R26" i="10"/>
  <c r="BV25" i="10"/>
  <c r="AA25" i="10"/>
  <c r="CF24" i="10"/>
  <c r="AJ24" i="10"/>
  <c r="CS27" i="10"/>
  <c r="AX27" i="10"/>
  <c r="BB26" i="10"/>
  <c r="I26" i="10"/>
  <c r="BO25" i="10"/>
  <c r="X25" i="10"/>
  <c r="CA24" i="10"/>
  <c r="AH24" i="10"/>
  <c r="AN26" i="10"/>
  <c r="CO25" i="10"/>
  <c r="AY25" i="10"/>
  <c r="AW25" i="10"/>
  <c r="CD27" i="10"/>
  <c r="Z27" i="10"/>
  <c r="BG24" i="10"/>
  <c r="T24" i="10"/>
  <c r="CP25" i="10"/>
  <c r="BH24" i="10"/>
  <c r="M24" i="10"/>
  <c r="CL26" i="10"/>
  <c r="CJ26" i="10"/>
  <c r="AO26" i="10"/>
  <c r="CU19" i="10"/>
  <c r="CJ56" i="10"/>
  <c r="BT56" i="10"/>
  <c r="BD56" i="10"/>
  <c r="AN56" i="10"/>
  <c r="X56" i="10"/>
  <c r="H56" i="10"/>
  <c r="CE56" i="10"/>
  <c r="BN56" i="10"/>
  <c r="AW56" i="10"/>
  <c r="AF56" i="10"/>
  <c r="O56" i="10"/>
  <c r="CT56" i="10"/>
  <c r="CC56" i="10"/>
  <c r="BL56" i="10"/>
  <c r="AU56" i="10"/>
  <c r="AD56" i="10"/>
  <c r="M56" i="10"/>
  <c r="CS56" i="10"/>
  <c r="CB56" i="10"/>
  <c r="BK56" i="10"/>
  <c r="AT56" i="10"/>
  <c r="AC56" i="10"/>
  <c r="L56" i="10"/>
  <c r="CD56" i="10"/>
  <c r="BH56" i="10"/>
  <c r="AM56" i="10"/>
  <c r="S56" i="10"/>
  <c r="BY56" i="10"/>
  <c r="BE56" i="10"/>
  <c r="AJ56" i="10"/>
  <c r="P56" i="10"/>
  <c r="CQ56" i="10"/>
  <c r="BU56" i="10"/>
  <c r="AX56" i="10"/>
  <c r="Y56" i="10"/>
  <c r="CL56" i="10"/>
  <c r="BO56" i="10"/>
  <c r="AP56" i="10"/>
  <c r="R56" i="10"/>
  <c r="CN56" i="10"/>
  <c r="BM56" i="10"/>
  <c r="AK56" i="10"/>
  <c r="I56" i="10"/>
  <c r="CF56" i="10"/>
  <c r="BB56" i="10"/>
  <c r="AA56" i="10"/>
  <c r="CP56" i="10"/>
  <c r="BJ56" i="10"/>
  <c r="AG56" i="10"/>
  <c r="C56" i="10"/>
  <c r="CH56" i="10"/>
  <c r="BA56" i="10"/>
  <c r="V56" i="10"/>
  <c r="CG56" i="10"/>
  <c r="AZ56" i="10"/>
  <c r="U56" i="10"/>
  <c r="CA56" i="10"/>
  <c r="AR56" i="10"/>
  <c r="F56" i="10"/>
  <c r="BV56" i="10"/>
  <c r="AI56" i="10"/>
  <c r="BG56" i="10"/>
  <c r="N56" i="10"/>
  <c r="BF56" i="10"/>
  <c r="K56" i="10"/>
  <c r="CR56" i="10"/>
  <c r="AY56" i="10"/>
  <c r="G56" i="10"/>
  <c r="CM56" i="10"/>
  <c r="AS56" i="10"/>
  <c r="D56" i="10"/>
  <c r="AO56" i="10"/>
  <c r="AL56" i="10"/>
  <c r="BZ56" i="10"/>
  <c r="Z56" i="10"/>
  <c r="BX56" i="10"/>
  <c r="W56" i="10"/>
  <c r="BW56" i="10"/>
  <c r="T56" i="10"/>
  <c r="AB56" i="10"/>
  <c r="Q56" i="10"/>
  <c r="CI56" i="10"/>
  <c r="BR56" i="10"/>
  <c r="BQ56" i="10"/>
  <c r="BS56" i="10"/>
  <c r="E56" i="10"/>
  <c r="CK56" i="10"/>
  <c r="BP56" i="10"/>
  <c r="BI56" i="10"/>
  <c r="BC56" i="10"/>
  <c r="AV56" i="10"/>
  <c r="AQ56" i="10"/>
  <c r="AH56" i="10"/>
  <c r="CO56" i="10"/>
  <c r="AE56" i="10"/>
  <c r="J56" i="10"/>
  <c r="CU22" i="10"/>
  <c r="CU24" i="10" l="1"/>
  <c r="CU27" i="10"/>
  <c r="F10" i="1"/>
  <c r="CP32" i="10"/>
  <c r="BZ32" i="10"/>
  <c r="BJ32" i="10"/>
  <c r="AT32" i="10"/>
  <c r="AD32" i="10"/>
  <c r="N32" i="10"/>
  <c r="CS31" i="10"/>
  <c r="CC31" i="10"/>
  <c r="BM31" i="10"/>
  <c r="AW31" i="10"/>
  <c r="AG31" i="10"/>
  <c r="Q31" i="10"/>
  <c r="CF30" i="10"/>
  <c r="BP30" i="10"/>
  <c r="AZ30" i="10"/>
  <c r="AJ30" i="10"/>
  <c r="T30" i="10"/>
  <c r="D30" i="10"/>
  <c r="CI29" i="10"/>
  <c r="BS29" i="10"/>
  <c r="BC29" i="10"/>
  <c r="AM29" i="10"/>
  <c r="W29" i="10"/>
  <c r="G29" i="10"/>
  <c r="CO32" i="10"/>
  <c r="BX32" i="10"/>
  <c r="BG32" i="10"/>
  <c r="AP32" i="10"/>
  <c r="Y32" i="10"/>
  <c r="H32" i="10"/>
  <c r="CL31" i="10"/>
  <c r="BU31" i="10"/>
  <c r="BD31" i="10"/>
  <c r="AM31" i="10"/>
  <c r="V31" i="10"/>
  <c r="E31" i="10"/>
  <c r="CJ30" i="10"/>
  <c r="BS30" i="10"/>
  <c r="BB30" i="10"/>
  <c r="AK30" i="10"/>
  <c r="S30" i="10"/>
  <c r="CF29" i="10"/>
  <c r="BO29" i="10"/>
  <c r="AX29" i="10"/>
  <c r="AG29" i="10"/>
  <c r="P29" i="10"/>
  <c r="CI32" i="10"/>
  <c r="BR32" i="10"/>
  <c r="CE32" i="10"/>
  <c r="BL32" i="10"/>
  <c r="AS32" i="10"/>
  <c r="AA32" i="10"/>
  <c r="I32" i="10"/>
  <c r="CK31" i="10"/>
  <c r="BS31" i="10"/>
  <c r="BA31" i="10"/>
  <c r="AI31" i="10"/>
  <c r="P31" i="10"/>
  <c r="CT30" i="10"/>
  <c r="CB30" i="10"/>
  <c r="BJ30" i="10"/>
  <c r="AR30" i="10"/>
  <c r="Z30" i="10"/>
  <c r="H30" i="10"/>
  <c r="CL29" i="10"/>
  <c r="BT29" i="10"/>
  <c r="BA29" i="10"/>
  <c r="AI29" i="10"/>
  <c r="CS32" i="10"/>
  <c r="BY32" i="10"/>
  <c r="BE32" i="10"/>
  <c r="AM32" i="10"/>
  <c r="U32" i="10"/>
  <c r="C32" i="10"/>
  <c r="CF31" i="10"/>
  <c r="BN31" i="10"/>
  <c r="AU31" i="10"/>
  <c r="AC31" i="10"/>
  <c r="K31" i="10"/>
  <c r="CO30" i="10"/>
  <c r="BW30" i="10"/>
  <c r="G10" i="1"/>
  <c r="CR32" i="10"/>
  <c r="BW32" i="10"/>
  <c r="BD32" i="10"/>
  <c r="AL32" i="10"/>
  <c r="T32" i="10"/>
  <c r="CE31" i="10"/>
  <c r="BL31" i="10"/>
  <c r="AT31" i="10"/>
  <c r="AB31" i="10"/>
  <c r="J31" i="10"/>
  <c r="CN30" i="10"/>
  <c r="BV30" i="10"/>
  <c r="BD30" i="10"/>
  <c r="AL30" i="10"/>
  <c r="R30" i="10"/>
  <c r="CD29" i="10"/>
  <c r="BL29" i="10"/>
  <c r="AT29" i="10"/>
  <c r="AB29" i="10"/>
  <c r="J29" i="10"/>
  <c r="CG32" i="10"/>
  <c r="BI32" i="10"/>
  <c r="AK32" i="10"/>
  <c r="P32" i="10"/>
  <c r="CP31" i="10"/>
  <c r="BT31" i="10"/>
  <c r="AX31" i="10"/>
  <c r="Z31" i="10"/>
  <c r="D31" i="10"/>
  <c r="CD30" i="10"/>
  <c r="BH30" i="10"/>
  <c r="AN30" i="10"/>
  <c r="Q30" i="10"/>
  <c r="CT29" i="10"/>
  <c r="BZ29" i="10"/>
  <c r="BF29" i="10"/>
  <c r="AK29" i="10"/>
  <c r="Q29" i="10"/>
  <c r="CB32" i="10"/>
  <c r="BB32" i="10"/>
  <c r="AG32" i="10"/>
  <c r="K32" i="10"/>
  <c r="CJ31" i="10"/>
  <c r="BO31" i="10"/>
  <c r="AQ31" i="10"/>
  <c r="U31" i="10"/>
  <c r="BY30" i="10"/>
  <c r="BC30" i="10"/>
  <c r="AG30" i="10"/>
  <c r="M30" i="10"/>
  <c r="CP29" i="10"/>
  <c r="BV29" i="10"/>
  <c r="AZ29" i="10"/>
  <c r="AE29" i="10"/>
  <c r="L29" i="10"/>
  <c r="BV32" i="10"/>
  <c r="AX32" i="10"/>
  <c r="X32" i="10"/>
  <c r="BW31" i="10"/>
  <c r="AV31" i="10"/>
  <c r="W31" i="10"/>
  <c r="CR30" i="10"/>
  <c r="BR30" i="10"/>
  <c r="AU30" i="10"/>
  <c r="X30" i="10"/>
  <c r="BY29" i="10"/>
  <c r="BB29" i="10"/>
  <c r="AC29" i="10"/>
  <c r="F29" i="10"/>
  <c r="BS32" i="10"/>
  <c r="AU32" i="10"/>
  <c r="S32" i="10"/>
  <c r="CQ31" i="10"/>
  <c r="BQ31" i="10"/>
  <c r="AP31" i="10"/>
  <c r="R31" i="10"/>
  <c r="CM30" i="10"/>
  <c r="BN30" i="10"/>
  <c r="AQ30" i="10"/>
  <c r="U30" i="10"/>
  <c r="CR29" i="10"/>
  <c r="BU29" i="10"/>
  <c r="AV29" i="10"/>
  <c r="Y29" i="10"/>
  <c r="C29" i="10"/>
  <c r="CQ32" i="10"/>
  <c r="BP32" i="10"/>
  <c r="AQ32" i="10"/>
  <c r="Q32" i="10"/>
  <c r="CN31" i="10"/>
  <c r="BK31" i="10"/>
  <c r="AN31" i="10"/>
  <c r="N31" i="10"/>
  <c r="CK30" i="10"/>
  <c r="BL30" i="10"/>
  <c r="AO30" i="10"/>
  <c r="O30" i="10"/>
  <c r="CO29" i="10"/>
  <c r="BQ29" i="10"/>
  <c r="AS29" i="10"/>
  <c r="V29" i="10"/>
  <c r="BU32" i="10"/>
  <c r="AO32" i="10"/>
  <c r="J32" i="10"/>
  <c r="CA31" i="10"/>
  <c r="AY31" i="10"/>
  <c r="O31" i="10"/>
  <c r="CG30" i="10"/>
  <c r="BA30" i="10"/>
  <c r="AA30" i="10"/>
  <c r="BP29" i="10"/>
  <c r="AO29" i="10"/>
  <c r="M29" i="10"/>
  <c r="BT32" i="10"/>
  <c r="AN32" i="10"/>
  <c r="G32" i="10"/>
  <c r="BZ31" i="10"/>
  <c r="AS31" i="10"/>
  <c r="M31" i="10"/>
  <c r="CE30" i="10"/>
  <c r="AY30" i="10"/>
  <c r="Y30" i="10"/>
  <c r="CS29" i="10"/>
  <c r="BN29" i="10"/>
  <c r="AN29" i="10"/>
  <c r="K29" i="10"/>
  <c r="CT32" i="10"/>
  <c r="BM32" i="10"/>
  <c r="AF32" i="10"/>
  <c r="BR31" i="10"/>
  <c r="AK31" i="10"/>
  <c r="G31" i="10"/>
  <c r="BX30" i="10"/>
  <c r="AT30" i="10"/>
  <c r="N30" i="10"/>
  <c r="CK29" i="10"/>
  <c r="BI29" i="10"/>
  <c r="AF29" i="10"/>
  <c r="D29" i="10"/>
  <c r="CN32" i="10"/>
  <c r="BK32" i="10"/>
  <c r="AE32" i="10"/>
  <c r="BP31" i="10"/>
  <c r="AJ31" i="10"/>
  <c r="F31" i="10"/>
  <c r="BU30" i="10"/>
  <c r="AS30" i="10"/>
  <c r="L30" i="10"/>
  <c r="CJ29" i="10"/>
  <c r="BH29" i="10"/>
  <c r="AD29" i="10"/>
  <c r="CM32" i="10"/>
  <c r="BN32" i="10"/>
  <c r="W32" i="10"/>
  <c r="CH31" i="10"/>
  <c r="AR31" i="10"/>
  <c r="BI30" i="10"/>
  <c r="W30" i="10"/>
  <c r="CG29" i="10"/>
  <c r="AU29" i="10"/>
  <c r="I29" i="10"/>
  <c r="BH32" i="10"/>
  <c r="V32" i="10"/>
  <c r="CG31" i="10"/>
  <c r="AO31" i="10"/>
  <c r="BG30" i="10"/>
  <c r="V30" i="10"/>
  <c r="CE29" i="10"/>
  <c r="AR29" i="10"/>
  <c r="H29" i="10"/>
  <c r="AZ32" i="10"/>
  <c r="L32" i="10"/>
  <c r="BX31" i="10"/>
  <c r="AE31" i="10"/>
  <c r="CL30" i="10"/>
  <c r="AW30" i="10"/>
  <c r="I30" i="10"/>
  <c r="BX29" i="10"/>
  <c r="AJ29" i="10"/>
  <c r="CK32" i="10"/>
  <c r="AW32" i="10"/>
  <c r="BJ31" i="10"/>
  <c r="AA31" i="10"/>
  <c r="CH30" i="10"/>
  <c r="AP30" i="10"/>
  <c r="F30" i="10"/>
  <c r="BR29" i="10"/>
  <c r="AA29" i="10"/>
  <c r="CL32" i="10"/>
  <c r="AY32" i="10"/>
  <c r="F32" i="10"/>
  <c r="BV31" i="10"/>
  <c r="AD31" i="10"/>
  <c r="CI30" i="10"/>
  <c r="AV30" i="10"/>
  <c r="G30" i="10"/>
  <c r="BW29" i="10"/>
  <c r="AH29" i="10"/>
  <c r="E32" i="10"/>
  <c r="BC32" i="10"/>
  <c r="CT31" i="10"/>
  <c r="AL31" i="10"/>
  <c r="CC30" i="10"/>
  <c r="AD30" i="10"/>
  <c r="CA29" i="10"/>
  <c r="S29" i="10"/>
  <c r="CO31" i="10"/>
  <c r="BK29" i="10"/>
  <c r="CM31" i="10"/>
  <c r="BJ29" i="10"/>
  <c r="AJ32" i="10"/>
  <c r="X31" i="10"/>
  <c r="BQ30" i="10"/>
  <c r="K30" i="10"/>
  <c r="BG29" i="10"/>
  <c r="E29" i="10"/>
  <c r="BA32" i="10"/>
  <c r="CR31" i="10"/>
  <c r="AH31" i="10"/>
  <c r="CA30" i="10"/>
  <c r="AC30" i="10"/>
  <c r="BM29" i="10"/>
  <c r="R29" i="10"/>
  <c r="AV32" i="10"/>
  <c r="AF31" i="10"/>
  <c r="BZ30" i="10"/>
  <c r="AB30" i="10"/>
  <c r="O29" i="10"/>
  <c r="AR32" i="10"/>
  <c r="Y31" i="10"/>
  <c r="BT30" i="10"/>
  <c r="P30" i="10"/>
  <c r="N29" i="10"/>
  <c r="CI31" i="10"/>
  <c r="AI32" i="10"/>
  <c r="CD31" i="10"/>
  <c r="T31" i="10"/>
  <c r="BO30" i="10"/>
  <c r="J30" i="10"/>
  <c r="BE29" i="10"/>
  <c r="CJ32" i="10"/>
  <c r="AC32" i="10"/>
  <c r="BY31" i="10"/>
  <c r="L31" i="10"/>
  <c r="BK30" i="10"/>
  <c r="C30" i="10"/>
  <c r="AY29" i="10"/>
  <c r="CF32" i="10"/>
  <c r="Z32" i="10"/>
  <c r="BH31" i="10"/>
  <c r="H31" i="10"/>
  <c r="BE30" i="10"/>
  <c r="AQ29" i="10"/>
  <c r="CD32" i="10"/>
  <c r="R32" i="10"/>
  <c r="BG31" i="10"/>
  <c r="C31" i="10"/>
  <c r="AX30" i="10"/>
  <c r="CQ29" i="10"/>
  <c r="AP29" i="10"/>
  <c r="CC32" i="10"/>
  <c r="O32" i="10"/>
  <c r="BF31" i="10"/>
  <c r="AM30" i="10"/>
  <c r="CN29" i="10"/>
  <c r="AL29" i="10"/>
  <c r="CA32" i="10"/>
  <c r="M32" i="10"/>
  <c r="BE31" i="10"/>
  <c r="AI30" i="10"/>
  <c r="CM29" i="10"/>
  <c r="Z29" i="10"/>
  <c r="BQ32" i="10"/>
  <c r="D32" i="10"/>
  <c r="BC31" i="10"/>
  <c r="CS30" i="10"/>
  <c r="AH30" i="10"/>
  <c r="CH29" i="10"/>
  <c r="X29" i="10"/>
  <c r="BO32" i="10"/>
  <c r="BB31" i="10"/>
  <c r="CQ30" i="10"/>
  <c r="AF30" i="10"/>
  <c r="CC29" i="10"/>
  <c r="U29" i="10"/>
  <c r="AH32" i="10"/>
  <c r="CB31" i="10"/>
  <c r="S31" i="10"/>
  <c r="BM30" i="10"/>
  <c r="E30" i="10"/>
  <c r="BD29" i="10"/>
  <c r="CH32" i="10"/>
  <c r="AB32" i="10"/>
  <c r="BI31" i="10"/>
  <c r="I31" i="10"/>
  <c r="BF30" i="10"/>
  <c r="AW29" i="10"/>
  <c r="E11" i="1"/>
  <c r="CP30" i="10"/>
  <c r="AE30" i="10"/>
  <c r="CB29" i="10"/>
  <c r="T29" i="10"/>
  <c r="BF32" i="10"/>
  <c r="AZ31" i="10"/>
  <c r="CU26" i="10"/>
  <c r="CU25" i="10"/>
  <c r="E12" i="1" l="1"/>
  <c r="CQ38" i="10"/>
  <c r="CR38" i="10"/>
  <c r="CA38" i="10"/>
  <c r="BK38" i="10"/>
  <c r="AU38" i="10"/>
  <c r="AE38" i="10"/>
  <c r="O38" i="10"/>
  <c r="CT37" i="10"/>
  <c r="CD37" i="10"/>
  <c r="BN37" i="10"/>
  <c r="AX37" i="10"/>
  <c r="AH37" i="10"/>
  <c r="R37" i="10"/>
  <c r="G11" i="1"/>
  <c r="CJ38" i="10"/>
  <c r="BS38" i="10"/>
  <c r="BB38" i="10"/>
  <c r="AK38" i="10"/>
  <c r="T38" i="10"/>
  <c r="C38" i="10"/>
  <c r="CG37" i="10"/>
  <c r="BP37" i="10"/>
  <c r="AY37" i="10"/>
  <c r="AG37" i="10"/>
  <c r="P37" i="10"/>
  <c r="CE36" i="10"/>
  <c r="BO36" i="10"/>
  <c r="AY36" i="10"/>
  <c r="AI36" i="10"/>
  <c r="S36" i="10"/>
  <c r="C36" i="10"/>
  <c r="CH35" i="10"/>
  <c r="BR35" i="10"/>
  <c r="BB35" i="10"/>
  <c r="AL35" i="10"/>
  <c r="V35" i="10"/>
  <c r="F35" i="10"/>
  <c r="CK34" i="10"/>
  <c r="BU34" i="10"/>
  <c r="BE34" i="10"/>
  <c r="AO34" i="10"/>
  <c r="Y34" i="10"/>
  <c r="I34" i="10"/>
  <c r="CG38" i="10"/>
  <c r="BO38" i="10"/>
  <c r="AW38" i="10"/>
  <c r="AD38" i="10"/>
  <c r="L38" i="10"/>
  <c r="CO37" i="10"/>
  <c r="BW37" i="10"/>
  <c r="BE37" i="10"/>
  <c r="AM37" i="10"/>
  <c r="U37" i="10"/>
  <c r="C37" i="10"/>
  <c r="CG36" i="10"/>
  <c r="BP36" i="10"/>
  <c r="AX36" i="10"/>
  <c r="AG36" i="10"/>
  <c r="P36" i="10"/>
  <c r="CT35" i="10"/>
  <c r="CC35" i="10"/>
  <c r="BL35" i="10"/>
  <c r="AU35" i="10"/>
  <c r="AD35" i="10"/>
  <c r="M35" i="10"/>
  <c r="CQ34" i="10"/>
  <c r="BZ34" i="10"/>
  <c r="BI34" i="10"/>
  <c r="AR34" i="10"/>
  <c r="AA34" i="10"/>
  <c r="J34" i="10"/>
  <c r="CT38" i="10"/>
  <c r="BZ38" i="10"/>
  <c r="BH38" i="10"/>
  <c r="AP38" i="10"/>
  <c r="X38" i="10"/>
  <c r="F38" i="10"/>
  <c r="CI37" i="10"/>
  <c r="BQ37" i="10"/>
  <c r="AW37" i="10"/>
  <c r="AE37" i="10"/>
  <c r="M37" i="10"/>
  <c r="CQ36" i="10"/>
  <c r="BZ36" i="10"/>
  <c r="BI36" i="10"/>
  <c r="AR36" i="10"/>
  <c r="AA36" i="10"/>
  <c r="J36" i="10"/>
  <c r="CN35" i="10"/>
  <c r="BW35" i="10"/>
  <c r="BF35" i="10"/>
  <c r="AO35" i="10"/>
  <c r="X35" i="10"/>
  <c r="G35" i="10"/>
  <c r="CJ34" i="10"/>
  <c r="BS34" i="10"/>
  <c r="BB34" i="10"/>
  <c r="AK34" i="10"/>
  <c r="T34" i="10"/>
  <c r="C34" i="10"/>
  <c r="F11" i="1"/>
  <c r="CF38" i="10"/>
  <c r="BL38" i="10"/>
  <c r="AQ38" i="10"/>
  <c r="V38" i="10"/>
  <c r="CA37" i="10"/>
  <c r="BG37" i="10"/>
  <c r="AL37" i="10"/>
  <c r="Q37" i="10"/>
  <c r="CR36" i="10"/>
  <c r="BX36" i="10"/>
  <c r="BE36" i="10"/>
  <c r="AL36" i="10"/>
  <c r="R36" i="10"/>
  <c r="CS35" i="10"/>
  <c r="BZ35" i="10"/>
  <c r="BG35" i="10"/>
  <c r="AM35" i="10"/>
  <c r="S35" i="10"/>
  <c r="CB34" i="10"/>
  <c r="BH34" i="10"/>
  <c r="AN34" i="10"/>
  <c r="U34" i="10"/>
  <c r="BY38" i="10"/>
  <c r="BE38" i="10"/>
  <c r="AJ38" i="10"/>
  <c r="P38" i="10"/>
  <c r="CP37" i="10"/>
  <c r="BU37" i="10"/>
  <c r="BA37" i="10"/>
  <c r="AD37" i="10"/>
  <c r="J37" i="10"/>
  <c r="CL36" i="10"/>
  <c r="BS36" i="10"/>
  <c r="AZ36" i="10"/>
  <c r="AE36" i="10"/>
  <c r="L36" i="10"/>
  <c r="CM35" i="10"/>
  <c r="BT35" i="10"/>
  <c r="AZ35" i="10"/>
  <c r="AG35" i="10"/>
  <c r="N35" i="10"/>
  <c r="CO34" i="10"/>
  <c r="BV34" i="10"/>
  <c r="BA34" i="10"/>
  <c r="AH34" i="10"/>
  <c r="O34" i="10"/>
  <c r="BX38" i="10"/>
  <c r="BD38" i="10"/>
  <c r="AI38" i="10"/>
  <c r="N38" i="10"/>
  <c r="CN37" i="10"/>
  <c r="BT37" i="10"/>
  <c r="AZ37" i="10"/>
  <c r="AC37" i="10"/>
  <c r="I37" i="10"/>
  <c r="CK36" i="10"/>
  <c r="BR36" i="10"/>
  <c r="AW36" i="10"/>
  <c r="AD36" i="10"/>
  <c r="K36" i="10"/>
  <c r="CL35" i="10"/>
  <c r="BS35" i="10"/>
  <c r="AY35" i="10"/>
  <c r="AF35" i="10"/>
  <c r="L35" i="10"/>
  <c r="CN34" i="10"/>
  <c r="BT34" i="10"/>
  <c r="AZ34" i="10"/>
  <c r="AG34" i="10"/>
  <c r="N34" i="10"/>
  <c r="BV38" i="10"/>
  <c r="AX38" i="10"/>
  <c r="Y38" i="10"/>
  <c r="BV37" i="10"/>
  <c r="AT37" i="10"/>
  <c r="W37" i="10"/>
  <c r="CS36" i="10"/>
  <c r="BU36" i="10"/>
  <c r="AU36" i="10"/>
  <c r="X36" i="10"/>
  <c r="BX35" i="10"/>
  <c r="AX35" i="10"/>
  <c r="AA35" i="10"/>
  <c r="C35" i="10"/>
  <c r="CA34" i="10"/>
  <c r="BC34" i="10"/>
  <c r="AD34" i="10"/>
  <c r="F34" i="10"/>
  <c r="CO38" i="10"/>
  <c r="BQ38" i="10"/>
  <c r="AR38" i="10"/>
  <c r="R38" i="10"/>
  <c r="CM37" i="10"/>
  <c r="BM37" i="10"/>
  <c r="AP37" i="10"/>
  <c r="O37" i="10"/>
  <c r="CM36" i="10"/>
  <c r="BM36" i="10"/>
  <c r="AP36" i="10"/>
  <c r="T36" i="10"/>
  <c r="CP35" i="10"/>
  <c r="BP35" i="10"/>
  <c r="AS35" i="10"/>
  <c r="U35" i="10"/>
  <c r="CS34" i="10"/>
  <c r="BR34" i="10"/>
  <c r="AV34" i="10"/>
  <c r="X34" i="10"/>
  <c r="CB38" i="10"/>
  <c r="AV38" i="10"/>
  <c r="S38" i="10"/>
  <c r="CK37" i="10"/>
  <c r="BI37" i="10"/>
  <c r="AF37" i="10"/>
  <c r="D37" i="10"/>
  <c r="BW36" i="10"/>
  <c r="AT36" i="10"/>
  <c r="U36" i="10"/>
  <c r="CO35" i="10"/>
  <c r="BM35" i="10"/>
  <c r="AK35" i="10"/>
  <c r="J35" i="10"/>
  <c r="CE34" i="10"/>
  <c r="BD34" i="10"/>
  <c r="AB34" i="10"/>
  <c r="BW38" i="10"/>
  <c r="AT38" i="10"/>
  <c r="Q38" i="10"/>
  <c r="CJ37" i="10"/>
  <c r="BH37" i="10"/>
  <c r="AB37" i="10"/>
  <c r="BV36" i="10"/>
  <c r="AS36" i="10"/>
  <c r="Q36" i="10"/>
  <c r="CK35" i="10"/>
  <c r="BK35" i="10"/>
  <c r="AJ35" i="10"/>
  <c r="I35" i="10"/>
  <c r="CD34" i="10"/>
  <c r="AY34" i="10"/>
  <c r="Z34" i="10"/>
  <c r="BT38" i="10"/>
  <c r="AO38" i="10"/>
  <c r="K38" i="10"/>
  <c r="CF37" i="10"/>
  <c r="BD37" i="10"/>
  <c r="Z37" i="10"/>
  <c r="CT36" i="10"/>
  <c r="BQ36" i="10"/>
  <c r="AO36" i="10"/>
  <c r="N36" i="10"/>
  <c r="CI35" i="10"/>
  <c r="BI35" i="10"/>
  <c r="AH35" i="10"/>
  <c r="E35" i="10"/>
  <c r="BY34" i="10"/>
  <c r="AW34" i="10"/>
  <c r="V34" i="10"/>
  <c r="CS38" i="10"/>
  <c r="BP38" i="10"/>
  <c r="AM38" i="10"/>
  <c r="I38" i="10"/>
  <c r="CC37" i="10"/>
  <c r="BB37" i="10"/>
  <c r="X37" i="10"/>
  <c r="CO36" i="10"/>
  <c r="BL36" i="10"/>
  <c r="AM36" i="10"/>
  <c r="I36" i="10"/>
  <c r="CF35" i="10"/>
  <c r="BE35" i="10"/>
  <c r="AC35" i="10"/>
  <c r="BW34" i="10"/>
  <c r="AT34" i="10"/>
  <c r="R34" i="10"/>
  <c r="CI38" i="10"/>
  <c r="AY38" i="10"/>
  <c r="G38" i="10"/>
  <c r="BR37" i="10"/>
  <c r="AI37" i="10"/>
  <c r="CN36" i="10"/>
  <c r="BF36" i="10"/>
  <c r="W36" i="10"/>
  <c r="CE35" i="10"/>
  <c r="AV35" i="10"/>
  <c r="O35" i="10"/>
  <c r="BX34" i="10"/>
  <c r="AM34" i="10"/>
  <c r="E34" i="10"/>
  <c r="CH38" i="10"/>
  <c r="AS38" i="10"/>
  <c r="E38" i="10"/>
  <c r="BO37" i="10"/>
  <c r="AA37" i="10"/>
  <c r="CJ36" i="10"/>
  <c r="BD36" i="10"/>
  <c r="V36" i="10"/>
  <c r="CD35" i="10"/>
  <c r="AT35" i="10"/>
  <c r="K35" i="10"/>
  <c r="BQ34" i="10"/>
  <c r="AL34" i="10"/>
  <c r="D34" i="10"/>
  <c r="BU38" i="10"/>
  <c r="AG38" i="10"/>
  <c r="CS37" i="10"/>
  <c r="BF37" i="10"/>
  <c r="S37" i="10"/>
  <c r="CD36" i="10"/>
  <c r="AV36" i="10"/>
  <c r="G36" i="10"/>
  <c r="BV35" i="10"/>
  <c r="AN35" i="10"/>
  <c r="BM34" i="10"/>
  <c r="AE34" i="10"/>
  <c r="BR38" i="10"/>
  <c r="AF38" i="10"/>
  <c r="CR37" i="10"/>
  <c r="BC37" i="10"/>
  <c r="N37" i="10"/>
  <c r="CC36" i="10"/>
  <c r="AQ36" i="10"/>
  <c r="F36" i="10"/>
  <c r="BU35" i="10"/>
  <c r="AI35" i="10"/>
  <c r="CT34" i="10"/>
  <c r="BL34" i="10"/>
  <c r="AC34" i="10"/>
  <c r="BN38" i="10"/>
  <c r="AC38" i="10"/>
  <c r="CQ37" i="10"/>
  <c r="AV37" i="10"/>
  <c r="L37" i="10"/>
  <c r="CB36" i="10"/>
  <c r="E36" i="10"/>
  <c r="BQ35" i="10"/>
  <c r="AE35" i="10"/>
  <c r="CR34" i="10"/>
  <c r="BK34" i="10"/>
  <c r="W34" i="10"/>
  <c r="CL38" i="10"/>
  <c r="AB38" i="10"/>
  <c r="BY37" i="10"/>
  <c r="T37" i="10"/>
  <c r="BK36" i="10"/>
  <c r="O36" i="10"/>
  <c r="BJ35" i="10"/>
  <c r="P35" i="10"/>
  <c r="BJ34" i="10"/>
  <c r="K34" i="10"/>
  <c r="CK38" i="10"/>
  <c r="AA38" i="10"/>
  <c r="BX37" i="10"/>
  <c r="K37" i="10"/>
  <c r="BJ36" i="10"/>
  <c r="M36" i="10"/>
  <c r="BH35" i="10"/>
  <c r="H35" i="10"/>
  <c r="BG34" i="10"/>
  <c r="H34" i="10"/>
  <c r="BM38" i="10"/>
  <c r="M38" i="10"/>
  <c r="BJ37" i="10"/>
  <c r="E37" i="10"/>
  <c r="BB36" i="10"/>
  <c r="AW35" i="10"/>
  <c r="CP34" i="10"/>
  <c r="AS34" i="10"/>
  <c r="H38" i="10"/>
  <c r="AN36" i="10"/>
  <c r="AQ35" i="10"/>
  <c r="AP34" i="10"/>
  <c r="BJ38" i="10"/>
  <c r="J38" i="10"/>
  <c r="AU37" i="10"/>
  <c r="BA36" i="10"/>
  <c r="AR35" i="10"/>
  <c r="CM34" i="10"/>
  <c r="AQ34" i="10"/>
  <c r="BI38" i="10"/>
  <c r="AS37" i="10"/>
  <c r="CR35" i="10"/>
  <c r="CL34" i="10"/>
  <c r="BG38" i="10"/>
  <c r="CE37" i="10"/>
  <c r="F37" i="10"/>
  <c r="AH36" i="10"/>
  <c r="BO35" i="10"/>
  <c r="CI34" i="10"/>
  <c r="P34" i="10"/>
  <c r="BC38" i="10"/>
  <c r="BA38" i="10"/>
  <c r="CF34" i="10"/>
  <c r="AZ38" i="10"/>
  <c r="BL37" i="10"/>
  <c r="CI36" i="10"/>
  <c r="Z36" i="10"/>
  <c r="BA35" i="10"/>
  <c r="CC34" i="10"/>
  <c r="BF38" i="10"/>
  <c r="CB37" i="10"/>
  <c r="AF36" i="10"/>
  <c r="BN35" i="10"/>
  <c r="CH34" i="10"/>
  <c r="M34" i="10"/>
  <c r="BZ37" i="10"/>
  <c r="AC36" i="10"/>
  <c r="BD35" i="10"/>
  <c r="CG34" i="10"/>
  <c r="L34" i="10"/>
  <c r="BS37" i="10"/>
  <c r="CP36" i="10"/>
  <c r="AB36" i="10"/>
  <c r="BC35" i="10"/>
  <c r="G34" i="10"/>
  <c r="AN38" i="10"/>
  <c r="BK37" i="10"/>
  <c r="CH36" i="10"/>
  <c r="Y36" i="10"/>
  <c r="AP35" i="10"/>
  <c r="BP34" i="10"/>
  <c r="AH38" i="10"/>
  <c r="AQ37" i="10"/>
  <c r="CA36" i="10"/>
  <c r="D36" i="10"/>
  <c r="Z35" i="10"/>
  <c r="BN34" i="10"/>
  <c r="W38" i="10"/>
  <c r="AN37" i="10"/>
  <c r="BT36" i="10"/>
  <c r="W35" i="10"/>
  <c r="AX34" i="10"/>
  <c r="CP38" i="10"/>
  <c r="U38" i="10"/>
  <c r="AK37" i="10"/>
  <c r="BN36" i="10"/>
  <c r="CQ35" i="10"/>
  <c r="T35" i="10"/>
  <c r="AU34" i="10"/>
  <c r="CN38" i="10"/>
  <c r="D38" i="10"/>
  <c r="AJ37" i="10"/>
  <c r="BH36" i="10"/>
  <c r="CJ35" i="10"/>
  <c r="R35" i="10"/>
  <c r="AJ34" i="10"/>
  <c r="CM38" i="10"/>
  <c r="Y37" i="10"/>
  <c r="BG36" i="10"/>
  <c r="CG35" i="10"/>
  <c r="Q35" i="10"/>
  <c r="AI34" i="10"/>
  <c r="CE38" i="10"/>
  <c r="V37" i="10"/>
  <c r="BC36" i="10"/>
  <c r="CB35" i="10"/>
  <c r="D35" i="10"/>
  <c r="AF34" i="10"/>
  <c r="CD38" i="10"/>
  <c r="CL37" i="10"/>
  <c r="H37" i="10"/>
  <c r="AK36" i="10"/>
  <c r="CA35" i="10"/>
  <c r="S34" i="10"/>
  <c r="AL38" i="10"/>
  <c r="AR37" i="10"/>
  <c r="CF36" i="10"/>
  <c r="H36" i="10"/>
  <c r="AB35" i="10"/>
  <c r="BO34" i="10"/>
  <c r="Z38" i="10"/>
  <c r="AO37" i="10"/>
  <c r="BY36" i="10"/>
  <c r="Y35" i="10"/>
  <c r="BF34" i="10"/>
  <c r="AJ36" i="10"/>
  <c r="Q34" i="10"/>
  <c r="CC38" i="10"/>
  <c r="BY35" i="10"/>
  <c r="CH37" i="10"/>
  <c r="G37" i="10"/>
  <c r="CU30" i="10"/>
  <c r="CU29" i="10"/>
  <c r="CU32" i="10"/>
  <c r="CU31" i="10"/>
  <c r="CU35" i="10" l="1"/>
  <c r="CU37" i="10"/>
  <c r="CU34" i="10"/>
  <c r="CU36" i="10"/>
  <c r="CU38" i="10"/>
  <c r="CN44" i="10"/>
  <c r="BX44" i="10"/>
  <c r="BH44" i="10"/>
  <c r="AR44" i="10"/>
  <c r="AB44" i="10"/>
  <c r="L44" i="10"/>
  <c r="CQ43" i="10"/>
  <c r="CA43" i="10"/>
  <c r="BK43" i="10"/>
  <c r="AU43" i="10"/>
  <c r="AE43" i="10"/>
  <c r="O43" i="10"/>
  <c r="CT42" i="10"/>
  <c r="CD42" i="10"/>
  <c r="BN42" i="10"/>
  <c r="AX42" i="10"/>
  <c r="AH42" i="10"/>
  <c r="R42" i="10"/>
  <c r="CG41" i="10"/>
  <c r="BQ41" i="10"/>
  <c r="BA41" i="10"/>
  <c r="AK41" i="10"/>
  <c r="U41" i="10"/>
  <c r="E41" i="10"/>
  <c r="CJ40" i="10"/>
  <c r="BT40" i="10"/>
  <c r="BD40" i="10"/>
  <c r="AN40" i="10"/>
  <c r="X40" i="10"/>
  <c r="H40" i="10"/>
  <c r="G12" i="1"/>
  <c r="F12" i="1"/>
  <c r="CM44" i="10"/>
  <c r="BV44" i="10"/>
  <c r="BE44" i="10"/>
  <c r="AN44" i="10"/>
  <c r="W44" i="10"/>
  <c r="F44" i="10"/>
  <c r="CJ43" i="10"/>
  <c r="BS43" i="10"/>
  <c r="BB43" i="10"/>
  <c r="AK43" i="10"/>
  <c r="T43" i="10"/>
  <c r="C43" i="10"/>
  <c r="CG42" i="10"/>
  <c r="BP42" i="10"/>
  <c r="AY42" i="10"/>
  <c r="AG42" i="10"/>
  <c r="P42" i="10"/>
  <c r="CD41" i="10"/>
  <c r="BM41" i="10"/>
  <c r="AV41" i="10"/>
  <c r="AE41" i="10"/>
  <c r="N41" i="10"/>
  <c r="CR40" i="10"/>
  <c r="CA40" i="10"/>
  <c r="BJ40" i="10"/>
  <c r="AS40" i="10"/>
  <c r="AB40" i="10"/>
  <c r="K40" i="10"/>
  <c r="CJ44" i="10"/>
  <c r="BR44" i="10"/>
  <c r="AZ44" i="10"/>
  <c r="AH44" i="10"/>
  <c r="P44" i="10"/>
  <c r="CS43" i="10"/>
  <c r="BZ43" i="10"/>
  <c r="BH43" i="10"/>
  <c r="AP43" i="10"/>
  <c r="X43" i="10"/>
  <c r="F43" i="10"/>
  <c r="CI42" i="10"/>
  <c r="BQ42" i="10"/>
  <c r="AW42" i="10"/>
  <c r="AE42" i="10"/>
  <c r="M42" i="10"/>
  <c r="CQ41" i="10"/>
  <c r="BY41" i="10"/>
  <c r="BG41" i="10"/>
  <c r="AO41" i="10"/>
  <c r="W41" i="10"/>
  <c r="D41" i="10"/>
  <c r="CG40" i="10"/>
  <c r="BO40" i="10"/>
  <c r="AW40" i="10"/>
  <c r="AE40" i="10"/>
  <c r="M40" i="10"/>
  <c r="CG44" i="10"/>
  <c r="BO44" i="10"/>
  <c r="AW44" i="10"/>
  <c r="AE44" i="10"/>
  <c r="M44" i="10"/>
  <c r="CO43" i="10"/>
  <c r="BW43" i="10"/>
  <c r="BE43" i="10"/>
  <c r="AM43" i="10"/>
  <c r="U43" i="10"/>
  <c r="CE42" i="10"/>
  <c r="BL42" i="10"/>
  <c r="AT42" i="10"/>
  <c r="AB42" i="10"/>
  <c r="J42" i="10"/>
  <c r="CP44" i="10"/>
  <c r="BT44" i="10"/>
  <c r="AY44" i="10"/>
  <c r="AD44" i="10"/>
  <c r="I44" i="10"/>
  <c r="CI43" i="10"/>
  <c r="BO43" i="10"/>
  <c r="AT43" i="10"/>
  <c r="Z43" i="10"/>
  <c r="E43" i="10"/>
  <c r="CF42" i="10"/>
  <c r="BJ42" i="10"/>
  <c r="AP42" i="10"/>
  <c r="V42" i="10"/>
  <c r="CC41" i="10"/>
  <c r="BJ41" i="10"/>
  <c r="AQ41" i="10"/>
  <c r="X41" i="10"/>
  <c r="C41" i="10"/>
  <c r="CE40" i="10"/>
  <c r="BL40" i="10"/>
  <c r="AR40" i="10"/>
  <c r="Y40" i="10"/>
  <c r="E40" i="10"/>
  <c r="CH44" i="10"/>
  <c r="BM44" i="10"/>
  <c r="AS44" i="10"/>
  <c r="X44" i="10"/>
  <c r="C44" i="10"/>
  <c r="CD43" i="10"/>
  <c r="BI43" i="10"/>
  <c r="AN43" i="10"/>
  <c r="R43" i="10"/>
  <c r="CS42" i="10"/>
  <c r="BY42" i="10"/>
  <c r="BE42" i="10"/>
  <c r="AK42" i="10"/>
  <c r="O42" i="10"/>
  <c r="CP41" i="10"/>
  <c r="BW41" i="10"/>
  <c r="BD41" i="10"/>
  <c r="AJ41" i="10"/>
  <c r="Q41" i="10"/>
  <c r="CS40" i="10"/>
  <c r="BY40" i="10"/>
  <c r="BF40" i="10"/>
  <c r="AL40" i="10"/>
  <c r="S40" i="10"/>
  <c r="CK44" i="10"/>
  <c r="BL44" i="10"/>
  <c r="AO44" i="10"/>
  <c r="R44" i="10"/>
  <c r="CN43" i="10"/>
  <c r="BQ43" i="10"/>
  <c r="AS43" i="10"/>
  <c r="V43" i="10"/>
  <c r="CR42" i="10"/>
  <c r="BV42" i="10"/>
  <c r="AZ42" i="10"/>
  <c r="Z42" i="10"/>
  <c r="D42" i="10"/>
  <c r="CE41" i="10"/>
  <c r="BH41" i="10"/>
  <c r="AL41" i="10"/>
  <c r="O41" i="10"/>
  <c r="CN40" i="10"/>
  <c r="BR40" i="10"/>
  <c r="AV40" i="10"/>
  <c r="Z40" i="10"/>
  <c r="C40" i="10"/>
  <c r="CB44" i="10"/>
  <c r="BD44" i="10"/>
  <c r="AG44" i="10"/>
  <c r="H44" i="10"/>
  <c r="CF43" i="10"/>
  <c r="BG43" i="10"/>
  <c r="AI43" i="10"/>
  <c r="L43" i="10"/>
  <c r="CL42" i="10"/>
  <c r="BM42" i="10"/>
  <c r="AO42" i="10"/>
  <c r="S42" i="10"/>
  <c r="CR41" i="10"/>
  <c r="BU41" i="10"/>
  <c r="AY41" i="10"/>
  <c r="AC41" i="10"/>
  <c r="H41" i="10"/>
  <c r="CF40" i="10"/>
  <c r="BI40" i="10"/>
  <c r="AM40" i="10"/>
  <c r="Q40" i="10"/>
  <c r="CC44" i="10"/>
  <c r="BB44" i="10"/>
  <c r="Z44" i="10"/>
  <c r="BT43" i="10"/>
  <c r="AR43" i="10"/>
  <c r="P43" i="10"/>
  <c r="CM42" i="10"/>
  <c r="BI42" i="10"/>
  <c r="AJ42" i="10"/>
  <c r="H42" i="10"/>
  <c r="CH41" i="10"/>
  <c r="BF41" i="10"/>
  <c r="AG41" i="10"/>
  <c r="I41" i="10"/>
  <c r="CC40" i="10"/>
  <c r="BC40" i="10"/>
  <c r="AF40" i="10"/>
  <c r="F40" i="10"/>
  <c r="BU44" i="10"/>
  <c r="AT44" i="10"/>
  <c r="S44" i="10"/>
  <c r="CL43" i="10"/>
  <c r="BL43" i="10"/>
  <c r="AH43" i="10"/>
  <c r="I43" i="10"/>
  <c r="CB42" i="10"/>
  <c r="BC42" i="10"/>
  <c r="AA42" i="10"/>
  <c r="BX41" i="10"/>
  <c r="AX41" i="10"/>
  <c r="Z41" i="10"/>
  <c r="BV40" i="10"/>
  <c r="AX40" i="10"/>
  <c r="V40" i="10"/>
  <c r="E13" i="1"/>
  <c r="CT44" i="10"/>
  <c r="BS44" i="10"/>
  <c r="AQ44" i="10"/>
  <c r="Q44" i="10"/>
  <c r="CK43" i="10"/>
  <c r="BJ43" i="10"/>
  <c r="AG43" i="10"/>
  <c r="H43" i="10"/>
  <c r="CA42" i="10"/>
  <c r="BB42" i="10"/>
  <c r="Y42" i="10"/>
  <c r="BV41" i="10"/>
  <c r="AW41" i="10"/>
  <c r="Y41" i="10"/>
  <c r="CT40" i="10"/>
  <c r="BU40" i="10"/>
  <c r="AU40" i="10"/>
  <c r="U40" i="10"/>
  <c r="CD44" i="10"/>
  <c r="AV44" i="10"/>
  <c r="N44" i="10"/>
  <c r="CB43" i="10"/>
  <c r="AW43" i="10"/>
  <c r="M43" i="10"/>
  <c r="BZ42" i="10"/>
  <c r="AS42" i="10"/>
  <c r="L42" i="10"/>
  <c r="CJ41" i="10"/>
  <c r="BC41" i="10"/>
  <c r="V41" i="10"/>
  <c r="CM40" i="10"/>
  <c r="BH40" i="10"/>
  <c r="AD40" i="10"/>
  <c r="BW44" i="10"/>
  <c r="AL44" i="10"/>
  <c r="E44" i="10"/>
  <c r="BU43" i="10"/>
  <c r="AL43" i="10"/>
  <c r="D43" i="10"/>
  <c r="BT42" i="10"/>
  <c r="AM42" i="10"/>
  <c r="F42" i="10"/>
  <c r="CA41" i="10"/>
  <c r="AT41" i="10"/>
  <c r="P41" i="10"/>
  <c r="CH40" i="10"/>
  <c r="BA40" i="10"/>
  <c r="T40" i="10"/>
  <c r="CF44" i="10"/>
  <c r="AU44" i="10"/>
  <c r="G44" i="10"/>
  <c r="BP43" i="10"/>
  <c r="AC43" i="10"/>
  <c r="CO42" i="10"/>
  <c r="BD42" i="10"/>
  <c r="Q42" i="10"/>
  <c r="CI41" i="10"/>
  <c r="AU41" i="10"/>
  <c r="L41" i="10"/>
  <c r="BX40" i="10"/>
  <c r="AO40" i="10"/>
  <c r="G40" i="10"/>
  <c r="CE44" i="10"/>
  <c r="AP44" i="10"/>
  <c r="D44" i="10"/>
  <c r="BN43" i="10"/>
  <c r="AB43" i="10"/>
  <c r="CN42" i="10"/>
  <c r="BA42" i="10"/>
  <c r="N42" i="10"/>
  <c r="CF41" i="10"/>
  <c r="AS41" i="10"/>
  <c r="K41" i="10"/>
  <c r="BW40" i="10"/>
  <c r="AK40" i="10"/>
  <c r="D40" i="10"/>
  <c r="BZ44" i="10"/>
  <c r="AK44" i="10"/>
  <c r="BF43" i="10"/>
  <c r="Y43" i="10"/>
  <c r="CJ42" i="10"/>
  <c r="AU42" i="10"/>
  <c r="I42" i="10"/>
  <c r="BZ41" i="10"/>
  <c r="AP41" i="10"/>
  <c r="G41" i="10"/>
  <c r="BQ40" i="10"/>
  <c r="AI40" i="10"/>
  <c r="BQ44" i="10"/>
  <c r="AI44" i="10"/>
  <c r="CR43" i="10"/>
  <c r="BC43" i="10"/>
  <c r="S43" i="10"/>
  <c r="CC42" i="10"/>
  <c r="AQ42" i="10"/>
  <c r="E42" i="10"/>
  <c r="BS41" i="10"/>
  <c r="AM41" i="10"/>
  <c r="BN40" i="10"/>
  <c r="AG40" i="10"/>
  <c r="BI44" i="10"/>
  <c r="K44" i="10"/>
  <c r="BD43" i="10"/>
  <c r="J43" i="10"/>
  <c r="BH42" i="10"/>
  <c r="G42" i="10"/>
  <c r="BN41" i="10"/>
  <c r="S41" i="10"/>
  <c r="BS40" i="10"/>
  <c r="W40" i="10"/>
  <c r="BG44" i="10"/>
  <c r="J44" i="10"/>
  <c r="BA43" i="10"/>
  <c r="G43" i="10"/>
  <c r="BG42" i="10"/>
  <c r="C42" i="10"/>
  <c r="BL41" i="10"/>
  <c r="R41" i="10"/>
  <c r="BP40" i="10"/>
  <c r="R40" i="10"/>
  <c r="CR44" i="10"/>
  <c r="AX44" i="10"/>
  <c r="CP43" i="10"/>
  <c r="AV43" i="10"/>
  <c r="CQ42" i="10"/>
  <c r="AN42" i="10"/>
  <c r="CS41" i="10"/>
  <c r="BB41" i="10"/>
  <c r="BE40" i="10"/>
  <c r="L40" i="10"/>
  <c r="CQ44" i="10"/>
  <c r="AM44" i="10"/>
  <c r="CM43" i="10"/>
  <c r="AQ43" i="10"/>
  <c r="CP42" i="10"/>
  <c r="AL42" i="10"/>
  <c r="CO41" i="10"/>
  <c r="AZ41" i="10"/>
  <c r="BB40" i="10"/>
  <c r="J40" i="10"/>
  <c r="CO44" i="10"/>
  <c r="AJ44" i="10"/>
  <c r="CH43" i="10"/>
  <c r="AO43" i="10"/>
  <c r="CK42" i="10"/>
  <c r="AI42" i="10"/>
  <c r="CN41" i="10"/>
  <c r="AR41" i="10"/>
  <c r="CQ40" i="10"/>
  <c r="AZ40" i="10"/>
  <c r="I40" i="10"/>
  <c r="BK44" i="10"/>
  <c r="CG43" i="10"/>
  <c r="Q43" i="10"/>
  <c r="AR42" i="10"/>
  <c r="BT41" i="10"/>
  <c r="J41" i="10"/>
  <c r="AT40" i="10"/>
  <c r="BJ44" i="10"/>
  <c r="CE43" i="10"/>
  <c r="N43" i="10"/>
  <c r="AF42" i="10"/>
  <c r="BR41" i="10"/>
  <c r="F41" i="10"/>
  <c r="AQ40" i="10"/>
  <c r="AF44" i="10"/>
  <c r="BV43" i="10"/>
  <c r="W42" i="10"/>
  <c r="BI41" i="10"/>
  <c r="CO40" i="10"/>
  <c r="AC40" i="10"/>
  <c r="BM43" i="10"/>
  <c r="T42" i="10"/>
  <c r="CK40" i="10"/>
  <c r="Y44" i="10"/>
  <c r="AC44" i="10"/>
  <c r="BR43" i="10"/>
  <c r="CH42" i="10"/>
  <c r="U42" i="10"/>
  <c r="BE41" i="10"/>
  <c r="CL40" i="10"/>
  <c r="AA40" i="10"/>
  <c r="AA44" i="10"/>
  <c r="BX42" i="10"/>
  <c r="AN41" i="10"/>
  <c r="P40" i="10"/>
  <c r="BN44" i="10"/>
  <c r="AX43" i="10"/>
  <c r="AV42" i="10"/>
  <c r="AH41" i="10"/>
  <c r="BG40" i="10"/>
  <c r="V44" i="10"/>
  <c r="AA43" i="10"/>
  <c r="K42" i="10"/>
  <c r="AA41" i="10"/>
  <c r="AH40" i="10"/>
  <c r="BF44" i="10"/>
  <c r="AJ43" i="10"/>
  <c r="AD42" i="10"/>
  <c r="AF41" i="10"/>
  <c r="AY40" i="10"/>
  <c r="BC44" i="10"/>
  <c r="AF43" i="10"/>
  <c r="AC42" i="10"/>
  <c r="AD41" i="10"/>
  <c r="AP40" i="10"/>
  <c r="BA44" i="10"/>
  <c r="AD43" i="10"/>
  <c r="X42" i="10"/>
  <c r="AB41" i="10"/>
  <c r="AJ40" i="10"/>
  <c r="U44" i="10"/>
  <c r="W43" i="10"/>
  <c r="T41" i="10"/>
  <c r="O40" i="10"/>
  <c r="O44" i="10"/>
  <c r="CT41" i="10"/>
  <c r="BW42" i="10"/>
  <c r="CL41" i="10"/>
  <c r="CP40" i="10"/>
  <c r="CS44" i="10"/>
  <c r="CT43" i="10"/>
  <c r="BU42" i="10"/>
  <c r="CK41" i="10"/>
  <c r="CI40" i="10"/>
  <c r="CL44" i="10"/>
  <c r="CC43" i="10"/>
  <c r="BS42" i="10"/>
  <c r="CB41" i="10"/>
  <c r="CD40" i="10"/>
  <c r="CI44" i="10"/>
  <c r="BY43" i="10"/>
  <c r="BR42" i="10"/>
  <c r="BP41" i="10"/>
  <c r="CB40" i="10"/>
  <c r="CA44" i="10"/>
  <c r="BX43" i="10"/>
  <c r="BO42" i="10"/>
  <c r="BO41" i="10"/>
  <c r="BZ40" i="10"/>
  <c r="BY44" i="10"/>
  <c r="AZ43" i="10"/>
  <c r="BK42" i="10"/>
  <c r="BK41" i="10"/>
  <c r="BM40" i="10"/>
  <c r="T44" i="10"/>
  <c r="K43" i="10"/>
  <c r="M41" i="10"/>
  <c r="N40" i="10"/>
  <c r="CM41" i="10"/>
  <c r="AI41" i="10"/>
  <c r="BK40" i="10"/>
  <c r="BP44" i="10"/>
  <c r="AY43" i="10"/>
  <c r="BF42" i="10"/>
  <c r="CU42" i="10" l="1"/>
  <c r="CU44" i="10"/>
  <c r="CM50" i="10"/>
  <c r="BW50" i="10"/>
  <c r="BG50" i="10"/>
  <c r="AQ50" i="10"/>
  <c r="AA50" i="10"/>
  <c r="K50" i="10"/>
  <c r="CP49" i="10"/>
  <c r="BZ49" i="10"/>
  <c r="BJ49" i="10"/>
  <c r="AT49" i="10"/>
  <c r="AD49" i="10"/>
  <c r="N49" i="10"/>
  <c r="CS48" i="10"/>
  <c r="CC48" i="10"/>
  <c r="BM48" i="10"/>
  <c r="AW48" i="10"/>
  <c r="AG48" i="10"/>
  <c r="Q48" i="10"/>
  <c r="CF47" i="10"/>
  <c r="BP47" i="10"/>
  <c r="AZ47" i="10"/>
  <c r="AJ47" i="10"/>
  <c r="T47" i="10"/>
  <c r="D47" i="10"/>
  <c r="CI46" i="10"/>
  <c r="BS46" i="10"/>
  <c r="BC46" i="10"/>
  <c r="AM46" i="10"/>
  <c r="W46" i="10"/>
  <c r="G46" i="10"/>
  <c r="CJ50" i="10"/>
  <c r="BS50" i="10"/>
  <c r="BB50" i="10"/>
  <c r="AK50" i="10"/>
  <c r="T50" i="10"/>
  <c r="C50" i="10"/>
  <c r="CG49" i="10"/>
  <c r="BP49" i="10"/>
  <c r="AY49" i="10"/>
  <c r="AH49" i="10"/>
  <c r="Q49" i="10"/>
  <c r="CD48" i="10"/>
  <c r="BL48" i="10"/>
  <c r="AU48" i="10"/>
  <c r="AD48" i="10"/>
  <c r="M48" i="10"/>
  <c r="CR47" i="10"/>
  <c r="CA47" i="10"/>
  <c r="BJ47" i="10"/>
  <c r="AS47" i="10"/>
  <c r="AB47" i="10"/>
  <c r="K47" i="10"/>
  <c r="CO46" i="10"/>
  <c r="BX46" i="10"/>
  <c r="BG46" i="10"/>
  <c r="AP46" i="10"/>
  <c r="Y46" i="10"/>
  <c r="H46" i="10"/>
  <c r="CI50" i="10"/>
  <c r="BR50" i="10"/>
  <c r="BA50" i="10"/>
  <c r="AJ50" i="10"/>
  <c r="S50" i="10"/>
  <c r="CF49" i="10"/>
  <c r="BO49" i="10"/>
  <c r="AX49" i="10"/>
  <c r="CN50" i="10"/>
  <c r="BT50" i="10"/>
  <c r="AY50" i="10"/>
  <c r="AF50" i="10"/>
  <c r="M50" i="10"/>
  <c r="CO49" i="10"/>
  <c r="BV49" i="10"/>
  <c r="BC49" i="10"/>
  <c r="AJ49" i="10"/>
  <c r="R49" i="10"/>
  <c r="CT48" i="10"/>
  <c r="CA48" i="10"/>
  <c r="BI48" i="10"/>
  <c r="AQ48" i="10"/>
  <c r="Y48" i="10"/>
  <c r="G48" i="10"/>
  <c r="CK47" i="10"/>
  <c r="BS47" i="10"/>
  <c r="BA47" i="10"/>
  <c r="AH47" i="10"/>
  <c r="P47" i="10"/>
  <c r="CS46" i="10"/>
  <c r="CA46" i="10"/>
  <c r="BI46" i="10"/>
  <c r="AQ46" i="10"/>
  <c r="X46" i="10"/>
  <c r="E46" i="10"/>
  <c r="CH50" i="10"/>
  <c r="BO50" i="10"/>
  <c r="AV50" i="10"/>
  <c r="AC50" i="10"/>
  <c r="I50" i="10"/>
  <c r="CL49" i="10"/>
  <c r="BS49" i="10"/>
  <c r="AZ49" i="10"/>
  <c r="AF49" i="10"/>
  <c r="M49" i="10"/>
  <c r="CP48" i="10"/>
  <c r="BX48" i="10"/>
  <c r="BF48" i="10"/>
  <c r="AN48" i="10"/>
  <c r="V48" i="10"/>
  <c r="D48" i="10"/>
  <c r="CH47" i="10"/>
  <c r="BO47" i="10"/>
  <c r="AW47" i="10"/>
  <c r="AE47" i="10"/>
  <c r="M47" i="10"/>
  <c r="CP46" i="10"/>
  <c r="BW46" i="10"/>
  <c r="BE46" i="10"/>
  <c r="AL46" i="10"/>
  <c r="T46" i="10"/>
  <c r="F13" i="1"/>
  <c r="CB50" i="10"/>
  <c r="BF50" i="10"/>
  <c r="AI50" i="10"/>
  <c r="N50" i="10"/>
  <c r="CM49" i="10"/>
  <c r="BQ49" i="10"/>
  <c r="AS49" i="10"/>
  <c r="Y49" i="10"/>
  <c r="E49" i="10"/>
  <c r="CF48" i="10"/>
  <c r="BJ48" i="10"/>
  <c r="AO48" i="10"/>
  <c r="T48" i="10"/>
  <c r="BZ47" i="10"/>
  <c r="BF47" i="10"/>
  <c r="AL47" i="10"/>
  <c r="Q47" i="10"/>
  <c r="CQ46" i="10"/>
  <c r="BU46" i="10"/>
  <c r="AZ46" i="10"/>
  <c r="AF46" i="10"/>
  <c r="L46" i="10"/>
  <c r="CR50" i="10"/>
  <c r="BV50" i="10"/>
  <c r="AX50" i="10"/>
  <c r="AB50" i="10"/>
  <c r="F50" i="10"/>
  <c r="CE49" i="10"/>
  <c r="BI49" i="10"/>
  <c r="AN49" i="10"/>
  <c r="T49" i="10"/>
  <c r="CR48" i="10"/>
  <c r="BW48" i="10"/>
  <c r="BC48" i="10"/>
  <c r="AI48" i="10"/>
  <c r="N48" i="10"/>
  <c r="CO47" i="10"/>
  <c r="BU47" i="10"/>
  <c r="AY47" i="10"/>
  <c r="AD47" i="10"/>
  <c r="I47" i="10"/>
  <c r="CJ46" i="10"/>
  <c r="BO46" i="10"/>
  <c r="AU46" i="10"/>
  <c r="AA46" i="10"/>
  <c r="D46" i="10"/>
  <c r="CT50" i="10"/>
  <c r="BU50" i="10"/>
  <c r="AT50" i="10"/>
  <c r="V50" i="10"/>
  <c r="CS49" i="10"/>
  <c r="BT49" i="10"/>
  <c r="AR49" i="10"/>
  <c r="V49" i="10"/>
  <c r="CQ48" i="10"/>
  <c r="BT48" i="10"/>
  <c r="AX48" i="10"/>
  <c r="Z48" i="10"/>
  <c r="BY47" i="10"/>
  <c r="BC47" i="10"/>
  <c r="AC47" i="10"/>
  <c r="F47" i="10"/>
  <c r="CD46" i="10"/>
  <c r="BF46" i="10"/>
  <c r="AH46" i="10"/>
  <c r="K46" i="10"/>
  <c r="CK50" i="10"/>
  <c r="BK50" i="10"/>
  <c r="AM50" i="10"/>
  <c r="L50" i="10"/>
  <c r="CI49" i="10"/>
  <c r="BH49" i="10"/>
  <c r="AK49" i="10"/>
  <c r="K49" i="10"/>
  <c r="CJ48" i="10"/>
  <c r="BN48" i="10"/>
  <c r="AM48" i="10"/>
  <c r="P48" i="10"/>
  <c r="CN47" i="10"/>
  <c r="BQ47" i="10"/>
  <c r="AR47" i="10"/>
  <c r="V47" i="10"/>
  <c r="CT46" i="10"/>
  <c r="BT46" i="10"/>
  <c r="AW46" i="10"/>
  <c r="Z46" i="10"/>
  <c r="BY50" i="10"/>
  <c r="AS50" i="10"/>
  <c r="Q50" i="10"/>
  <c r="CJ49" i="10"/>
  <c r="BF49" i="10"/>
  <c r="AC49" i="10"/>
  <c r="D49" i="10"/>
  <c r="BV48" i="10"/>
  <c r="AV48" i="10"/>
  <c r="U48" i="10"/>
  <c r="CQ47" i="10"/>
  <c r="BN47" i="10"/>
  <c r="AO47" i="10"/>
  <c r="N47" i="10"/>
  <c r="CG46" i="10"/>
  <c r="BH46" i="10"/>
  <c r="AE46" i="10"/>
  <c r="C46" i="10"/>
  <c r="G13" i="1"/>
  <c r="D21" i="1" s="1"/>
  <c r="E21" i="1" s="1"/>
  <c r="F21" i="1" s="1"/>
  <c r="CQ50" i="10"/>
  <c r="BM50" i="10"/>
  <c r="AL50" i="10"/>
  <c r="G50" i="10"/>
  <c r="CA49" i="10"/>
  <c r="AW49" i="10"/>
  <c r="W49" i="10"/>
  <c r="CN48" i="10"/>
  <c r="BP48" i="10"/>
  <c r="AL48" i="10"/>
  <c r="K48" i="10"/>
  <c r="CI47" i="10"/>
  <c r="BH47" i="10"/>
  <c r="AG47" i="10"/>
  <c r="E47" i="10"/>
  <c r="BZ46" i="10"/>
  <c r="AX46" i="10"/>
  <c r="U46" i="10"/>
  <c r="CP50" i="10"/>
  <c r="BL50" i="10"/>
  <c r="AH50" i="10"/>
  <c r="E50" i="10"/>
  <c r="BY49" i="10"/>
  <c r="AV49" i="10"/>
  <c r="U49" i="10"/>
  <c r="CM48" i="10"/>
  <c r="BO48" i="10"/>
  <c r="AK48" i="10"/>
  <c r="J48" i="10"/>
  <c r="CG47" i="10"/>
  <c r="BG47" i="10"/>
  <c r="AF47" i="10"/>
  <c r="C47" i="10"/>
  <c r="BY46" i="10"/>
  <c r="AV46" i="10"/>
  <c r="S46" i="10"/>
  <c r="CG50" i="10"/>
  <c r="BC50" i="10"/>
  <c r="R50" i="10"/>
  <c r="CC49" i="10"/>
  <c r="AQ49" i="10"/>
  <c r="J49" i="10"/>
  <c r="BZ48" i="10"/>
  <c r="AS48" i="10"/>
  <c r="I48" i="10"/>
  <c r="CB47" i="10"/>
  <c r="AT47" i="10"/>
  <c r="L47" i="10"/>
  <c r="CB46" i="10"/>
  <c r="AR46" i="10"/>
  <c r="M46" i="10"/>
  <c r="CC50" i="10"/>
  <c r="AR50" i="10"/>
  <c r="H50" i="10"/>
  <c r="BU49" i="10"/>
  <c r="AL49" i="10"/>
  <c r="F49" i="10"/>
  <c r="BR48" i="10"/>
  <c r="AH48" i="10"/>
  <c r="C48" i="10"/>
  <c r="BT47" i="10"/>
  <c r="AM47" i="10"/>
  <c r="BP46" i="10"/>
  <c r="AJ46" i="10"/>
  <c r="CD50" i="10"/>
  <c r="AO50" i="10"/>
  <c r="BG49" i="10"/>
  <c r="S49" i="10"/>
  <c r="CE48" i="10"/>
  <c r="AR48" i="10"/>
  <c r="E48" i="10"/>
  <c r="BM47" i="10"/>
  <c r="Z47" i="10"/>
  <c r="CM46" i="10"/>
  <c r="BB46" i="10"/>
  <c r="P46" i="10"/>
  <c r="CA50" i="10"/>
  <c r="AN50" i="10"/>
  <c r="CT49" i="10"/>
  <c r="BE49" i="10"/>
  <c r="P49" i="10"/>
  <c r="CB48" i="10"/>
  <c r="AP48" i="10"/>
  <c r="BL47" i="10"/>
  <c r="Y47" i="10"/>
  <c r="CL46" i="10"/>
  <c r="BA46" i="10"/>
  <c r="O46" i="10"/>
  <c r="BX50" i="10"/>
  <c r="AE50" i="10"/>
  <c r="CQ49" i="10"/>
  <c r="BB49" i="10"/>
  <c r="L49" i="10"/>
  <c r="BU48" i="10"/>
  <c r="AF48" i="10"/>
  <c r="CT47" i="10"/>
  <c r="BI47" i="10"/>
  <c r="W47" i="10"/>
  <c r="CH46" i="10"/>
  <c r="AT46" i="10"/>
  <c r="J46" i="10"/>
  <c r="BP50" i="10"/>
  <c r="Z50" i="10"/>
  <c r="CK49" i="10"/>
  <c r="AU49" i="10"/>
  <c r="H49" i="10"/>
  <c r="BQ48" i="10"/>
  <c r="AC48" i="10"/>
  <c r="CP47" i="10"/>
  <c r="BD47" i="10"/>
  <c r="S47" i="10"/>
  <c r="CE46" i="10"/>
  <c r="AO46" i="10"/>
  <c r="F46" i="10"/>
  <c r="BJ50" i="10"/>
  <c r="O50" i="10"/>
  <c r="BK49" i="10"/>
  <c r="C49" i="10"/>
  <c r="BB48" i="10"/>
  <c r="F48" i="10"/>
  <c r="BB47" i="10"/>
  <c r="G47" i="10"/>
  <c r="BJ46" i="10"/>
  <c r="BI50" i="10"/>
  <c r="J50" i="10"/>
  <c r="BD49" i="10"/>
  <c r="BA48" i="10"/>
  <c r="AX47" i="10"/>
  <c r="BD46" i="10"/>
  <c r="AZ50" i="10"/>
  <c r="CR49" i="10"/>
  <c r="AM49" i="10"/>
  <c r="CK48" i="10"/>
  <c r="AJ48" i="10"/>
  <c r="CL47" i="10"/>
  <c r="AP47" i="10"/>
  <c r="CN46" i="10"/>
  <c r="AK46" i="10"/>
  <c r="AW50" i="10"/>
  <c r="CN49" i="10"/>
  <c r="AI49" i="10"/>
  <c r="CI48" i="10"/>
  <c r="AE48" i="10"/>
  <c r="CJ47" i="10"/>
  <c r="AN47" i="10"/>
  <c r="CK46" i="10"/>
  <c r="AI46" i="10"/>
  <c r="AU50" i="10"/>
  <c r="CH49" i="10"/>
  <c r="AG49" i="10"/>
  <c r="CH48" i="10"/>
  <c r="AB48" i="10"/>
  <c r="CE47" i="10"/>
  <c r="AK47" i="10"/>
  <c r="CF46" i="10"/>
  <c r="AG46" i="10"/>
  <c r="BE50" i="10"/>
  <c r="BW49" i="10"/>
  <c r="X48" i="10"/>
  <c r="BR47" i="10"/>
  <c r="V46" i="10"/>
  <c r="BD50" i="10"/>
  <c r="BR49" i="10"/>
  <c r="W48" i="10"/>
  <c r="BK47" i="10"/>
  <c r="CR46" i="10"/>
  <c r="R46" i="10"/>
  <c r="Y50" i="10"/>
  <c r="BA49" i="10"/>
  <c r="BY48" i="10"/>
  <c r="L48" i="10"/>
  <c r="AQ47" i="10"/>
  <c r="BQ46" i="10"/>
  <c r="CS50" i="10"/>
  <c r="W50" i="10"/>
  <c r="AO49" i="10"/>
  <c r="BK48" i="10"/>
  <c r="AA47" i="10"/>
  <c r="BM46" i="10"/>
  <c r="CO50" i="10"/>
  <c r="U50" i="10"/>
  <c r="AE49" i="10"/>
  <c r="BH48" i="10"/>
  <c r="X47" i="10"/>
  <c r="BL46" i="10"/>
  <c r="X50" i="10"/>
  <c r="AP49" i="10"/>
  <c r="BS48" i="10"/>
  <c r="H48" i="10"/>
  <c r="AI47" i="10"/>
  <c r="BN46" i="10"/>
  <c r="BQ50" i="10"/>
  <c r="AB49" i="10"/>
  <c r="AY48" i="10"/>
  <c r="AV47" i="10"/>
  <c r="AD46" i="10"/>
  <c r="Q46" i="10"/>
  <c r="AG50" i="10"/>
  <c r="O49" i="10"/>
  <c r="R48" i="10"/>
  <c r="O47" i="10"/>
  <c r="N46" i="10"/>
  <c r="BE48" i="10"/>
  <c r="BN50" i="10"/>
  <c r="AA49" i="10"/>
  <c r="AT48" i="10"/>
  <c r="AU47" i="10"/>
  <c r="AC46" i="10"/>
  <c r="BH50" i="10"/>
  <c r="Z49" i="10"/>
  <c r="AA48" i="10"/>
  <c r="U47" i="10"/>
  <c r="AB46" i="10"/>
  <c r="AP50" i="10"/>
  <c r="X49" i="10"/>
  <c r="S48" i="10"/>
  <c r="R47" i="10"/>
  <c r="AD50" i="10"/>
  <c r="I49" i="10"/>
  <c r="O48" i="10"/>
  <c r="J47" i="10"/>
  <c r="I46" i="10"/>
  <c r="D50" i="10"/>
  <c r="CS47" i="10"/>
  <c r="CO48" i="10"/>
  <c r="CM47" i="10"/>
  <c r="CC46" i="10"/>
  <c r="CD49" i="10"/>
  <c r="CL48" i="10"/>
  <c r="CD47" i="10"/>
  <c r="BV46" i="10"/>
  <c r="CB49" i="10"/>
  <c r="CG48" i="10"/>
  <c r="CC47" i="10"/>
  <c r="BR46" i="10"/>
  <c r="CL50" i="10"/>
  <c r="BX49" i="10"/>
  <c r="BG48" i="10"/>
  <c r="BX47" i="10"/>
  <c r="BK46" i="10"/>
  <c r="CF50" i="10"/>
  <c r="BN49" i="10"/>
  <c r="BW47" i="10"/>
  <c r="AY46" i="10"/>
  <c r="CE50" i="10"/>
  <c r="BM49" i="10"/>
  <c r="BD48" i="10"/>
  <c r="BV47" i="10"/>
  <c r="AS46" i="10"/>
  <c r="P50" i="10"/>
  <c r="G49" i="10"/>
  <c r="H47" i="10"/>
  <c r="BE47" i="10"/>
  <c r="AN46" i="10"/>
  <c r="BZ50" i="10"/>
  <c r="BL49" i="10"/>
  <c r="AZ48" i="10"/>
  <c r="BP58" i="10"/>
  <c r="AR58" i="10"/>
  <c r="Z58" i="10"/>
  <c r="AC58" i="10"/>
  <c r="AM58" i="10"/>
  <c r="BA58" i="10"/>
  <c r="CT58" i="10"/>
  <c r="BU58" i="10"/>
  <c r="CI58" i="10"/>
  <c r="AQ58" i="10"/>
  <c r="CN58" i="10"/>
  <c r="AD58" i="10"/>
  <c r="E58" i="10"/>
  <c r="BX58" i="10"/>
  <c r="CL58" i="10"/>
  <c r="AG58" i="10"/>
  <c r="CJ58" i="10"/>
  <c r="CO58" i="10"/>
  <c r="F58" i="10"/>
  <c r="J58" i="10"/>
  <c r="BR58" i="10"/>
  <c r="AY58" i="10"/>
  <c r="X58" i="10"/>
  <c r="CQ58" i="10"/>
  <c r="V58" i="10"/>
  <c r="BG58" i="10"/>
  <c r="S58" i="10"/>
  <c r="CR58" i="10"/>
  <c r="D58" i="10"/>
  <c r="W58" i="10"/>
  <c r="G58" i="10"/>
  <c r="T58" i="10"/>
  <c r="Q58" i="10"/>
  <c r="H58" i="10"/>
  <c r="AO58" i="10"/>
  <c r="AN58" i="10"/>
  <c r="CG58" i="10"/>
  <c r="BN58" i="10"/>
  <c r="AJ58" i="10"/>
  <c r="BQ58" i="10"/>
  <c r="U58" i="10"/>
  <c r="AL58" i="10"/>
  <c r="BJ58" i="10"/>
  <c r="AZ58" i="10"/>
  <c r="I58" i="10"/>
  <c r="BF58" i="10"/>
  <c r="AT58" i="10"/>
  <c r="L58" i="10"/>
  <c r="CP58" i="10"/>
  <c r="N58" i="10"/>
  <c r="AX58" i="10"/>
  <c r="BH58" i="10"/>
  <c r="R58" i="10"/>
  <c r="BV58" i="10"/>
  <c r="AA58" i="10"/>
  <c r="CB58" i="10"/>
  <c r="CS58" i="10"/>
  <c r="AH58" i="10"/>
  <c r="CK58" i="10"/>
  <c r="K58" i="10"/>
  <c r="P58" i="10"/>
  <c r="BM58" i="10"/>
  <c r="AF58" i="10"/>
  <c r="BE58" i="10"/>
  <c r="CA58" i="10"/>
  <c r="BT58" i="10"/>
  <c r="BO58" i="10"/>
  <c r="BZ58" i="10"/>
  <c r="AE58" i="10"/>
  <c r="CC58" i="10"/>
  <c r="BD58" i="10"/>
  <c r="CM58" i="10"/>
  <c r="C58" i="10"/>
  <c r="O58" i="10"/>
  <c r="CF58" i="10"/>
  <c r="AW58" i="10"/>
  <c r="BW58" i="10"/>
  <c r="CE58" i="10"/>
  <c r="CD58" i="10"/>
  <c r="BB58" i="10"/>
  <c r="AS58" i="10"/>
  <c r="AI58" i="10"/>
  <c r="AB58" i="10"/>
  <c r="BI58" i="10"/>
  <c r="BY58" i="10"/>
  <c r="M58" i="10"/>
  <c r="BC58" i="10"/>
  <c r="AP58" i="10"/>
  <c r="BK58" i="10"/>
  <c r="CH58" i="10"/>
  <c r="AK58" i="10"/>
  <c r="AU58" i="10"/>
  <c r="AV58" i="10"/>
  <c r="Y58" i="10"/>
  <c r="BL58" i="10"/>
  <c r="BS58" i="10"/>
  <c r="CU41" i="10"/>
  <c r="CU40" i="10"/>
  <c r="CU43" i="10"/>
  <c r="CU49" i="10" l="1"/>
  <c r="CU50" i="10"/>
  <c r="D22" i="1" s="1"/>
  <c r="E22" i="1" s="1"/>
  <c r="F22" i="1" s="1"/>
  <c r="C54" i="10"/>
  <c r="D54" i="10" s="1"/>
  <c r="E54" i="10" s="1"/>
  <c r="F54" i="10" s="1"/>
  <c r="G54" i="10" s="1"/>
  <c r="H54" i="10" s="1"/>
  <c r="I54" i="10" s="1"/>
  <c r="J54" i="10" s="1"/>
  <c r="K54" i="10" s="1"/>
  <c r="L54" i="10" s="1"/>
  <c r="M54" i="10" s="1"/>
  <c r="N54" i="10" s="1"/>
  <c r="O54" i="10" s="1"/>
  <c r="P54" i="10" s="1"/>
  <c r="Q54" i="10" s="1"/>
  <c r="R54" i="10" s="1"/>
  <c r="S54" i="10" s="1"/>
  <c r="T54" i="10" s="1"/>
  <c r="U54" i="10" s="1"/>
  <c r="V54" i="10" s="1"/>
  <c r="W54" i="10" s="1"/>
  <c r="X54" i="10" s="1"/>
  <c r="Y54" i="10" s="1"/>
  <c r="Z54" i="10" s="1"/>
  <c r="AA54" i="10" s="1"/>
  <c r="AB54" i="10" s="1"/>
  <c r="AC54" i="10" s="1"/>
  <c r="AD54" i="10" s="1"/>
  <c r="AE54" i="10" s="1"/>
  <c r="AF54" i="10" s="1"/>
  <c r="AG54" i="10" s="1"/>
  <c r="AH54" i="10" s="1"/>
  <c r="AI54" i="10" s="1"/>
  <c r="AJ54" i="10" s="1"/>
  <c r="AK54" i="10" s="1"/>
  <c r="AL54" i="10" s="1"/>
  <c r="AM54" i="10" s="1"/>
  <c r="AN54" i="10" s="1"/>
  <c r="AO54" i="10" s="1"/>
  <c r="AP54" i="10" s="1"/>
  <c r="AQ54" i="10" s="1"/>
  <c r="AR54" i="10" s="1"/>
  <c r="AS54" i="10" s="1"/>
  <c r="AT54" i="10" s="1"/>
  <c r="AU54" i="10" s="1"/>
  <c r="AV54" i="10" s="1"/>
  <c r="AW54" i="10" s="1"/>
  <c r="AX54" i="10" s="1"/>
  <c r="AY54" i="10" s="1"/>
  <c r="AZ54" i="10" s="1"/>
  <c r="BA54" i="10" s="1"/>
  <c r="BB54" i="10" s="1"/>
  <c r="BC54" i="10" s="1"/>
  <c r="BD54" i="10" s="1"/>
  <c r="BE54" i="10" s="1"/>
  <c r="BF54" i="10" s="1"/>
  <c r="BG54" i="10" s="1"/>
  <c r="BH54" i="10" s="1"/>
  <c r="BI54" i="10" s="1"/>
  <c r="BJ54" i="10" s="1"/>
  <c r="BK54" i="10" s="1"/>
  <c r="BL54" i="10" s="1"/>
  <c r="BM54" i="10" s="1"/>
  <c r="BN54" i="10" s="1"/>
  <c r="BO54" i="10" s="1"/>
  <c r="BP54" i="10" s="1"/>
  <c r="BQ54" i="10" s="1"/>
  <c r="BR54" i="10" s="1"/>
  <c r="BS54" i="10" s="1"/>
  <c r="BT54" i="10" s="1"/>
  <c r="BU54" i="10" s="1"/>
  <c r="BV54" i="10" s="1"/>
  <c r="BW54" i="10" s="1"/>
  <c r="BX54" i="10" s="1"/>
  <c r="BY54" i="10" s="1"/>
  <c r="BZ54" i="10" s="1"/>
  <c r="CA54" i="10" s="1"/>
  <c r="CB54" i="10" s="1"/>
  <c r="CC54" i="10" s="1"/>
  <c r="CD54" i="10" s="1"/>
  <c r="CE54" i="10" s="1"/>
  <c r="CF54" i="10" s="1"/>
  <c r="CG54" i="10" s="1"/>
  <c r="CH54" i="10" s="1"/>
  <c r="CI54" i="10" s="1"/>
  <c r="CJ54" i="10" s="1"/>
  <c r="CK54" i="10" s="1"/>
  <c r="CL54" i="10" s="1"/>
  <c r="CM54" i="10" s="1"/>
  <c r="CN54" i="10" s="1"/>
  <c r="CO54" i="10" s="1"/>
  <c r="CP54" i="10" s="1"/>
  <c r="CQ54" i="10" s="1"/>
  <c r="CR54" i="10" s="1"/>
  <c r="CS54" i="10" s="1"/>
  <c r="CT54" i="10" s="1"/>
  <c r="CU47" i="10"/>
  <c r="CU48" i="10"/>
  <c r="CU46" i="10"/>
</calcChain>
</file>

<file path=xl/sharedStrings.xml><?xml version="1.0" encoding="utf-8"?>
<sst xmlns="http://schemas.openxmlformats.org/spreadsheetml/2006/main" count="168" uniqueCount="93">
  <si>
    <t>Resumen de Sprints – Burndown HouseCount</t>
  </si>
  <si>
    <t>Fecha de inicio / término del proyecto</t>
  </si>
  <si>
    <t>Sprint</t>
  </si>
  <si>
    <t>Alcance (bloque de la EDT)</t>
  </si>
  <si>
    <t>Tareas del sprint</t>
  </si>
  <si>
    <t>Días del sprint (columnas)</t>
  </si>
  <si>
    <t>Días previos</t>
  </si>
  <si>
    <t>Inicio</t>
  </si>
  <si>
    <t>Término</t>
  </si>
  <si>
    <t>Días según EDT</t>
  </si>
  <si>
    <t>Horas estimadas (fila gris del sprint)</t>
  </si>
  <si>
    <t>Horas según EDT</t>
  </si>
  <si>
    <t>% de horas</t>
  </si>
  <si>
    <t>Horas reales registradas</t>
  </si>
  <si>
    <t>Control</t>
  </si>
  <si>
    <t>Fase Análisis y Planificación</t>
  </si>
  <si>
    <t>Fase Diseño</t>
  </si>
  <si>
    <t>Base de Datos y Catálogo de Materiales</t>
  </si>
  <si>
    <t>Motor de Simulación y Algoritmo de Cálculo</t>
  </si>
  <si>
    <t>Interfaz Gráfica Interactiva</t>
  </si>
  <si>
    <t>Proyección Monetaria, Integración y Ceremonias Scrum</t>
  </si>
  <si>
    <t>Pruebas y Corrección de Defectos</t>
  </si>
  <si>
    <t>Despliegue, Aceptación y Cierre</t>
  </si>
  <si>
    <t>Total</t>
  </si>
  <si>
    <t>CONTROLES DE CONSISTENCIA</t>
  </si>
  <si>
    <t>Referencia</t>
  </si>
  <si>
    <t>Este burndown</t>
  </si>
  <si>
    <t>Diferencia</t>
  </si>
  <si>
    <t>Estado</t>
  </si>
  <si>
    <t>Horas totales del proyecto (referencia EDT)</t>
  </si>
  <si>
    <t>Días hábiles disponibles vs. días planificados (holgura)</t>
  </si>
  <si>
    <t>Fecha de término del proyecto vs. término del último sprint</t>
  </si>
  <si>
    <t>Horas reales: suma de sprints vs. burndown del proyecto</t>
  </si>
  <si>
    <t>Notas: (1) Formato de cada sprint: fila gris = bloque de la EDT con sus horas estimadas; debajo, las tareas (sin horas) donde se marcan las horas reales por día. (2) "Días del sprint" = N° de columnas de cada hoja de sprint. (3) Las horas se ingresan solo en las hojas de sprint; el burndown del proyecto las replica.</t>
  </si>
  <si>
    <t>Fila gris = horas estimadas del bloque (EDT). Marque en cada tarea las horas reales trabajadas cada día.</t>
  </si>
  <si>
    <t>Historias de Usuario o Spike</t>
  </si>
  <si>
    <t>horas estimadas</t>
  </si>
  <si>
    <t>DIA</t>
  </si>
  <si>
    <t>Kick Off</t>
  </si>
  <si>
    <t>Documento de Visión y Roles Scrum</t>
  </si>
  <si>
    <t>Aprobación de la Visión con Patrocinadores</t>
  </si>
  <si>
    <t>Definición de Requerimientos Generales (Product Backlog inicial)</t>
  </si>
  <si>
    <t>Organización del Equipo y Herramientas (repositorio, tablero)</t>
  </si>
  <si>
    <t>Día (0 = inicio del sprint)</t>
  </si>
  <si>
    <t>Reales de producto por realizar</t>
  </si>
  <si>
    <t>Estimadas de producto por realizar</t>
  </si>
  <si>
    <t>Captura de Requerimientos Específicos (Historias de Usuario)</t>
  </si>
  <si>
    <t>Análisis de Requerimientos y Criterios de Aceptación</t>
  </si>
  <si>
    <t>Diseño de la Solución. Modelo de Datos y UML</t>
  </si>
  <si>
    <t>Diseño de Prototipos de Interfaz</t>
  </si>
  <si>
    <t>Diseño del Algoritmo de Cubicación</t>
  </si>
  <si>
    <t>Plan de Proyecto y Product Backlog Priorizado</t>
  </si>
  <si>
    <t>Coordinación del componente</t>
  </si>
  <si>
    <t>Implementación del Ambiente de Desarrollo</t>
  </si>
  <si>
    <t>Modelo Relacional de Base de Datos</t>
  </si>
  <si>
    <t>Catálogo de Materiales y Poblamiento Inicial</t>
  </si>
  <si>
    <t>Algoritmo de Cubicación (cálculo de materiales)</t>
  </si>
  <si>
    <t>Ajuste a Presupuesto Máximo del Usuario</t>
  </si>
  <si>
    <t>Integración del Motor con el Catálogo de Materiales</t>
  </si>
  <si>
    <t>Interfaz Principal y Formulario de Presupuesto</t>
  </si>
  <si>
    <t>Editor Interactivo de Diseño del Hogar</t>
  </si>
  <si>
    <t>Visualización de Resultados en Tiempo Real</t>
  </si>
  <si>
    <t>Generación de Proyección Monetaria del Hogar</t>
  </si>
  <si>
    <t>Resumen y Exportación de Cotización</t>
  </si>
  <si>
    <t>Integración del Sistema</t>
  </si>
  <si>
    <t>Ceremonias Scrum (Planning, Review, Retrospectiva; en paralelo)</t>
  </si>
  <si>
    <t>Pruebas Unitarias Base de Datos y Catálogo</t>
  </si>
  <si>
    <t>Pruebas Unitarias Motor de Cálculo</t>
  </si>
  <si>
    <t>Pruebas Unitarias Interfaz Gráfica</t>
  </si>
  <si>
    <t>Pruebas de Integración</t>
  </si>
  <si>
    <t>Despliegue del Sistema a Producción</t>
  </si>
  <si>
    <t>Pruebas de Aceptación con Patrocinadores</t>
  </si>
  <si>
    <t>Marcha Blanca</t>
  </si>
  <si>
    <t>Capacitación y Entrega</t>
  </si>
  <si>
    <t>Cierre de Proyecto</t>
  </si>
  <si>
    <t>Control del Proyecto HouseCount – Burndown acumulado</t>
  </si>
  <si>
    <t>Se alimenta de las hojas de cada sprint (no se ingresa nada aquí).</t>
  </si>
  <si>
    <t>DIA HÁBIL DEL PROYECTO</t>
  </si>
  <si>
    <t>Día (0 = inicio del proyecto)</t>
  </si>
  <si>
    <t>Estimadas de producto por realizar (lineal)</t>
  </si>
  <si>
    <t>Plan según EDT (secuencia de sprints)</t>
  </si>
  <si>
    <t>Control del Sprint</t>
  </si>
  <si>
    <t>Ejemplo1</t>
  </si>
  <si>
    <t>Autenticación de usuarios</t>
  </si>
  <si>
    <t>Consultar las ofertas de habitaciones.</t>
  </si>
  <si>
    <t>Mantención de datos</t>
  </si>
  <si>
    <t>Publicar las ofertas.</t>
  </si>
  <si>
    <t>Despublicar las ofertas.</t>
  </si>
  <si>
    <t>Crear una cuenta de cliente.</t>
  </si>
  <si>
    <t>Coordinación del Objetivos Sprint 3</t>
  </si>
  <si>
    <t>Coordinación delObjetivos Sprint 4</t>
  </si>
  <si>
    <t>Coordinación del Objetivos Sprint 5</t>
  </si>
  <si>
    <t>Corrección de Defectos y Retesteo de Funcionalidades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</si>
</sst>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yy"/>
    <numFmt numFmtId="165" formatCode="0.0"/>
    <numFmt numFmtId="166" formatCode="0.0%"/>
    <numFmt numFmtId="167" formatCode="0;\-0;;@"/>
  </numFmts>
  <fonts count="13" x14ac:knownFonts="1">
    <font>
      <sz val="11"/>
      <color theme="1"/>
      <name val="Calibri"/>
      <charset val="1"/>
    </font>
    <font>
      <b/>
      <sz val="16"/>
      <color rgb="FF000000"/>
      <name val="Calibri"/>
      <charset val="1"/>
    </font>
    <font>
      <i/>
      <sz val="9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FF"/>
      <name val="Calibri"/>
      <charset val="1"/>
    </font>
    <font>
      <i/>
      <sz val="9"/>
      <color rgb="FFC00000"/>
      <name val="Calibri"/>
      <charset val="1"/>
    </font>
    <font>
      <sz val="11"/>
      <color rgb="FF008000"/>
      <name val="Calibri"/>
      <charset val="1"/>
    </font>
    <font>
      <sz val="11"/>
      <color rgb="FF000000"/>
      <name val="Calibri"/>
      <charset val="1"/>
    </font>
    <font>
      <b/>
      <sz val="11"/>
      <color rgb="FF008000"/>
      <name val="Calibri"/>
      <charset val="1"/>
    </font>
    <font>
      <b/>
      <sz val="12"/>
      <color rgb="FF000000"/>
      <name val="Calibri"/>
      <charset val="1"/>
    </font>
    <font>
      <b/>
      <sz val="10"/>
      <color rgb="FF000000"/>
      <name val="Calibri"/>
      <charset val="1"/>
    </font>
    <font>
      <sz val="9"/>
      <color rgb="FF000000"/>
      <name val="Calibri"/>
      <charset val="1"/>
    </font>
    <font>
      <b/>
      <sz val="16"/>
      <color theme="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D9D9D9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165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horizontal="center"/>
    </xf>
    <xf numFmtId="167" fontId="7" fillId="0" borderId="3" xfId="0" applyNumberFormat="1" applyFont="1" applyBorder="1" applyAlignment="1">
      <alignment horizontal="center"/>
    </xf>
    <xf numFmtId="0" fontId="12" fillId="0" borderId="0" xfId="0" applyFont="1"/>
    <xf numFmtId="0" fontId="0" fillId="0" borderId="4" xfId="0" applyBorder="1"/>
    <xf numFmtId="0" fontId="0" fillId="2" borderId="2" xfId="0" applyFill="1" applyBorder="1"/>
    <xf numFmtId="0" fontId="0" fillId="2" borderId="5" xfId="0" applyFill="1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 applyAlignment="1">
      <alignment horizontal="center" wrapText="1"/>
    </xf>
    <xf numFmtId="0" fontId="0" fillId="0" borderId="9" xfId="0" applyBorder="1"/>
    <xf numFmtId="0" fontId="0" fillId="0" borderId="10" xfId="0" applyBorder="1"/>
    <xf numFmtId="0" fontId="0" fillId="2" borderId="0" xfId="0" applyFill="1"/>
    <xf numFmtId="0" fontId="0" fillId="2" borderId="8" xfId="0" applyFill="1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3" xfId="0" applyBorder="1"/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4">
    <dxf>
      <font>
        <b/>
        <color rgb="FFC00000"/>
        <name val="Calibri"/>
        <charset val="1"/>
      </font>
    </dxf>
    <dxf>
      <font>
        <b/>
        <color rgb="FF006100"/>
        <name val="Calibri"/>
        <charset val="1"/>
      </font>
    </dxf>
    <dxf>
      <font>
        <b/>
        <color rgb="FFC00000"/>
        <name val="Calibri"/>
        <charset val="1"/>
      </font>
    </dxf>
    <dxf>
      <font>
        <b/>
        <color rgb="FF006100"/>
        <name val="Calibri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5B9BD5"/>
      <rgbColor rgb="FF993366"/>
      <rgbColor rgb="FFFFFF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8B8B8B"/>
      <rgbColor rgb="FF003366"/>
      <rgbColor rgb="FF70AD47"/>
      <rgbColor rgb="FF0061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BurnDown Sprint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N°1'!$A$14</c:f>
              <c:strCache>
                <c:ptCount val="1"/>
                <c:pt idx="0">
                  <c:v>Reales de producto por realizar</c:v>
                </c:pt>
              </c:strCache>
            </c:strRef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N°1'!$B$13:$I$13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'Sprint N°1'!$B$14:$I$14</c:f>
              <c:numCache>
                <c:formatCode>0</c:formatCode>
                <c:ptCount val="8"/>
                <c:pt idx="0" formatCode="General">
                  <c:v>43</c:v>
                </c:pt>
                <c:pt idx="1">
                  <c:v>36</c:v>
                </c:pt>
                <c:pt idx="2">
                  <c:v>30</c:v>
                </c:pt>
                <c:pt idx="3">
                  <c:v>23</c:v>
                </c:pt>
                <c:pt idx="4">
                  <c:v>18</c:v>
                </c:pt>
                <c:pt idx="5">
                  <c:v>11</c:v>
                </c:pt>
                <c:pt idx="6">
                  <c:v>5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62-4F3D-8AAB-D0DD98234033}"/>
            </c:ext>
          </c:extLst>
        </c:ser>
        <c:ser>
          <c:idx val="1"/>
          <c:order val="1"/>
          <c:tx>
            <c:strRef>
              <c:f>'Sprint N°1'!$A$16</c:f>
              <c:strCache>
                <c:ptCount val="1"/>
                <c:pt idx="0">
                  <c:v>Estimadas de producto por realizar</c:v>
                </c:pt>
              </c:strCache>
            </c:strRef>
          </c:tx>
          <c:spPr>
            <a:ln w="21960">
              <a:solidFill>
                <a:srgbClr val="2E75B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N°1'!$B$13:$I$13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'Sprint N°1'!$B$16:$I$16</c:f>
              <c:numCache>
                <c:formatCode>0</c:formatCode>
                <c:ptCount val="8"/>
                <c:pt idx="0" formatCode="General">
                  <c:v>43</c:v>
                </c:pt>
                <c:pt idx="1">
                  <c:v>36.857142857142861</c:v>
                </c:pt>
                <c:pt idx="2">
                  <c:v>30.714285714285715</c:v>
                </c:pt>
                <c:pt idx="3">
                  <c:v>24.571428571428569</c:v>
                </c:pt>
                <c:pt idx="4">
                  <c:v>18.428571428571431</c:v>
                </c:pt>
                <c:pt idx="5">
                  <c:v>12.285714285714285</c:v>
                </c:pt>
                <c:pt idx="6">
                  <c:v>6.142857142857145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62-4F3D-8AAB-D0DD98234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975017"/>
        <c:axId val="44666959"/>
      </c:lineChart>
      <c:catAx>
        <c:axId val="769750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44666959"/>
        <c:crosses val="autoZero"/>
        <c:auto val="1"/>
        <c:lblAlgn val="ctr"/>
        <c:lblOffset val="100"/>
        <c:noMultiLvlLbl val="0"/>
      </c:catAx>
      <c:valAx>
        <c:axId val="44666959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769750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BurnDown Sprint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N°2'!$A$15</c:f>
              <c:strCache>
                <c:ptCount val="1"/>
                <c:pt idx="0">
                  <c:v>Reales de producto por realizar</c:v>
                </c:pt>
              </c:strCache>
            </c:strRef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N°2'!$B$14:$O$14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'Sprint N°2'!$B$15:$O$15</c:f>
              <c:numCache>
                <c:formatCode>0</c:formatCode>
                <c:ptCount val="14"/>
                <c:pt idx="0" formatCode="General">
                  <c:v>98</c:v>
                </c:pt>
                <c:pt idx="1">
                  <c:v>91</c:v>
                </c:pt>
                <c:pt idx="2">
                  <c:v>85</c:v>
                </c:pt>
                <c:pt idx="3">
                  <c:v>78</c:v>
                </c:pt>
                <c:pt idx="4">
                  <c:v>71</c:v>
                </c:pt>
                <c:pt idx="5">
                  <c:v>61</c:v>
                </c:pt>
                <c:pt idx="6">
                  <c:v>55</c:v>
                </c:pt>
                <c:pt idx="7">
                  <c:v>48</c:v>
                </c:pt>
                <c:pt idx="8">
                  <c:v>40</c:v>
                </c:pt>
                <c:pt idx="9">
                  <c:v>30</c:v>
                </c:pt>
                <c:pt idx="10">
                  <c:v>22</c:v>
                </c:pt>
                <c:pt idx="11">
                  <c:v>15</c:v>
                </c:pt>
                <c:pt idx="12">
                  <c:v>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B5-451A-9DC4-ECE5C4F48836}"/>
            </c:ext>
          </c:extLst>
        </c:ser>
        <c:ser>
          <c:idx val="1"/>
          <c:order val="1"/>
          <c:tx>
            <c:strRef>
              <c:f>'Sprint N°2'!$A$17</c:f>
              <c:strCache>
                <c:ptCount val="1"/>
                <c:pt idx="0">
                  <c:v>Estimadas de producto por realizar</c:v>
                </c:pt>
              </c:strCache>
            </c:strRef>
          </c:tx>
          <c:spPr>
            <a:ln w="21960">
              <a:solidFill>
                <a:srgbClr val="2E75B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N°2'!$B$14:$O$14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'Sprint N°2'!$B$17:$O$17</c:f>
              <c:numCache>
                <c:formatCode>0</c:formatCode>
                <c:ptCount val="14"/>
                <c:pt idx="0" formatCode="General">
                  <c:v>98</c:v>
                </c:pt>
                <c:pt idx="1">
                  <c:v>90.461538461538467</c:v>
                </c:pt>
                <c:pt idx="2">
                  <c:v>82.92307692307692</c:v>
                </c:pt>
                <c:pt idx="3">
                  <c:v>75.384615384615373</c:v>
                </c:pt>
                <c:pt idx="4">
                  <c:v>67.84615384615384</c:v>
                </c:pt>
                <c:pt idx="5">
                  <c:v>60.307692307692314</c:v>
                </c:pt>
                <c:pt idx="6">
                  <c:v>52.769230769230766</c:v>
                </c:pt>
                <c:pt idx="7">
                  <c:v>45.230769230769234</c:v>
                </c:pt>
                <c:pt idx="8">
                  <c:v>37.692307692307686</c:v>
                </c:pt>
                <c:pt idx="9">
                  <c:v>30.153846153846157</c:v>
                </c:pt>
                <c:pt idx="10">
                  <c:v>22.61538461538461</c:v>
                </c:pt>
                <c:pt idx="11">
                  <c:v>15.076923076923078</c:v>
                </c:pt>
                <c:pt idx="12">
                  <c:v>7.538461538461533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B5-451A-9DC4-ECE5C4F48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4580730"/>
        <c:axId val="14463592"/>
      </c:lineChart>
      <c:catAx>
        <c:axId val="145807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14463592"/>
        <c:crosses val="autoZero"/>
        <c:auto val="1"/>
        <c:lblAlgn val="ctr"/>
        <c:lblOffset val="100"/>
        <c:noMultiLvlLbl val="0"/>
      </c:catAx>
      <c:valAx>
        <c:axId val="14463592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145807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BurnDown Sprint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N°3'!$A$13</c:f>
              <c:strCache>
                <c:ptCount val="1"/>
                <c:pt idx="0">
                  <c:v>Reales de producto por realizar</c:v>
                </c:pt>
              </c:strCache>
            </c:strRef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N°3'!$B$12:$I$12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'Sprint N°3'!$B$13:$I$13</c:f>
              <c:numCache>
                <c:formatCode>0</c:formatCode>
                <c:ptCount val="8"/>
                <c:pt idx="0" formatCode="General">
                  <c:v>47</c:v>
                </c:pt>
                <c:pt idx="1">
                  <c:v>41</c:v>
                </c:pt>
                <c:pt idx="2">
                  <c:v>36</c:v>
                </c:pt>
                <c:pt idx="3">
                  <c:v>29</c:v>
                </c:pt>
                <c:pt idx="4">
                  <c:v>21</c:v>
                </c:pt>
                <c:pt idx="5">
                  <c:v>15</c:v>
                </c:pt>
                <c:pt idx="6">
                  <c:v>7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9B-4A70-9191-03C62864EC6E}"/>
            </c:ext>
          </c:extLst>
        </c:ser>
        <c:ser>
          <c:idx val="1"/>
          <c:order val="1"/>
          <c:tx>
            <c:strRef>
              <c:f>'Sprint N°3'!$A$15</c:f>
              <c:strCache>
                <c:ptCount val="1"/>
                <c:pt idx="0">
                  <c:v>Estimadas de producto por realizar</c:v>
                </c:pt>
              </c:strCache>
            </c:strRef>
          </c:tx>
          <c:spPr>
            <a:ln w="21960">
              <a:solidFill>
                <a:srgbClr val="2E75B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N°3'!$B$12:$I$12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'Sprint N°3'!$B$15:$I$15</c:f>
              <c:numCache>
                <c:formatCode>0</c:formatCode>
                <c:ptCount val="8"/>
                <c:pt idx="0" formatCode="General">
                  <c:v>47</c:v>
                </c:pt>
                <c:pt idx="1">
                  <c:v>40.285714285714292</c:v>
                </c:pt>
                <c:pt idx="2">
                  <c:v>33.571428571428569</c:v>
                </c:pt>
                <c:pt idx="3">
                  <c:v>26.857142857142854</c:v>
                </c:pt>
                <c:pt idx="4">
                  <c:v>20.142857142857146</c:v>
                </c:pt>
                <c:pt idx="5">
                  <c:v>13.428571428571427</c:v>
                </c:pt>
                <c:pt idx="6">
                  <c:v>6.7142857142857162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9B-4A70-9191-03C62864E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7542908"/>
        <c:axId val="81595757"/>
      </c:lineChart>
      <c:catAx>
        <c:axId val="775429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81595757"/>
        <c:crosses val="autoZero"/>
        <c:auto val="1"/>
        <c:lblAlgn val="ctr"/>
        <c:lblOffset val="100"/>
        <c:noMultiLvlLbl val="0"/>
      </c:catAx>
      <c:valAx>
        <c:axId val="81595757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775429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BurnDown Sprint 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N°4'!$A$13</c:f>
              <c:strCache>
                <c:ptCount val="1"/>
                <c:pt idx="0">
                  <c:v>Reales de producto por realizar</c:v>
                </c:pt>
              </c:strCache>
            </c:strRef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N°4'!$B$12:$P$12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N°4'!$B$13:$P$13</c:f>
              <c:numCache>
                <c:formatCode>0</c:formatCode>
                <c:ptCount val="15"/>
                <c:pt idx="0" formatCode="General">
                  <c:v>91</c:v>
                </c:pt>
                <c:pt idx="1">
                  <c:v>86</c:v>
                </c:pt>
                <c:pt idx="2">
                  <c:v>81</c:v>
                </c:pt>
                <c:pt idx="3">
                  <c:v>76</c:v>
                </c:pt>
                <c:pt idx="4">
                  <c:v>69</c:v>
                </c:pt>
                <c:pt idx="5">
                  <c:v>63</c:v>
                </c:pt>
                <c:pt idx="6">
                  <c:v>56</c:v>
                </c:pt>
                <c:pt idx="7">
                  <c:v>49</c:v>
                </c:pt>
                <c:pt idx="8">
                  <c:v>42</c:v>
                </c:pt>
                <c:pt idx="9">
                  <c:v>36</c:v>
                </c:pt>
                <c:pt idx="10">
                  <c:v>28</c:v>
                </c:pt>
                <c:pt idx="11">
                  <c:v>21</c:v>
                </c:pt>
                <c:pt idx="12">
                  <c:v>14</c:v>
                </c:pt>
                <c:pt idx="13">
                  <c:v>7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D8-497A-8627-D3823FFBBC9C}"/>
            </c:ext>
          </c:extLst>
        </c:ser>
        <c:ser>
          <c:idx val="1"/>
          <c:order val="1"/>
          <c:tx>
            <c:strRef>
              <c:f>'Sprint N°4'!$A$15</c:f>
              <c:strCache>
                <c:ptCount val="1"/>
                <c:pt idx="0">
                  <c:v>Estimadas de producto por realizar</c:v>
                </c:pt>
              </c:strCache>
            </c:strRef>
          </c:tx>
          <c:spPr>
            <a:ln w="21960">
              <a:solidFill>
                <a:srgbClr val="2E75B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N°4'!$B$12:$P$12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N°4'!$B$15:$P$15</c:f>
              <c:numCache>
                <c:formatCode>0</c:formatCode>
                <c:ptCount val="15"/>
                <c:pt idx="0" formatCode="General">
                  <c:v>91</c:v>
                </c:pt>
                <c:pt idx="1">
                  <c:v>84.5</c:v>
                </c:pt>
                <c:pt idx="2">
                  <c:v>78</c:v>
                </c:pt>
                <c:pt idx="3">
                  <c:v>71.5</c:v>
                </c:pt>
                <c:pt idx="4">
                  <c:v>65</c:v>
                </c:pt>
                <c:pt idx="5">
                  <c:v>58.499999999999993</c:v>
                </c:pt>
                <c:pt idx="6">
                  <c:v>52</c:v>
                </c:pt>
                <c:pt idx="7">
                  <c:v>45.5</c:v>
                </c:pt>
                <c:pt idx="8">
                  <c:v>39</c:v>
                </c:pt>
                <c:pt idx="9">
                  <c:v>32.499999999999993</c:v>
                </c:pt>
                <c:pt idx="10">
                  <c:v>26</c:v>
                </c:pt>
                <c:pt idx="11">
                  <c:v>19.5</c:v>
                </c:pt>
                <c:pt idx="12">
                  <c:v>13.000000000000004</c:v>
                </c:pt>
                <c:pt idx="13">
                  <c:v>6.4999999999999973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D8-497A-8627-D3823FFBB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1547904"/>
        <c:axId val="28047709"/>
      </c:lineChart>
      <c:catAx>
        <c:axId val="115479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28047709"/>
        <c:crosses val="autoZero"/>
        <c:auto val="1"/>
        <c:lblAlgn val="ctr"/>
        <c:lblOffset val="100"/>
        <c:noMultiLvlLbl val="0"/>
      </c:catAx>
      <c:valAx>
        <c:axId val="28047709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115479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BurnDown Sprint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N°5'!$A$13</c:f>
              <c:strCache>
                <c:ptCount val="1"/>
                <c:pt idx="0">
                  <c:v>Reales de producto por realizar</c:v>
                </c:pt>
              </c:strCache>
            </c:strRef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N°5'!$B$12:$R$12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'Sprint N°5'!$B$13:$R$13</c:f>
              <c:numCache>
                <c:formatCode>0</c:formatCode>
                <c:ptCount val="17"/>
                <c:pt idx="0" formatCode="General">
                  <c:v>97</c:v>
                </c:pt>
                <c:pt idx="1">
                  <c:v>92</c:v>
                </c:pt>
                <c:pt idx="2">
                  <c:v>84</c:v>
                </c:pt>
                <c:pt idx="3">
                  <c:v>79</c:v>
                </c:pt>
                <c:pt idx="4">
                  <c:v>73</c:v>
                </c:pt>
                <c:pt idx="5">
                  <c:v>66</c:v>
                </c:pt>
                <c:pt idx="6">
                  <c:v>61</c:v>
                </c:pt>
                <c:pt idx="7">
                  <c:v>55</c:v>
                </c:pt>
                <c:pt idx="8">
                  <c:v>51</c:v>
                </c:pt>
                <c:pt idx="9">
                  <c:v>44</c:v>
                </c:pt>
                <c:pt idx="10">
                  <c:v>37</c:v>
                </c:pt>
                <c:pt idx="11">
                  <c:v>31</c:v>
                </c:pt>
                <c:pt idx="12">
                  <c:v>24</c:v>
                </c:pt>
                <c:pt idx="13">
                  <c:v>19</c:v>
                </c:pt>
                <c:pt idx="14">
                  <c:v>12</c:v>
                </c:pt>
                <c:pt idx="15">
                  <c:v>6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8F-4362-8B95-CE9C696C56C7}"/>
            </c:ext>
          </c:extLst>
        </c:ser>
        <c:ser>
          <c:idx val="1"/>
          <c:order val="1"/>
          <c:tx>
            <c:strRef>
              <c:f>'Sprint N°5'!$A$15</c:f>
              <c:strCache>
                <c:ptCount val="1"/>
                <c:pt idx="0">
                  <c:v>Estimadas de producto por realizar</c:v>
                </c:pt>
              </c:strCache>
            </c:strRef>
          </c:tx>
          <c:spPr>
            <a:ln w="21960">
              <a:solidFill>
                <a:srgbClr val="2E75B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N°5'!$B$12:$R$12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'Sprint N°5'!$B$15:$R$15</c:f>
              <c:numCache>
                <c:formatCode>0</c:formatCode>
                <c:ptCount val="17"/>
                <c:pt idx="0" formatCode="General">
                  <c:v>97</c:v>
                </c:pt>
                <c:pt idx="1">
                  <c:v>90.9375</c:v>
                </c:pt>
                <c:pt idx="2">
                  <c:v>84.875</c:v>
                </c:pt>
                <c:pt idx="3">
                  <c:v>78.8125</c:v>
                </c:pt>
                <c:pt idx="4">
                  <c:v>72.75</c:v>
                </c:pt>
                <c:pt idx="5">
                  <c:v>66.6875</c:v>
                </c:pt>
                <c:pt idx="6">
                  <c:v>60.625</c:v>
                </c:pt>
                <c:pt idx="7">
                  <c:v>54.5625</c:v>
                </c:pt>
                <c:pt idx="8">
                  <c:v>48.5</c:v>
                </c:pt>
                <c:pt idx="9">
                  <c:v>42.4375</c:v>
                </c:pt>
                <c:pt idx="10">
                  <c:v>36.375</c:v>
                </c:pt>
                <c:pt idx="11">
                  <c:v>30.3125</c:v>
                </c:pt>
                <c:pt idx="12">
                  <c:v>24.25</c:v>
                </c:pt>
                <c:pt idx="13">
                  <c:v>18.1875</c:v>
                </c:pt>
                <c:pt idx="14">
                  <c:v>12.125</c:v>
                </c:pt>
                <c:pt idx="15">
                  <c:v>6.0625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8F-4362-8B95-CE9C696C5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0359660"/>
        <c:axId val="31557003"/>
      </c:lineChart>
      <c:catAx>
        <c:axId val="503596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31557003"/>
        <c:crosses val="autoZero"/>
        <c:auto val="1"/>
        <c:lblAlgn val="ctr"/>
        <c:lblOffset val="100"/>
        <c:noMultiLvlLbl val="0"/>
      </c:catAx>
      <c:valAx>
        <c:axId val="31557003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503596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BurnDown Sprint 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N°6'!$A$14</c:f>
              <c:strCache>
                <c:ptCount val="1"/>
                <c:pt idx="0">
                  <c:v>Reales de producto por realizar</c:v>
                </c:pt>
              </c:strCache>
            </c:strRef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N°6'!$B$13:$N$13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'Sprint N°6'!$B$14:$N$14</c:f>
              <c:numCache>
                <c:formatCode>0</c:formatCode>
                <c:ptCount val="13"/>
                <c:pt idx="0" formatCode="General">
                  <c:v>135</c:v>
                </c:pt>
                <c:pt idx="1">
                  <c:v>125</c:v>
                </c:pt>
                <c:pt idx="2">
                  <c:v>112</c:v>
                </c:pt>
                <c:pt idx="3">
                  <c:v>99</c:v>
                </c:pt>
                <c:pt idx="4">
                  <c:v>88</c:v>
                </c:pt>
                <c:pt idx="5">
                  <c:v>76</c:v>
                </c:pt>
                <c:pt idx="6">
                  <c:v>70</c:v>
                </c:pt>
                <c:pt idx="7">
                  <c:v>57</c:v>
                </c:pt>
                <c:pt idx="8">
                  <c:v>46</c:v>
                </c:pt>
                <c:pt idx="9">
                  <c:v>31</c:v>
                </c:pt>
                <c:pt idx="10">
                  <c:v>19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8A-4D5A-B551-5DC144042B06}"/>
            </c:ext>
          </c:extLst>
        </c:ser>
        <c:ser>
          <c:idx val="1"/>
          <c:order val="1"/>
          <c:tx>
            <c:strRef>
              <c:f>'Sprint N°6'!$A$16</c:f>
              <c:strCache>
                <c:ptCount val="1"/>
                <c:pt idx="0">
                  <c:v>Estimadas de producto por realizar</c:v>
                </c:pt>
              </c:strCache>
            </c:strRef>
          </c:tx>
          <c:spPr>
            <a:ln w="21960">
              <a:solidFill>
                <a:srgbClr val="2E75B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N°6'!$B$13:$N$13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'Sprint N°6'!$B$16:$N$16</c:f>
              <c:numCache>
                <c:formatCode>0</c:formatCode>
                <c:ptCount val="13"/>
                <c:pt idx="0" formatCode="General">
                  <c:v>135</c:v>
                </c:pt>
                <c:pt idx="1">
                  <c:v>123.75</c:v>
                </c:pt>
                <c:pt idx="2">
                  <c:v>112.5</c:v>
                </c:pt>
                <c:pt idx="3">
                  <c:v>101.25</c:v>
                </c:pt>
                <c:pt idx="4">
                  <c:v>90.000000000000014</c:v>
                </c:pt>
                <c:pt idx="5">
                  <c:v>78.749999999999986</c:v>
                </c:pt>
                <c:pt idx="6">
                  <c:v>67.5</c:v>
                </c:pt>
                <c:pt idx="7">
                  <c:v>56.249999999999993</c:v>
                </c:pt>
                <c:pt idx="8">
                  <c:v>45.000000000000007</c:v>
                </c:pt>
                <c:pt idx="9">
                  <c:v>33.75</c:v>
                </c:pt>
                <c:pt idx="10">
                  <c:v>22.499999999999996</c:v>
                </c:pt>
                <c:pt idx="11">
                  <c:v>11.250000000000005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8A-4D5A-B551-5DC144042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7239736"/>
        <c:axId val="26218906"/>
      </c:lineChart>
      <c:catAx>
        <c:axId val="672397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26218906"/>
        <c:crosses val="autoZero"/>
        <c:auto val="1"/>
        <c:lblAlgn val="ctr"/>
        <c:lblOffset val="100"/>
        <c:noMultiLvlLbl val="0"/>
      </c:catAx>
      <c:valAx>
        <c:axId val="26218906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672397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BurnDown Sprint 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N°7'!$A$14</c:f>
              <c:strCache>
                <c:ptCount val="1"/>
                <c:pt idx="0">
                  <c:v>Reales de producto por realizar</c:v>
                </c:pt>
              </c:strCache>
            </c:strRef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N°7'!$B$13:$P$13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N°7'!$B$14:$P$14</c:f>
              <c:numCache>
                <c:formatCode>0</c:formatCode>
                <c:ptCount val="15"/>
                <c:pt idx="0" formatCode="General">
                  <c:v>114</c:v>
                </c:pt>
                <c:pt idx="1">
                  <c:v>106</c:v>
                </c:pt>
                <c:pt idx="2">
                  <c:v>99</c:v>
                </c:pt>
                <c:pt idx="3">
                  <c:v>92</c:v>
                </c:pt>
                <c:pt idx="4">
                  <c:v>82</c:v>
                </c:pt>
                <c:pt idx="5">
                  <c:v>74</c:v>
                </c:pt>
                <c:pt idx="6">
                  <c:v>63</c:v>
                </c:pt>
                <c:pt idx="7">
                  <c:v>54</c:v>
                </c:pt>
                <c:pt idx="8">
                  <c:v>47</c:v>
                </c:pt>
                <c:pt idx="9">
                  <c:v>39</c:v>
                </c:pt>
                <c:pt idx="10">
                  <c:v>32</c:v>
                </c:pt>
                <c:pt idx="11">
                  <c:v>25</c:v>
                </c:pt>
                <c:pt idx="12">
                  <c:v>17</c:v>
                </c:pt>
                <c:pt idx="13">
                  <c:v>9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E-40CD-AA09-2C50593BE22D}"/>
            </c:ext>
          </c:extLst>
        </c:ser>
        <c:ser>
          <c:idx val="1"/>
          <c:order val="1"/>
          <c:tx>
            <c:strRef>
              <c:f>'Sprint N°7'!$A$16</c:f>
              <c:strCache>
                <c:ptCount val="1"/>
                <c:pt idx="0">
                  <c:v>Estimadas de producto por realizar</c:v>
                </c:pt>
              </c:strCache>
            </c:strRef>
          </c:tx>
          <c:spPr>
            <a:ln w="21960">
              <a:solidFill>
                <a:srgbClr val="2E75B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N°7'!$B$13:$P$13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'Sprint N°7'!$B$16:$P$16</c:f>
              <c:numCache>
                <c:formatCode>0</c:formatCode>
                <c:ptCount val="15"/>
                <c:pt idx="0" formatCode="General">
                  <c:v>114</c:v>
                </c:pt>
                <c:pt idx="1">
                  <c:v>105.85714285714286</c:v>
                </c:pt>
                <c:pt idx="2">
                  <c:v>97.714285714285722</c:v>
                </c:pt>
                <c:pt idx="3">
                  <c:v>89.571428571428569</c:v>
                </c:pt>
                <c:pt idx="4">
                  <c:v>81.428571428571431</c:v>
                </c:pt>
                <c:pt idx="5">
                  <c:v>73.285714285714278</c:v>
                </c:pt>
                <c:pt idx="6">
                  <c:v>65.142857142857139</c:v>
                </c:pt>
                <c:pt idx="7">
                  <c:v>57</c:v>
                </c:pt>
                <c:pt idx="8">
                  <c:v>48.857142857142861</c:v>
                </c:pt>
                <c:pt idx="9">
                  <c:v>40.714285714285708</c:v>
                </c:pt>
                <c:pt idx="10">
                  <c:v>32.571428571428569</c:v>
                </c:pt>
                <c:pt idx="11">
                  <c:v>24.428571428571431</c:v>
                </c:pt>
                <c:pt idx="12">
                  <c:v>16.285714285714292</c:v>
                </c:pt>
                <c:pt idx="13">
                  <c:v>8.1428571428571388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AE-40CD-AA09-2C50593BE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2589132"/>
        <c:axId val="9141706"/>
      </c:lineChart>
      <c:catAx>
        <c:axId val="525891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9141706"/>
        <c:crosses val="autoZero"/>
        <c:auto val="1"/>
        <c:lblAlgn val="ctr"/>
        <c:lblOffset val="100"/>
        <c:noMultiLvlLbl val="0"/>
      </c:catAx>
      <c:valAx>
        <c:axId val="9141706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525891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BurnDown Sprint 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N°8'!$A$14</c:f>
              <c:strCache>
                <c:ptCount val="1"/>
                <c:pt idx="0">
                  <c:v>Reales de producto por realizar</c:v>
                </c:pt>
              </c:strCache>
            </c:strRef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N°8'!$B$13:$M$13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'Sprint N°8'!$B$14:$M$14</c:f>
              <c:numCache>
                <c:formatCode>0</c:formatCode>
                <c:ptCount val="12"/>
                <c:pt idx="0" formatCode="General">
                  <c:v>86</c:v>
                </c:pt>
                <c:pt idx="1">
                  <c:v>79</c:v>
                </c:pt>
                <c:pt idx="2">
                  <c:v>73</c:v>
                </c:pt>
                <c:pt idx="3">
                  <c:v>65</c:v>
                </c:pt>
                <c:pt idx="4">
                  <c:v>58</c:v>
                </c:pt>
                <c:pt idx="5">
                  <c:v>50</c:v>
                </c:pt>
                <c:pt idx="6">
                  <c:v>42</c:v>
                </c:pt>
                <c:pt idx="7">
                  <c:v>34</c:v>
                </c:pt>
                <c:pt idx="8">
                  <c:v>28</c:v>
                </c:pt>
                <c:pt idx="9">
                  <c:v>19</c:v>
                </c:pt>
                <c:pt idx="10">
                  <c:v>11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0D-45E1-8CB6-F19F063821E2}"/>
            </c:ext>
          </c:extLst>
        </c:ser>
        <c:ser>
          <c:idx val="1"/>
          <c:order val="1"/>
          <c:tx>
            <c:strRef>
              <c:f>'Sprint N°8'!$A$16</c:f>
              <c:strCache>
                <c:ptCount val="1"/>
                <c:pt idx="0">
                  <c:v>Estimadas de producto por realizar</c:v>
                </c:pt>
              </c:strCache>
            </c:strRef>
          </c:tx>
          <c:spPr>
            <a:ln w="21960">
              <a:solidFill>
                <a:srgbClr val="2E75B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N°8'!$B$13:$M$13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'Sprint N°8'!$B$16:$M$16</c:f>
              <c:numCache>
                <c:formatCode>0</c:formatCode>
                <c:ptCount val="12"/>
                <c:pt idx="0" formatCode="General">
                  <c:v>86</c:v>
                </c:pt>
                <c:pt idx="1">
                  <c:v>78.181818181818173</c:v>
                </c:pt>
                <c:pt idx="2">
                  <c:v>70.36363636363636</c:v>
                </c:pt>
                <c:pt idx="3">
                  <c:v>62.545454545454547</c:v>
                </c:pt>
                <c:pt idx="4">
                  <c:v>54.727272727272727</c:v>
                </c:pt>
                <c:pt idx="5">
                  <c:v>46.909090909090907</c:v>
                </c:pt>
                <c:pt idx="6">
                  <c:v>39.090909090909093</c:v>
                </c:pt>
                <c:pt idx="7">
                  <c:v>31.272727272727273</c:v>
                </c:pt>
                <c:pt idx="8">
                  <c:v>23.454545454545453</c:v>
                </c:pt>
                <c:pt idx="9">
                  <c:v>15.636363636363631</c:v>
                </c:pt>
                <c:pt idx="10">
                  <c:v>7.818181818181821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0D-45E1-8CB6-F19F06382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4156885"/>
        <c:axId val="84324541"/>
      </c:lineChart>
      <c:catAx>
        <c:axId val="741568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84324541"/>
        <c:crosses val="autoZero"/>
        <c:auto val="1"/>
        <c:lblAlgn val="ctr"/>
        <c:lblOffset val="100"/>
        <c:noMultiLvlLbl val="0"/>
      </c:catAx>
      <c:valAx>
        <c:axId val="84324541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741568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BurnDown Proyecto HouseCount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burndown_Proyecto_HouseCount!$A$54</c:f>
              <c:strCache>
                <c:ptCount val="1"/>
                <c:pt idx="0">
                  <c:v>Reales de producto por realizar</c:v>
                </c:pt>
              </c:strCache>
            </c:strRef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burndown_Proyecto_HouseCount!$B$53:$CT$53</c:f>
              <c:numCache>
                <c:formatCode>General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</c:numCache>
            </c:numRef>
          </c:cat>
          <c:val>
            <c:numRef>
              <c:f>burndown_Proyecto_HouseCount!$B$54:$CT$54</c:f>
              <c:numCache>
                <c:formatCode>0</c:formatCode>
                <c:ptCount val="97"/>
                <c:pt idx="0">
                  <c:v>711</c:v>
                </c:pt>
                <c:pt idx="1">
                  <c:v>704</c:v>
                </c:pt>
                <c:pt idx="2">
                  <c:v>698</c:v>
                </c:pt>
                <c:pt idx="3">
                  <c:v>691</c:v>
                </c:pt>
                <c:pt idx="4">
                  <c:v>686</c:v>
                </c:pt>
                <c:pt idx="5">
                  <c:v>679</c:v>
                </c:pt>
                <c:pt idx="6">
                  <c:v>673</c:v>
                </c:pt>
                <c:pt idx="7">
                  <c:v>668</c:v>
                </c:pt>
                <c:pt idx="8">
                  <c:v>661</c:v>
                </c:pt>
                <c:pt idx="9">
                  <c:v>655</c:v>
                </c:pt>
                <c:pt idx="10">
                  <c:v>648</c:v>
                </c:pt>
                <c:pt idx="11">
                  <c:v>641</c:v>
                </c:pt>
                <c:pt idx="12">
                  <c:v>631</c:v>
                </c:pt>
                <c:pt idx="13">
                  <c:v>625</c:v>
                </c:pt>
                <c:pt idx="14">
                  <c:v>618</c:v>
                </c:pt>
                <c:pt idx="15">
                  <c:v>610</c:v>
                </c:pt>
                <c:pt idx="16">
                  <c:v>600</c:v>
                </c:pt>
                <c:pt idx="17">
                  <c:v>592</c:v>
                </c:pt>
                <c:pt idx="18">
                  <c:v>585</c:v>
                </c:pt>
                <c:pt idx="19">
                  <c:v>575</c:v>
                </c:pt>
                <c:pt idx="20">
                  <c:v>570</c:v>
                </c:pt>
                <c:pt idx="21">
                  <c:v>564</c:v>
                </c:pt>
                <c:pt idx="22">
                  <c:v>559</c:v>
                </c:pt>
                <c:pt idx="23">
                  <c:v>552</c:v>
                </c:pt>
                <c:pt idx="24">
                  <c:v>544</c:v>
                </c:pt>
                <c:pt idx="25">
                  <c:v>538</c:v>
                </c:pt>
                <c:pt idx="26">
                  <c:v>530</c:v>
                </c:pt>
                <c:pt idx="27">
                  <c:v>523</c:v>
                </c:pt>
                <c:pt idx="28">
                  <c:v>518</c:v>
                </c:pt>
                <c:pt idx="29">
                  <c:v>513</c:v>
                </c:pt>
                <c:pt idx="30">
                  <c:v>508</c:v>
                </c:pt>
                <c:pt idx="31">
                  <c:v>501</c:v>
                </c:pt>
                <c:pt idx="32">
                  <c:v>495</c:v>
                </c:pt>
                <c:pt idx="33">
                  <c:v>488</c:v>
                </c:pt>
                <c:pt idx="34">
                  <c:v>481</c:v>
                </c:pt>
                <c:pt idx="35">
                  <c:v>474</c:v>
                </c:pt>
                <c:pt idx="36">
                  <c:v>468</c:v>
                </c:pt>
                <c:pt idx="37">
                  <c:v>460</c:v>
                </c:pt>
                <c:pt idx="38">
                  <c:v>453</c:v>
                </c:pt>
                <c:pt idx="39">
                  <c:v>446</c:v>
                </c:pt>
                <c:pt idx="40">
                  <c:v>439</c:v>
                </c:pt>
                <c:pt idx="41">
                  <c:v>432</c:v>
                </c:pt>
                <c:pt idx="42">
                  <c:v>427</c:v>
                </c:pt>
                <c:pt idx="43">
                  <c:v>419</c:v>
                </c:pt>
                <c:pt idx="44">
                  <c:v>414</c:v>
                </c:pt>
                <c:pt idx="45">
                  <c:v>408</c:v>
                </c:pt>
                <c:pt idx="46">
                  <c:v>401</c:v>
                </c:pt>
                <c:pt idx="47">
                  <c:v>396</c:v>
                </c:pt>
                <c:pt idx="48">
                  <c:v>390</c:v>
                </c:pt>
                <c:pt idx="49">
                  <c:v>386</c:v>
                </c:pt>
                <c:pt idx="50">
                  <c:v>379</c:v>
                </c:pt>
                <c:pt idx="51">
                  <c:v>372</c:v>
                </c:pt>
                <c:pt idx="52">
                  <c:v>366</c:v>
                </c:pt>
                <c:pt idx="53">
                  <c:v>359</c:v>
                </c:pt>
                <c:pt idx="54">
                  <c:v>354</c:v>
                </c:pt>
                <c:pt idx="55">
                  <c:v>347</c:v>
                </c:pt>
                <c:pt idx="56">
                  <c:v>341</c:v>
                </c:pt>
                <c:pt idx="57">
                  <c:v>335</c:v>
                </c:pt>
                <c:pt idx="58">
                  <c:v>325</c:v>
                </c:pt>
                <c:pt idx="59">
                  <c:v>312</c:v>
                </c:pt>
                <c:pt idx="60">
                  <c:v>299</c:v>
                </c:pt>
                <c:pt idx="61">
                  <c:v>288</c:v>
                </c:pt>
                <c:pt idx="62">
                  <c:v>276</c:v>
                </c:pt>
                <c:pt idx="63">
                  <c:v>270</c:v>
                </c:pt>
                <c:pt idx="64">
                  <c:v>257</c:v>
                </c:pt>
                <c:pt idx="65">
                  <c:v>246</c:v>
                </c:pt>
                <c:pt idx="66">
                  <c:v>231</c:v>
                </c:pt>
                <c:pt idx="67">
                  <c:v>219</c:v>
                </c:pt>
                <c:pt idx="68">
                  <c:v>210</c:v>
                </c:pt>
                <c:pt idx="69">
                  <c:v>200</c:v>
                </c:pt>
                <c:pt idx="70">
                  <c:v>192</c:v>
                </c:pt>
                <c:pt idx="71">
                  <c:v>185</c:v>
                </c:pt>
                <c:pt idx="72">
                  <c:v>178</c:v>
                </c:pt>
                <c:pt idx="73">
                  <c:v>168</c:v>
                </c:pt>
                <c:pt idx="74">
                  <c:v>160</c:v>
                </c:pt>
                <c:pt idx="75">
                  <c:v>149</c:v>
                </c:pt>
                <c:pt idx="76">
                  <c:v>140</c:v>
                </c:pt>
                <c:pt idx="77">
                  <c:v>133</c:v>
                </c:pt>
                <c:pt idx="78">
                  <c:v>125</c:v>
                </c:pt>
                <c:pt idx="79">
                  <c:v>118</c:v>
                </c:pt>
                <c:pt idx="80">
                  <c:v>111</c:v>
                </c:pt>
                <c:pt idx="81">
                  <c:v>103</c:v>
                </c:pt>
                <c:pt idx="82">
                  <c:v>95</c:v>
                </c:pt>
                <c:pt idx="83">
                  <c:v>86</c:v>
                </c:pt>
                <c:pt idx="84">
                  <c:v>79</c:v>
                </c:pt>
                <c:pt idx="85">
                  <c:v>73</c:v>
                </c:pt>
                <c:pt idx="86">
                  <c:v>65</c:v>
                </c:pt>
                <c:pt idx="87">
                  <c:v>58</c:v>
                </c:pt>
                <c:pt idx="88">
                  <c:v>50</c:v>
                </c:pt>
                <c:pt idx="89">
                  <c:v>42</c:v>
                </c:pt>
                <c:pt idx="90">
                  <c:v>34</c:v>
                </c:pt>
                <c:pt idx="91">
                  <c:v>28</c:v>
                </c:pt>
                <c:pt idx="92">
                  <c:v>19</c:v>
                </c:pt>
                <c:pt idx="93">
                  <c:v>11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D8-4847-9B16-26FCEEDA6FF2}"/>
            </c:ext>
          </c:extLst>
        </c:ser>
        <c:ser>
          <c:idx val="1"/>
          <c:order val="1"/>
          <c:tx>
            <c:strRef>
              <c:f>burndown_Proyecto_HouseCount!$A$56</c:f>
              <c:strCache>
                <c:ptCount val="1"/>
                <c:pt idx="0">
                  <c:v>Estimadas de producto por realizar (lineal)</c:v>
                </c:pt>
              </c:strCache>
            </c:strRef>
          </c:tx>
          <c:spPr>
            <a:ln w="21960">
              <a:solidFill>
                <a:srgbClr val="2E75B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burndown_Proyecto_HouseCount!$B$53:$CT$53</c:f>
              <c:numCache>
                <c:formatCode>General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</c:numCache>
            </c:numRef>
          </c:cat>
          <c:val>
            <c:numRef>
              <c:f>burndown_Proyecto_HouseCount!$B$56:$CT$56</c:f>
              <c:numCache>
                <c:formatCode>0</c:formatCode>
                <c:ptCount val="97"/>
                <c:pt idx="0" formatCode="General">
                  <c:v>711</c:v>
                </c:pt>
                <c:pt idx="1">
                  <c:v>703.59375</c:v>
                </c:pt>
                <c:pt idx="2">
                  <c:v>696.1875</c:v>
                </c:pt>
                <c:pt idx="3">
                  <c:v>688.78125</c:v>
                </c:pt>
                <c:pt idx="4">
                  <c:v>681.375</c:v>
                </c:pt>
                <c:pt idx="5">
                  <c:v>673.96875</c:v>
                </c:pt>
                <c:pt idx="6">
                  <c:v>666.5625</c:v>
                </c:pt>
                <c:pt idx="7">
                  <c:v>659.15625</c:v>
                </c:pt>
                <c:pt idx="8">
                  <c:v>651.75</c:v>
                </c:pt>
                <c:pt idx="9">
                  <c:v>644.34375</c:v>
                </c:pt>
                <c:pt idx="10">
                  <c:v>636.9375</c:v>
                </c:pt>
                <c:pt idx="11">
                  <c:v>629.53125</c:v>
                </c:pt>
                <c:pt idx="12">
                  <c:v>622.125</c:v>
                </c:pt>
                <c:pt idx="13">
                  <c:v>614.71875</c:v>
                </c:pt>
                <c:pt idx="14">
                  <c:v>607.3125</c:v>
                </c:pt>
                <c:pt idx="15">
                  <c:v>599.90625</c:v>
                </c:pt>
                <c:pt idx="16">
                  <c:v>592.5</c:v>
                </c:pt>
                <c:pt idx="17">
                  <c:v>585.09375</c:v>
                </c:pt>
                <c:pt idx="18">
                  <c:v>577.6875</c:v>
                </c:pt>
                <c:pt idx="19">
                  <c:v>570.28125</c:v>
                </c:pt>
                <c:pt idx="20">
                  <c:v>562.875</c:v>
                </c:pt>
                <c:pt idx="21">
                  <c:v>555.46875</c:v>
                </c:pt>
                <c:pt idx="22">
                  <c:v>548.0625</c:v>
                </c:pt>
                <c:pt idx="23">
                  <c:v>540.65625</c:v>
                </c:pt>
                <c:pt idx="24">
                  <c:v>533.25</c:v>
                </c:pt>
                <c:pt idx="25">
                  <c:v>525.84375</c:v>
                </c:pt>
                <c:pt idx="26">
                  <c:v>518.4375</c:v>
                </c:pt>
                <c:pt idx="27">
                  <c:v>511.03125</c:v>
                </c:pt>
                <c:pt idx="28">
                  <c:v>503.62499999999994</c:v>
                </c:pt>
                <c:pt idx="29">
                  <c:v>496.21875000000006</c:v>
                </c:pt>
                <c:pt idx="30">
                  <c:v>488.8125</c:v>
                </c:pt>
                <c:pt idx="31">
                  <c:v>481.40624999999994</c:v>
                </c:pt>
                <c:pt idx="32">
                  <c:v>474.00000000000006</c:v>
                </c:pt>
                <c:pt idx="33">
                  <c:v>466.59375</c:v>
                </c:pt>
                <c:pt idx="34">
                  <c:v>459.18749999999994</c:v>
                </c:pt>
                <c:pt idx="35">
                  <c:v>451.78125000000006</c:v>
                </c:pt>
                <c:pt idx="36">
                  <c:v>444.375</c:v>
                </c:pt>
                <c:pt idx="37">
                  <c:v>436.96874999999994</c:v>
                </c:pt>
                <c:pt idx="38">
                  <c:v>429.56250000000006</c:v>
                </c:pt>
                <c:pt idx="39">
                  <c:v>422.15625</c:v>
                </c:pt>
                <c:pt idx="40">
                  <c:v>414.74999999999994</c:v>
                </c:pt>
                <c:pt idx="41">
                  <c:v>407.34375000000006</c:v>
                </c:pt>
                <c:pt idx="42">
                  <c:v>399.9375</c:v>
                </c:pt>
                <c:pt idx="43">
                  <c:v>392.53124999999994</c:v>
                </c:pt>
                <c:pt idx="44">
                  <c:v>385.12500000000006</c:v>
                </c:pt>
                <c:pt idx="45">
                  <c:v>377.71875</c:v>
                </c:pt>
                <c:pt idx="46">
                  <c:v>370.31249999999994</c:v>
                </c:pt>
                <c:pt idx="47">
                  <c:v>362.90625000000006</c:v>
                </c:pt>
                <c:pt idx="48">
                  <c:v>355.5</c:v>
                </c:pt>
                <c:pt idx="49">
                  <c:v>348.09375</c:v>
                </c:pt>
                <c:pt idx="50">
                  <c:v>340.6875</c:v>
                </c:pt>
                <c:pt idx="51">
                  <c:v>333.28125</c:v>
                </c:pt>
                <c:pt idx="52">
                  <c:v>325.875</c:v>
                </c:pt>
                <c:pt idx="53">
                  <c:v>318.46875</c:v>
                </c:pt>
                <c:pt idx="54">
                  <c:v>311.0625</c:v>
                </c:pt>
                <c:pt idx="55">
                  <c:v>303.65625</c:v>
                </c:pt>
                <c:pt idx="56">
                  <c:v>296.25</c:v>
                </c:pt>
                <c:pt idx="57">
                  <c:v>288.84375</c:v>
                </c:pt>
                <c:pt idx="58">
                  <c:v>281.4375</c:v>
                </c:pt>
                <c:pt idx="59">
                  <c:v>274.03125</c:v>
                </c:pt>
                <c:pt idx="60">
                  <c:v>266.625</c:v>
                </c:pt>
                <c:pt idx="61">
                  <c:v>259.21875</c:v>
                </c:pt>
                <c:pt idx="62">
                  <c:v>251.81249999999997</c:v>
                </c:pt>
                <c:pt idx="63">
                  <c:v>244.40625</c:v>
                </c:pt>
                <c:pt idx="64">
                  <c:v>237.00000000000003</c:v>
                </c:pt>
                <c:pt idx="65">
                  <c:v>229.59374999999997</c:v>
                </c:pt>
                <c:pt idx="66">
                  <c:v>222.1875</c:v>
                </c:pt>
                <c:pt idx="67">
                  <c:v>214.78125000000003</c:v>
                </c:pt>
                <c:pt idx="68">
                  <c:v>207.37499999999997</c:v>
                </c:pt>
                <c:pt idx="69">
                  <c:v>199.96875</c:v>
                </c:pt>
                <c:pt idx="70">
                  <c:v>192.56250000000003</c:v>
                </c:pt>
                <c:pt idx="71">
                  <c:v>185.15624999999997</c:v>
                </c:pt>
                <c:pt idx="72">
                  <c:v>177.75</c:v>
                </c:pt>
                <c:pt idx="73">
                  <c:v>170.34375000000003</c:v>
                </c:pt>
                <c:pt idx="74">
                  <c:v>162.93749999999997</c:v>
                </c:pt>
                <c:pt idx="75">
                  <c:v>155.53125</c:v>
                </c:pt>
                <c:pt idx="76">
                  <c:v>148.12500000000003</c:v>
                </c:pt>
                <c:pt idx="77">
                  <c:v>140.71874999999997</c:v>
                </c:pt>
                <c:pt idx="78">
                  <c:v>133.3125</c:v>
                </c:pt>
                <c:pt idx="79">
                  <c:v>125.90625000000003</c:v>
                </c:pt>
                <c:pt idx="80">
                  <c:v>118.49999999999997</c:v>
                </c:pt>
                <c:pt idx="81">
                  <c:v>111.09375</c:v>
                </c:pt>
                <c:pt idx="82">
                  <c:v>103.68750000000003</c:v>
                </c:pt>
                <c:pt idx="83">
                  <c:v>96.281249999999972</c:v>
                </c:pt>
                <c:pt idx="84">
                  <c:v>88.875</c:v>
                </c:pt>
                <c:pt idx="85">
                  <c:v>81.468750000000028</c:v>
                </c:pt>
                <c:pt idx="86">
                  <c:v>74.062499999999972</c:v>
                </c:pt>
                <c:pt idx="87">
                  <c:v>66.65625</c:v>
                </c:pt>
                <c:pt idx="88">
                  <c:v>59.250000000000028</c:v>
                </c:pt>
                <c:pt idx="89">
                  <c:v>51.843749999999972</c:v>
                </c:pt>
                <c:pt idx="90">
                  <c:v>44.4375</c:v>
                </c:pt>
                <c:pt idx="91">
                  <c:v>37.031250000000028</c:v>
                </c:pt>
                <c:pt idx="92">
                  <c:v>29.624999999999975</c:v>
                </c:pt>
                <c:pt idx="93">
                  <c:v>22.21875</c:v>
                </c:pt>
                <c:pt idx="94">
                  <c:v>14.812500000000027</c:v>
                </c:pt>
                <c:pt idx="95">
                  <c:v>7.4062499999999734</c:v>
                </c:pt>
                <c:pt idx="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D8-4847-9B16-26FCEEDA6FF2}"/>
            </c:ext>
          </c:extLst>
        </c:ser>
        <c:ser>
          <c:idx val="2"/>
          <c:order val="2"/>
          <c:tx>
            <c:strRef>
              <c:f>burndown_Proyecto_HouseCount!$A$58</c:f>
              <c:strCache>
                <c:ptCount val="1"/>
                <c:pt idx="0">
                  <c:v>Plan según EDT (secuencia de sprints)</c:v>
                </c:pt>
              </c:strCache>
            </c:strRef>
          </c:tx>
          <c:spPr>
            <a:ln w="219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burndown_Proyecto_HouseCount!$B$53:$CT$53</c:f>
              <c:numCache>
                <c:formatCode>General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</c:numCache>
            </c:numRef>
          </c:cat>
          <c:val>
            <c:numRef>
              <c:f>burndown_Proyecto_HouseCount!$B$58:$CT$58</c:f>
              <c:numCache>
                <c:formatCode>0</c:formatCode>
                <c:ptCount val="97"/>
                <c:pt idx="0" formatCode="General">
                  <c:v>711</c:v>
                </c:pt>
                <c:pt idx="1">
                  <c:v>704.85714285714278</c:v>
                </c:pt>
                <c:pt idx="2">
                  <c:v>698.71428571428567</c:v>
                </c:pt>
                <c:pt idx="3">
                  <c:v>692.57142857142867</c:v>
                </c:pt>
                <c:pt idx="4">
                  <c:v>686.42857142857144</c:v>
                </c:pt>
                <c:pt idx="5">
                  <c:v>680.28571428571422</c:v>
                </c:pt>
                <c:pt idx="6">
                  <c:v>674.14285714285711</c:v>
                </c:pt>
                <c:pt idx="7">
                  <c:v>668</c:v>
                </c:pt>
                <c:pt idx="8">
                  <c:v>660.46153846153845</c:v>
                </c:pt>
                <c:pt idx="9">
                  <c:v>652.92307692307691</c:v>
                </c:pt>
                <c:pt idx="10">
                  <c:v>645.38461538461536</c:v>
                </c:pt>
                <c:pt idx="11">
                  <c:v>637.84615384615381</c:v>
                </c:pt>
                <c:pt idx="12">
                  <c:v>630.30769230769226</c:v>
                </c:pt>
                <c:pt idx="13">
                  <c:v>622.76923076923072</c:v>
                </c:pt>
                <c:pt idx="14">
                  <c:v>615.23076923076928</c:v>
                </c:pt>
                <c:pt idx="15">
                  <c:v>607.69230769230774</c:v>
                </c:pt>
                <c:pt idx="16">
                  <c:v>600.15384615384619</c:v>
                </c:pt>
                <c:pt idx="17">
                  <c:v>592.61538461538464</c:v>
                </c:pt>
                <c:pt idx="18">
                  <c:v>585.07692307692309</c:v>
                </c:pt>
                <c:pt idx="19">
                  <c:v>577.53846153846143</c:v>
                </c:pt>
                <c:pt idx="20">
                  <c:v>570</c:v>
                </c:pt>
                <c:pt idx="21">
                  <c:v>563.28571428571433</c:v>
                </c:pt>
                <c:pt idx="22">
                  <c:v>556.57142857142867</c:v>
                </c:pt>
                <c:pt idx="23">
                  <c:v>549.85714285714289</c:v>
                </c:pt>
                <c:pt idx="24">
                  <c:v>543.14285714285711</c:v>
                </c:pt>
                <c:pt idx="25">
                  <c:v>536.42857142857144</c:v>
                </c:pt>
                <c:pt idx="26">
                  <c:v>529.71428571428567</c:v>
                </c:pt>
                <c:pt idx="27">
                  <c:v>523</c:v>
                </c:pt>
                <c:pt idx="28">
                  <c:v>516.5</c:v>
                </c:pt>
                <c:pt idx="29">
                  <c:v>510</c:v>
                </c:pt>
                <c:pt idx="30">
                  <c:v>503.5</c:v>
                </c:pt>
                <c:pt idx="31">
                  <c:v>497</c:v>
                </c:pt>
                <c:pt idx="32">
                  <c:v>490.5</c:v>
                </c:pt>
                <c:pt idx="33">
                  <c:v>484</c:v>
                </c:pt>
                <c:pt idx="34">
                  <c:v>477.5</c:v>
                </c:pt>
                <c:pt idx="35">
                  <c:v>471</c:v>
                </c:pt>
                <c:pt idx="36">
                  <c:v>464.5</c:v>
                </c:pt>
                <c:pt idx="37">
                  <c:v>458</c:v>
                </c:pt>
                <c:pt idx="38">
                  <c:v>451.5</c:v>
                </c:pt>
                <c:pt idx="39">
                  <c:v>445</c:v>
                </c:pt>
                <c:pt idx="40">
                  <c:v>438.5</c:v>
                </c:pt>
                <c:pt idx="41">
                  <c:v>432</c:v>
                </c:pt>
                <c:pt idx="42">
                  <c:v>425.9375</c:v>
                </c:pt>
                <c:pt idx="43">
                  <c:v>419.875</c:v>
                </c:pt>
                <c:pt idx="44">
                  <c:v>413.8125</c:v>
                </c:pt>
                <c:pt idx="45">
                  <c:v>407.75</c:v>
                </c:pt>
                <c:pt idx="46">
                  <c:v>401.6875</c:v>
                </c:pt>
                <c:pt idx="47">
                  <c:v>395.625</c:v>
                </c:pt>
                <c:pt idx="48">
                  <c:v>389.5625</c:v>
                </c:pt>
                <c:pt idx="49">
                  <c:v>383.5</c:v>
                </c:pt>
                <c:pt idx="50">
                  <c:v>377.4375</c:v>
                </c:pt>
                <c:pt idx="51">
                  <c:v>371.375</c:v>
                </c:pt>
                <c:pt idx="52">
                  <c:v>365.3125</c:v>
                </c:pt>
                <c:pt idx="53">
                  <c:v>359.25</c:v>
                </c:pt>
                <c:pt idx="54">
                  <c:v>353.1875</c:v>
                </c:pt>
                <c:pt idx="55">
                  <c:v>347.125</c:v>
                </c:pt>
                <c:pt idx="56">
                  <c:v>341.0625</c:v>
                </c:pt>
                <c:pt idx="57">
                  <c:v>335</c:v>
                </c:pt>
                <c:pt idx="58">
                  <c:v>323.75</c:v>
                </c:pt>
                <c:pt idx="59">
                  <c:v>312.5</c:v>
                </c:pt>
                <c:pt idx="60">
                  <c:v>301.25</c:v>
                </c:pt>
                <c:pt idx="61">
                  <c:v>290</c:v>
                </c:pt>
                <c:pt idx="62">
                  <c:v>278.75</c:v>
                </c:pt>
                <c:pt idx="63">
                  <c:v>267.5</c:v>
                </c:pt>
                <c:pt idx="64">
                  <c:v>256.25</c:v>
                </c:pt>
                <c:pt idx="65">
                  <c:v>245</c:v>
                </c:pt>
                <c:pt idx="66">
                  <c:v>233.75</c:v>
                </c:pt>
                <c:pt idx="67">
                  <c:v>222.5</c:v>
                </c:pt>
                <c:pt idx="68">
                  <c:v>211.25</c:v>
                </c:pt>
                <c:pt idx="69">
                  <c:v>200</c:v>
                </c:pt>
                <c:pt idx="70">
                  <c:v>191.85714285714289</c:v>
                </c:pt>
                <c:pt idx="71">
                  <c:v>183.71428571428578</c:v>
                </c:pt>
                <c:pt idx="72">
                  <c:v>175.57142857142856</c:v>
                </c:pt>
                <c:pt idx="73">
                  <c:v>167.42857142857144</c:v>
                </c:pt>
                <c:pt idx="74">
                  <c:v>159.28571428571422</c:v>
                </c:pt>
                <c:pt idx="75">
                  <c:v>151.14285714285711</c:v>
                </c:pt>
                <c:pt idx="76">
                  <c:v>143</c:v>
                </c:pt>
                <c:pt idx="77">
                  <c:v>134.85714285714289</c:v>
                </c:pt>
                <c:pt idx="78">
                  <c:v>126.71428571428567</c:v>
                </c:pt>
                <c:pt idx="79">
                  <c:v>118.57142857142856</c:v>
                </c:pt>
                <c:pt idx="80">
                  <c:v>110.42857142857144</c:v>
                </c:pt>
                <c:pt idx="81">
                  <c:v>102.28571428571433</c:v>
                </c:pt>
                <c:pt idx="82">
                  <c:v>94.14285714285711</c:v>
                </c:pt>
                <c:pt idx="83">
                  <c:v>86</c:v>
                </c:pt>
                <c:pt idx="84">
                  <c:v>78.18181818181813</c:v>
                </c:pt>
                <c:pt idx="85">
                  <c:v>70.363636363636374</c:v>
                </c:pt>
                <c:pt idx="86">
                  <c:v>62.545454545454504</c:v>
                </c:pt>
                <c:pt idx="87">
                  <c:v>54.727272727272748</c:v>
                </c:pt>
                <c:pt idx="88">
                  <c:v>46.909090909090878</c:v>
                </c:pt>
                <c:pt idx="89">
                  <c:v>39.090909090909122</c:v>
                </c:pt>
                <c:pt idx="90">
                  <c:v>31.272727272727252</c:v>
                </c:pt>
                <c:pt idx="91">
                  <c:v>23.454545454545496</c:v>
                </c:pt>
                <c:pt idx="92">
                  <c:v>15.636363636363626</c:v>
                </c:pt>
                <c:pt idx="93">
                  <c:v>7.8181818181818699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D8-4847-9B16-26FCEEDA6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0405480"/>
        <c:axId val="25395290"/>
      </c:lineChart>
      <c:catAx>
        <c:axId val="404054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25395290"/>
        <c:crosses val="autoZero"/>
        <c:auto val="1"/>
        <c:lblAlgn val="ctr"/>
        <c:lblOffset val="100"/>
        <c:noMultiLvlLbl val="0"/>
      </c:catAx>
      <c:valAx>
        <c:axId val="25395290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404054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2000" b="0" strike="noStrike" spc="-1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lang="es-CL" sz="2000" b="0" strike="noStrike" spc="-1">
                <a:solidFill>
                  <a:srgbClr val="757575"/>
                </a:solidFill>
                <a:latin typeface="Calibri"/>
                <a:ea typeface="Calibri"/>
              </a:rPr>
              <a:t>BurnDown Trabajo Pendiente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Reales de producto por realizar</c:v>
          </c:tx>
          <c:spPr>
            <a:ln w="3816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Ejemplo1!$B$12:$V$12</c:f>
              <c:numCache>
                <c:formatCode>General</c:formatCode>
                <c:ptCount val="21"/>
                <c:pt idx="0">
                  <c:v>106</c:v>
                </c:pt>
                <c:pt idx="1">
                  <c:v>98</c:v>
                </c:pt>
                <c:pt idx="2">
                  <c:v>92</c:v>
                </c:pt>
                <c:pt idx="3">
                  <c:v>82</c:v>
                </c:pt>
                <c:pt idx="4">
                  <c:v>73</c:v>
                </c:pt>
                <c:pt idx="5">
                  <c:v>65</c:v>
                </c:pt>
                <c:pt idx="6">
                  <c:v>60</c:v>
                </c:pt>
                <c:pt idx="7">
                  <c:v>55</c:v>
                </c:pt>
                <c:pt idx="8">
                  <c:v>52</c:v>
                </c:pt>
                <c:pt idx="9">
                  <c:v>48</c:v>
                </c:pt>
                <c:pt idx="10">
                  <c:v>45</c:v>
                </c:pt>
                <c:pt idx="11">
                  <c:v>45</c:v>
                </c:pt>
                <c:pt idx="12">
                  <c:v>41</c:v>
                </c:pt>
                <c:pt idx="13">
                  <c:v>39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27</c:v>
                </c:pt>
                <c:pt idx="18">
                  <c:v>18</c:v>
                </c:pt>
                <c:pt idx="19">
                  <c:v>6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8D-4BE8-BADF-8FE650D45546}"/>
            </c:ext>
          </c:extLst>
        </c:ser>
        <c:ser>
          <c:idx val="1"/>
          <c:order val="1"/>
          <c:tx>
            <c:v>Estimadas de producto por realizar</c:v>
          </c:tx>
          <c:spPr>
            <a:ln w="381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Ejemplo1!$B$14:$V$14</c:f>
              <c:numCache>
                <c:formatCode>General</c:formatCode>
                <c:ptCount val="21"/>
                <c:pt idx="0">
                  <c:v>106</c:v>
                </c:pt>
                <c:pt idx="1">
                  <c:v>100.7</c:v>
                </c:pt>
                <c:pt idx="2">
                  <c:v>95.4</c:v>
                </c:pt>
                <c:pt idx="3">
                  <c:v>90.100000000000009</c:v>
                </c:pt>
                <c:pt idx="4">
                  <c:v>84.800000000000011</c:v>
                </c:pt>
                <c:pt idx="5">
                  <c:v>79.500000000000014</c:v>
                </c:pt>
                <c:pt idx="6">
                  <c:v>74.200000000000017</c:v>
                </c:pt>
                <c:pt idx="7">
                  <c:v>68.90000000000002</c:v>
                </c:pt>
                <c:pt idx="8">
                  <c:v>63.600000000000023</c:v>
                </c:pt>
                <c:pt idx="9">
                  <c:v>58.300000000000026</c:v>
                </c:pt>
                <c:pt idx="10">
                  <c:v>53.000000000000028</c:v>
                </c:pt>
                <c:pt idx="11">
                  <c:v>47.700000000000031</c:v>
                </c:pt>
                <c:pt idx="12">
                  <c:v>42.400000000000034</c:v>
                </c:pt>
                <c:pt idx="13">
                  <c:v>37.100000000000037</c:v>
                </c:pt>
                <c:pt idx="14">
                  <c:v>31.800000000000036</c:v>
                </c:pt>
                <c:pt idx="15">
                  <c:v>26.500000000000036</c:v>
                </c:pt>
                <c:pt idx="16">
                  <c:v>21.200000000000035</c:v>
                </c:pt>
                <c:pt idx="17">
                  <c:v>15.900000000000034</c:v>
                </c:pt>
                <c:pt idx="18">
                  <c:v>10.600000000000033</c:v>
                </c:pt>
                <c:pt idx="19">
                  <c:v>5.3000000000000336</c:v>
                </c:pt>
                <c:pt idx="20">
                  <c:v>3.3750779948604759E-14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8D-4BE8-BADF-8FE650D45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5188916"/>
        <c:axId val="30390541"/>
      </c:lineChart>
      <c:catAx>
        <c:axId val="451889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30390541"/>
        <c:crosses val="autoZero"/>
        <c:auto val="1"/>
        <c:lblAlgn val="ctr"/>
        <c:lblOffset val="100"/>
        <c:noMultiLvlLbl val="0"/>
      </c:catAx>
      <c:valAx>
        <c:axId val="3039054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9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451889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BurnDown Trabajo Pendiente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Ejemplo1!$A$12</c:f>
              <c:strCache>
                <c:ptCount val="1"/>
                <c:pt idx="0">
                  <c:v>Reales de producto por realizar</c:v>
                </c:pt>
              </c:strCache>
            </c:strRef>
          </c:tx>
          <c:spPr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Ejemplo1!$B$12:$V$12</c:f>
              <c:numCache>
                <c:formatCode>General</c:formatCode>
                <c:ptCount val="21"/>
                <c:pt idx="0">
                  <c:v>106</c:v>
                </c:pt>
                <c:pt idx="1">
                  <c:v>98</c:v>
                </c:pt>
                <c:pt idx="2">
                  <c:v>92</c:v>
                </c:pt>
                <c:pt idx="3">
                  <c:v>82</c:v>
                </c:pt>
                <c:pt idx="4">
                  <c:v>73</c:v>
                </c:pt>
                <c:pt idx="5">
                  <c:v>65</c:v>
                </c:pt>
                <c:pt idx="6">
                  <c:v>60</c:v>
                </c:pt>
                <c:pt idx="7">
                  <c:v>55</c:v>
                </c:pt>
                <c:pt idx="8">
                  <c:v>52</c:v>
                </c:pt>
                <c:pt idx="9">
                  <c:v>48</c:v>
                </c:pt>
                <c:pt idx="10">
                  <c:v>45</c:v>
                </c:pt>
                <c:pt idx="11">
                  <c:v>45</c:v>
                </c:pt>
                <c:pt idx="12">
                  <c:v>41</c:v>
                </c:pt>
                <c:pt idx="13">
                  <c:v>39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27</c:v>
                </c:pt>
                <c:pt idx="18">
                  <c:v>18</c:v>
                </c:pt>
                <c:pt idx="19">
                  <c:v>6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64-4AFB-A1B7-161E976F581A}"/>
            </c:ext>
          </c:extLst>
        </c:ser>
        <c:ser>
          <c:idx val="1"/>
          <c:order val="1"/>
          <c:tx>
            <c:strRef>
              <c:f>Ejemplo1!$A$14</c:f>
              <c:strCache>
                <c:ptCount val="1"/>
                <c:pt idx="0">
                  <c:v>Estimadas de producto por realizar</c:v>
                </c:pt>
              </c:strCache>
            </c:strRef>
          </c:tx>
          <c:spPr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Ejemplo1!$B$14:$V$14</c:f>
              <c:numCache>
                <c:formatCode>General</c:formatCode>
                <c:ptCount val="21"/>
                <c:pt idx="0">
                  <c:v>106</c:v>
                </c:pt>
                <c:pt idx="1">
                  <c:v>100.7</c:v>
                </c:pt>
                <c:pt idx="2">
                  <c:v>95.4</c:v>
                </c:pt>
                <c:pt idx="3">
                  <c:v>90.100000000000009</c:v>
                </c:pt>
                <c:pt idx="4">
                  <c:v>84.800000000000011</c:v>
                </c:pt>
                <c:pt idx="5">
                  <c:v>79.500000000000014</c:v>
                </c:pt>
                <c:pt idx="6">
                  <c:v>74.200000000000017</c:v>
                </c:pt>
                <c:pt idx="7">
                  <c:v>68.90000000000002</c:v>
                </c:pt>
                <c:pt idx="8">
                  <c:v>63.600000000000023</c:v>
                </c:pt>
                <c:pt idx="9">
                  <c:v>58.300000000000026</c:v>
                </c:pt>
                <c:pt idx="10">
                  <c:v>53.000000000000028</c:v>
                </c:pt>
                <c:pt idx="11">
                  <c:v>47.700000000000031</c:v>
                </c:pt>
                <c:pt idx="12">
                  <c:v>42.400000000000034</c:v>
                </c:pt>
                <c:pt idx="13">
                  <c:v>37.100000000000037</c:v>
                </c:pt>
                <c:pt idx="14">
                  <c:v>31.800000000000036</c:v>
                </c:pt>
                <c:pt idx="15">
                  <c:v>26.500000000000036</c:v>
                </c:pt>
                <c:pt idx="16">
                  <c:v>21.200000000000035</c:v>
                </c:pt>
                <c:pt idx="17">
                  <c:v>15.900000000000034</c:v>
                </c:pt>
                <c:pt idx="18">
                  <c:v>10.600000000000033</c:v>
                </c:pt>
                <c:pt idx="19">
                  <c:v>5.3000000000000336</c:v>
                </c:pt>
                <c:pt idx="20">
                  <c:v>3.3750779948604759E-14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C64-4AFB-A1B7-161E976F5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1169239"/>
        <c:axId val="11283555"/>
      </c:lineChart>
      <c:catAx>
        <c:axId val="211692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11283555"/>
        <c:crosses val="autoZero"/>
        <c:auto val="1"/>
        <c:lblAlgn val="ctr"/>
        <c:lblOffset val="100"/>
        <c:noMultiLvlLbl val="0"/>
      </c:catAx>
      <c:valAx>
        <c:axId val="1128355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211692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130680</xdr:rowOff>
    </xdr:from>
    <xdr:to>
      <xdr:col>12</xdr:col>
      <xdr:colOff>364890</xdr:colOff>
      <xdr:row>36</xdr:row>
      <xdr:rowOff>110880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130680</xdr:rowOff>
    </xdr:from>
    <xdr:to>
      <xdr:col>15</xdr:col>
      <xdr:colOff>383760</xdr:colOff>
      <xdr:row>37</xdr:row>
      <xdr:rowOff>110880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131040</xdr:rowOff>
    </xdr:from>
    <xdr:to>
      <xdr:col>12</xdr:col>
      <xdr:colOff>361080</xdr:colOff>
      <xdr:row>35</xdr:row>
      <xdr:rowOff>110880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131040</xdr:rowOff>
    </xdr:from>
    <xdr:to>
      <xdr:col>16</xdr:col>
      <xdr:colOff>56715</xdr:colOff>
      <xdr:row>35</xdr:row>
      <xdr:rowOff>110880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131040</xdr:rowOff>
    </xdr:from>
    <xdr:to>
      <xdr:col>16</xdr:col>
      <xdr:colOff>56715</xdr:colOff>
      <xdr:row>35</xdr:row>
      <xdr:rowOff>110880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130680</xdr:rowOff>
    </xdr:from>
    <xdr:to>
      <xdr:col>15</xdr:col>
      <xdr:colOff>240</xdr:colOff>
      <xdr:row>36</xdr:row>
      <xdr:rowOff>110880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130680</xdr:rowOff>
    </xdr:from>
    <xdr:to>
      <xdr:col>16</xdr:col>
      <xdr:colOff>60525</xdr:colOff>
      <xdr:row>36</xdr:row>
      <xdr:rowOff>110880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130680</xdr:rowOff>
    </xdr:from>
    <xdr:to>
      <xdr:col>14</xdr:col>
      <xdr:colOff>321540</xdr:colOff>
      <xdr:row>36</xdr:row>
      <xdr:rowOff>110880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59</xdr:row>
      <xdr:rowOff>130680</xdr:rowOff>
    </xdr:from>
    <xdr:to>
      <xdr:col>16</xdr:col>
      <xdr:colOff>60525</xdr:colOff>
      <xdr:row>78</xdr:row>
      <xdr:rowOff>110880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162000</xdr:colOff>
      <xdr:row>1</xdr:row>
      <xdr:rowOff>83160</xdr:rowOff>
    </xdr:from>
    <xdr:to>
      <xdr:col>27</xdr:col>
      <xdr:colOff>666000</xdr:colOff>
      <xdr:row>18</xdr:row>
      <xdr:rowOff>101880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15</xdr:row>
      <xdr:rowOff>131040</xdr:rowOff>
    </xdr:from>
    <xdr:to>
      <xdr:col>14</xdr:col>
      <xdr:colOff>22320</xdr:colOff>
      <xdr:row>32</xdr:row>
      <xdr:rowOff>17640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6" sqref="B6"/>
    </sheetView>
  </sheetViews>
  <sheetFormatPr baseColWidth="10" defaultColWidth="8.6640625" defaultRowHeight="14.4" x14ac:dyDescent="0.3"/>
  <cols>
    <col min="1" max="1" width="62" customWidth="1"/>
    <col min="2" max="2" width="17" customWidth="1"/>
    <col min="3" max="9" width="4.44140625" customWidth="1"/>
    <col min="10" max="10" width="10" customWidth="1"/>
  </cols>
  <sheetData>
    <row r="1" spans="1:10" ht="21" x14ac:dyDescent="0.3">
      <c r="A1" s="3" t="str">
        <f>"Control del Sprint N°1 – "&amp;Resumen_Sprints!B6</f>
        <v>Control del Sprint N°1 – Fase Análisis y Planificación</v>
      </c>
    </row>
    <row r="2" spans="1:10" x14ac:dyDescent="0.3">
      <c r="A2" s="2" t="s">
        <v>34</v>
      </c>
    </row>
    <row r="3" spans="1:10" x14ac:dyDescent="0.3">
      <c r="A3" s="56" t="s">
        <v>35</v>
      </c>
      <c r="B3" s="56" t="s">
        <v>36</v>
      </c>
      <c r="C3" s="56" t="s">
        <v>37</v>
      </c>
      <c r="D3" s="56"/>
      <c r="E3" s="56"/>
      <c r="F3" s="56"/>
      <c r="G3" s="56"/>
      <c r="H3" s="56"/>
      <c r="I3" s="56"/>
      <c r="J3" s="56" t="s">
        <v>23</v>
      </c>
    </row>
    <row r="4" spans="1:10" x14ac:dyDescent="0.3">
      <c r="A4" s="56"/>
      <c r="B4" s="56"/>
      <c r="C4" s="25">
        <v>1</v>
      </c>
      <c r="D4" s="25">
        <v>2</v>
      </c>
      <c r="E4" s="25">
        <v>3</v>
      </c>
      <c r="F4" s="25">
        <v>4</v>
      </c>
      <c r="G4" s="25">
        <v>5</v>
      </c>
      <c r="H4" s="25">
        <v>6</v>
      </c>
      <c r="I4" s="25">
        <v>7</v>
      </c>
      <c r="J4" s="56"/>
    </row>
    <row r="5" spans="1:10" x14ac:dyDescent="0.3">
      <c r="A5" s="17" t="s">
        <v>15</v>
      </c>
      <c r="B5" s="26">
        <f>SUM(B6:B10)</f>
        <v>43</v>
      </c>
    </row>
    <row r="6" spans="1:10" x14ac:dyDescent="0.3">
      <c r="A6" s="22" t="s">
        <v>38</v>
      </c>
      <c r="B6" s="10">
        <v>8</v>
      </c>
      <c r="C6" s="27">
        <v>7</v>
      </c>
      <c r="D6" s="27">
        <v>1</v>
      </c>
      <c r="E6" s="27"/>
      <c r="F6" s="27"/>
      <c r="G6" s="27"/>
      <c r="H6" s="27"/>
      <c r="I6" s="27"/>
      <c r="J6" s="28">
        <f>SUM(C6:I6)</f>
        <v>8</v>
      </c>
    </row>
    <row r="7" spans="1:10" x14ac:dyDescent="0.3">
      <c r="A7" s="22" t="s">
        <v>39</v>
      </c>
      <c r="B7" s="10">
        <v>8</v>
      </c>
      <c r="C7" s="27"/>
      <c r="D7" s="27">
        <v>5</v>
      </c>
      <c r="E7" s="27">
        <v>3</v>
      </c>
      <c r="F7" s="27"/>
      <c r="G7" s="27"/>
      <c r="H7" s="27"/>
      <c r="I7" s="27"/>
      <c r="J7" s="28">
        <f>SUM(C7:I7)</f>
        <v>8</v>
      </c>
    </row>
    <row r="8" spans="1:10" x14ac:dyDescent="0.3">
      <c r="A8" s="22" t="s">
        <v>40</v>
      </c>
      <c r="B8" s="10">
        <v>1</v>
      </c>
      <c r="C8" s="27"/>
      <c r="D8" s="27"/>
      <c r="E8" s="27">
        <v>3</v>
      </c>
      <c r="F8" s="27"/>
      <c r="G8" s="27"/>
      <c r="H8" s="27"/>
      <c r="I8" s="27"/>
      <c r="J8" s="28">
        <f>SUM(C8:I8)</f>
        <v>3</v>
      </c>
    </row>
    <row r="9" spans="1:10" x14ac:dyDescent="0.3">
      <c r="A9" s="22" t="s">
        <v>41</v>
      </c>
      <c r="B9" s="10">
        <v>18</v>
      </c>
      <c r="C9" s="27"/>
      <c r="D9" s="27"/>
      <c r="E9" s="27">
        <v>1</v>
      </c>
      <c r="F9" s="27">
        <v>5</v>
      </c>
      <c r="G9" s="27">
        <v>7</v>
      </c>
      <c r="H9" s="27">
        <v>3</v>
      </c>
      <c r="I9" s="27"/>
      <c r="J9" s="28">
        <f>SUM(C9:I9)</f>
        <v>16</v>
      </c>
    </row>
    <row r="10" spans="1:10" x14ac:dyDescent="0.3">
      <c r="A10" s="29" t="s">
        <v>42</v>
      </c>
      <c r="B10" s="10">
        <v>8</v>
      </c>
      <c r="C10" s="31"/>
      <c r="D10" s="31"/>
      <c r="E10" s="31"/>
      <c r="F10" s="31"/>
      <c r="G10" s="31"/>
      <c r="H10" s="31">
        <v>3</v>
      </c>
      <c r="I10" s="31">
        <v>5</v>
      </c>
      <c r="J10" s="32">
        <f>SUM(C10:I10)</f>
        <v>8</v>
      </c>
    </row>
    <row r="13" spans="1:10" x14ac:dyDescent="0.3">
      <c r="A13" s="2" t="s">
        <v>43</v>
      </c>
      <c r="B13" s="33">
        <v>0</v>
      </c>
      <c r="C13" s="33">
        <f t="shared" ref="C13:I13" si="0">C$4</f>
        <v>1</v>
      </c>
      <c r="D13" s="33">
        <f t="shared" si="0"/>
        <v>2</v>
      </c>
      <c r="E13" s="33">
        <f t="shared" si="0"/>
        <v>3</v>
      </c>
      <c r="F13" s="33">
        <f t="shared" si="0"/>
        <v>4</v>
      </c>
      <c r="G13" s="33">
        <f t="shared" si="0"/>
        <v>5</v>
      </c>
      <c r="H13" s="33">
        <f t="shared" si="0"/>
        <v>6</v>
      </c>
      <c r="I13" s="33">
        <f t="shared" si="0"/>
        <v>7</v>
      </c>
    </row>
    <row r="14" spans="1:10" x14ac:dyDescent="0.3">
      <c r="A14" s="34" t="s">
        <v>44</v>
      </c>
      <c r="B14" s="28">
        <f>SUM(B6:B10)</f>
        <v>43</v>
      </c>
      <c r="C14" s="35">
        <f t="shared" ref="C14:I14" si="1">B14-SUM(C6:C10)</f>
        <v>36</v>
      </c>
      <c r="D14" s="35">
        <f t="shared" si="1"/>
        <v>30</v>
      </c>
      <c r="E14" s="35">
        <f t="shared" si="1"/>
        <v>23</v>
      </c>
      <c r="F14" s="35">
        <f t="shared" si="1"/>
        <v>18</v>
      </c>
      <c r="G14" s="35">
        <f t="shared" si="1"/>
        <v>11</v>
      </c>
      <c r="H14" s="35">
        <f t="shared" si="1"/>
        <v>5</v>
      </c>
      <c r="I14" s="35">
        <f t="shared" si="1"/>
        <v>0</v>
      </c>
    </row>
    <row r="16" spans="1:10" x14ac:dyDescent="0.3">
      <c r="A16" s="34" t="s">
        <v>45</v>
      </c>
      <c r="B16" s="28">
        <f>SUM(B6:B10)</f>
        <v>43</v>
      </c>
      <c r="C16" s="35">
        <f t="shared" ref="C16:I16" si="2">$B$16*(1-C$4/COUNT($C$4:$I$4))</f>
        <v>36.857142857142861</v>
      </c>
      <c r="D16" s="35">
        <f t="shared" si="2"/>
        <v>30.714285714285715</v>
      </c>
      <c r="E16" s="35">
        <f t="shared" si="2"/>
        <v>24.571428571428569</v>
      </c>
      <c r="F16" s="35">
        <f t="shared" si="2"/>
        <v>18.428571428571431</v>
      </c>
      <c r="G16" s="35">
        <f t="shared" si="2"/>
        <v>12.285714285714285</v>
      </c>
      <c r="H16" s="35">
        <f t="shared" si="2"/>
        <v>6.142857142857145</v>
      </c>
      <c r="I16" s="35">
        <f t="shared" si="2"/>
        <v>0</v>
      </c>
    </row>
  </sheetData>
  <mergeCells count="4">
    <mergeCell ref="A3:A4"/>
    <mergeCell ref="B3:B4"/>
    <mergeCell ref="C3:I3"/>
    <mergeCell ref="J3:J4"/>
  </mergeCells>
  <dataValidations count="1">
    <dataValidation type="decimal" operator="greaterThanOrEqual" allowBlank="1" showErrorMessage="1" errorTitle="Horas" error="Ingrese horas reales (número ≥ 0)" sqref="C6:I10" xr:uid="{00000000-0002-0000-01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R5" sqref="R5"/>
    </sheetView>
  </sheetViews>
  <sheetFormatPr baseColWidth="10" defaultColWidth="8.6640625" defaultRowHeight="14.4" x14ac:dyDescent="0.3"/>
  <cols>
    <col min="1" max="1" width="62" customWidth="1"/>
    <col min="2" max="2" width="17" customWidth="1"/>
    <col min="3" max="15" width="4.44140625" customWidth="1"/>
    <col min="16" max="16" width="10" customWidth="1"/>
  </cols>
  <sheetData>
    <row r="1" spans="1:16" ht="21" x14ac:dyDescent="0.3">
      <c r="A1" s="3" t="str">
        <f>"Control del Sprint N°2 – "&amp;Resumen_Sprints!B7</f>
        <v>Control del Sprint N°2 – Fase Diseño</v>
      </c>
    </row>
    <row r="2" spans="1:16" x14ac:dyDescent="0.3">
      <c r="A2" s="2" t="s">
        <v>34</v>
      </c>
    </row>
    <row r="3" spans="1:16" x14ac:dyDescent="0.3">
      <c r="A3" s="56" t="s">
        <v>35</v>
      </c>
      <c r="B3" s="56" t="s">
        <v>36</v>
      </c>
      <c r="C3" s="56" t="s">
        <v>37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 t="s">
        <v>23</v>
      </c>
    </row>
    <row r="4" spans="1:16" x14ac:dyDescent="0.3">
      <c r="A4" s="56"/>
      <c r="B4" s="56"/>
      <c r="C4" s="25">
        <v>1</v>
      </c>
      <c r="D4" s="25">
        <v>2</v>
      </c>
      <c r="E4" s="25">
        <v>3</v>
      </c>
      <c r="F4" s="25">
        <v>4</v>
      </c>
      <c r="G4" s="25">
        <v>5</v>
      </c>
      <c r="H4" s="25">
        <v>6</v>
      </c>
      <c r="I4" s="25">
        <v>7</v>
      </c>
      <c r="J4" s="25">
        <v>8</v>
      </c>
      <c r="K4" s="25">
        <v>9</v>
      </c>
      <c r="L4" s="25">
        <v>10</v>
      </c>
      <c r="M4" s="25">
        <v>11</v>
      </c>
      <c r="N4" s="25">
        <v>12</v>
      </c>
      <c r="O4" s="25">
        <v>13</v>
      </c>
      <c r="P4" s="56"/>
    </row>
    <row r="5" spans="1:16" x14ac:dyDescent="0.3">
      <c r="A5" s="17" t="s">
        <v>16</v>
      </c>
      <c r="B5" s="26">
        <f>SUM(B6:B11)</f>
        <v>98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</row>
    <row r="6" spans="1:16" x14ac:dyDescent="0.3">
      <c r="A6" s="22" t="s">
        <v>46</v>
      </c>
      <c r="B6" s="10">
        <v>16</v>
      </c>
      <c r="C6" s="27">
        <v>7</v>
      </c>
      <c r="D6" s="27">
        <v>6</v>
      </c>
      <c r="E6" s="27">
        <v>3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10">
        <f t="shared" ref="P6:P11" si="0">SUM(C6:O6)</f>
        <v>16</v>
      </c>
    </row>
    <row r="7" spans="1:16" x14ac:dyDescent="0.3">
      <c r="A7" s="22" t="s">
        <v>47</v>
      </c>
      <c r="B7" s="10">
        <v>14</v>
      </c>
      <c r="C7" s="27"/>
      <c r="D7" s="27"/>
      <c r="E7" s="27">
        <v>4</v>
      </c>
      <c r="F7" s="27">
        <v>7</v>
      </c>
      <c r="G7" s="27">
        <v>3</v>
      </c>
      <c r="H7" s="27"/>
      <c r="I7" s="27"/>
      <c r="J7" s="27"/>
      <c r="K7" s="27"/>
      <c r="L7" s="27"/>
      <c r="M7" s="27"/>
      <c r="N7" s="27"/>
      <c r="O7" s="27"/>
      <c r="P7" s="10">
        <f t="shared" si="0"/>
        <v>14</v>
      </c>
    </row>
    <row r="8" spans="1:16" x14ac:dyDescent="0.3">
      <c r="A8" s="22" t="s">
        <v>48</v>
      </c>
      <c r="B8" s="10">
        <v>23</v>
      </c>
      <c r="C8" s="27"/>
      <c r="D8" s="27"/>
      <c r="E8" s="27"/>
      <c r="F8" s="27"/>
      <c r="G8" s="27">
        <v>7</v>
      </c>
      <c r="H8" s="27">
        <v>6</v>
      </c>
      <c r="I8" s="27">
        <v>7</v>
      </c>
      <c r="J8" s="27">
        <v>2</v>
      </c>
      <c r="K8" s="27"/>
      <c r="L8" s="27"/>
      <c r="M8" s="27"/>
      <c r="N8" s="27"/>
      <c r="O8" s="27"/>
      <c r="P8" s="10">
        <f t="shared" si="0"/>
        <v>22</v>
      </c>
    </row>
    <row r="9" spans="1:16" x14ac:dyDescent="0.3">
      <c r="A9" s="22" t="s">
        <v>49</v>
      </c>
      <c r="B9" s="10">
        <v>18</v>
      </c>
      <c r="C9" s="27"/>
      <c r="D9" s="27"/>
      <c r="E9" s="27"/>
      <c r="F9" s="27"/>
      <c r="G9" s="27"/>
      <c r="H9" s="27"/>
      <c r="I9" s="27"/>
      <c r="J9" s="27">
        <v>6</v>
      </c>
      <c r="K9" s="27">
        <v>10</v>
      </c>
      <c r="L9" s="27">
        <v>2</v>
      </c>
      <c r="M9" s="27"/>
      <c r="N9" s="27"/>
      <c r="O9" s="27"/>
      <c r="P9" s="10">
        <f t="shared" si="0"/>
        <v>18</v>
      </c>
    </row>
    <row r="10" spans="1:16" x14ac:dyDescent="0.3">
      <c r="A10" s="22" t="s">
        <v>50</v>
      </c>
      <c r="B10" s="10">
        <v>11</v>
      </c>
      <c r="C10" s="27"/>
      <c r="D10" s="27"/>
      <c r="E10" s="27"/>
      <c r="F10" s="27"/>
      <c r="G10" s="27"/>
      <c r="H10" s="27"/>
      <c r="I10" s="27"/>
      <c r="J10" s="27"/>
      <c r="K10" s="27"/>
      <c r="L10" s="27">
        <v>6</v>
      </c>
      <c r="M10" s="27">
        <v>6</v>
      </c>
      <c r="N10" s="27"/>
      <c r="O10" s="27"/>
      <c r="P10" s="10">
        <f t="shared" si="0"/>
        <v>12</v>
      </c>
    </row>
    <row r="11" spans="1:16" x14ac:dyDescent="0.3">
      <c r="A11" s="29" t="s">
        <v>51</v>
      </c>
      <c r="B11" s="10">
        <v>16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>
        <v>1</v>
      </c>
      <c r="N11" s="31">
        <v>10</v>
      </c>
      <c r="O11" s="31">
        <v>5</v>
      </c>
      <c r="P11" s="10">
        <f t="shared" si="0"/>
        <v>16</v>
      </c>
    </row>
    <row r="14" spans="1:16" x14ac:dyDescent="0.3">
      <c r="A14" s="2" t="s">
        <v>43</v>
      </c>
      <c r="B14" s="33">
        <v>0</v>
      </c>
      <c r="C14" s="33">
        <f t="shared" ref="C14:O14" si="1">C$4</f>
        <v>1</v>
      </c>
      <c r="D14" s="33">
        <f t="shared" si="1"/>
        <v>2</v>
      </c>
      <c r="E14" s="33">
        <f t="shared" si="1"/>
        <v>3</v>
      </c>
      <c r="F14" s="33">
        <f t="shared" si="1"/>
        <v>4</v>
      </c>
      <c r="G14" s="33">
        <f t="shared" si="1"/>
        <v>5</v>
      </c>
      <c r="H14" s="33">
        <f t="shared" si="1"/>
        <v>6</v>
      </c>
      <c r="I14" s="33">
        <f t="shared" si="1"/>
        <v>7</v>
      </c>
      <c r="J14" s="33">
        <f t="shared" si="1"/>
        <v>8</v>
      </c>
      <c r="K14" s="33">
        <f t="shared" si="1"/>
        <v>9</v>
      </c>
      <c r="L14" s="33">
        <f t="shared" si="1"/>
        <v>10</v>
      </c>
      <c r="M14" s="33">
        <f t="shared" si="1"/>
        <v>11</v>
      </c>
      <c r="N14" s="33">
        <f t="shared" si="1"/>
        <v>12</v>
      </c>
      <c r="O14" s="33">
        <f t="shared" si="1"/>
        <v>13</v>
      </c>
    </row>
    <row r="15" spans="1:16" x14ac:dyDescent="0.3">
      <c r="A15" s="34" t="s">
        <v>44</v>
      </c>
      <c r="B15" s="28">
        <f>SUM(B6:B11)</f>
        <v>98</v>
      </c>
      <c r="C15" s="35">
        <f t="shared" ref="C15:O15" si="2">B15-SUM(C6:C11)</f>
        <v>91</v>
      </c>
      <c r="D15" s="35">
        <f t="shared" si="2"/>
        <v>85</v>
      </c>
      <c r="E15" s="35">
        <f t="shared" si="2"/>
        <v>78</v>
      </c>
      <c r="F15" s="35">
        <f t="shared" si="2"/>
        <v>71</v>
      </c>
      <c r="G15" s="35">
        <f t="shared" si="2"/>
        <v>61</v>
      </c>
      <c r="H15" s="35">
        <f t="shared" si="2"/>
        <v>55</v>
      </c>
      <c r="I15" s="35">
        <f t="shared" si="2"/>
        <v>48</v>
      </c>
      <c r="J15" s="35">
        <f t="shared" si="2"/>
        <v>40</v>
      </c>
      <c r="K15" s="35">
        <f t="shared" si="2"/>
        <v>30</v>
      </c>
      <c r="L15" s="35">
        <f t="shared" si="2"/>
        <v>22</v>
      </c>
      <c r="M15" s="35">
        <f t="shared" si="2"/>
        <v>15</v>
      </c>
      <c r="N15" s="35">
        <f t="shared" si="2"/>
        <v>5</v>
      </c>
      <c r="O15" s="35">
        <f t="shared" si="2"/>
        <v>0</v>
      </c>
    </row>
    <row r="17" spans="1:15" x14ac:dyDescent="0.3">
      <c r="A17" s="34" t="s">
        <v>45</v>
      </c>
      <c r="B17" s="28">
        <f>SUM(B6:B11)</f>
        <v>98</v>
      </c>
      <c r="C17" s="35">
        <f t="shared" ref="C17:O17" si="3">$B$17*(1-C$4/COUNT($C$4:$O$4))</f>
        <v>90.461538461538467</v>
      </c>
      <c r="D17" s="35">
        <f t="shared" si="3"/>
        <v>82.92307692307692</v>
      </c>
      <c r="E17" s="35">
        <f t="shared" si="3"/>
        <v>75.384615384615373</v>
      </c>
      <c r="F17" s="35">
        <f t="shared" si="3"/>
        <v>67.84615384615384</v>
      </c>
      <c r="G17" s="35">
        <f t="shared" si="3"/>
        <v>60.307692307692314</v>
      </c>
      <c r="H17" s="35">
        <f t="shared" si="3"/>
        <v>52.769230769230766</v>
      </c>
      <c r="I17" s="35">
        <f t="shared" si="3"/>
        <v>45.230769230769234</v>
      </c>
      <c r="J17" s="35">
        <f t="shared" si="3"/>
        <v>37.692307692307686</v>
      </c>
      <c r="K17" s="35">
        <f t="shared" si="3"/>
        <v>30.153846153846157</v>
      </c>
      <c r="L17" s="35">
        <f t="shared" si="3"/>
        <v>22.61538461538461</v>
      </c>
      <c r="M17" s="35">
        <f t="shared" si="3"/>
        <v>15.076923076923078</v>
      </c>
      <c r="N17" s="35">
        <f t="shared" si="3"/>
        <v>7.538461538461533</v>
      </c>
      <c r="O17" s="35">
        <f t="shared" si="3"/>
        <v>0</v>
      </c>
    </row>
  </sheetData>
  <mergeCells count="5">
    <mergeCell ref="A3:A4"/>
    <mergeCell ref="B3:B4"/>
    <mergeCell ref="C3:O3"/>
    <mergeCell ref="P3:P4"/>
    <mergeCell ref="C5:P5"/>
  </mergeCells>
  <dataValidations count="1">
    <dataValidation type="decimal" operator="greaterThanOrEqual" allowBlank="1" showErrorMessage="1" errorTitle="Horas" error="Ingrese horas reales (número ≥ 0)" sqref="C6:O11" xr:uid="{00000000-0002-0000-02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14" sqref="M14"/>
    </sheetView>
  </sheetViews>
  <sheetFormatPr baseColWidth="10" defaultColWidth="8.6640625" defaultRowHeight="14.4" x14ac:dyDescent="0.3"/>
  <cols>
    <col min="1" max="1" width="62" customWidth="1"/>
    <col min="2" max="2" width="17" customWidth="1"/>
    <col min="3" max="9" width="4.44140625" customWidth="1"/>
    <col min="10" max="10" width="10" customWidth="1"/>
  </cols>
  <sheetData>
    <row r="1" spans="1:10" ht="21" x14ac:dyDescent="0.3">
      <c r="A1" s="3" t="str">
        <f>"Control del Sprint N°3 – "&amp;Resumen_Sprints!B8</f>
        <v>Control del Sprint N°3 – Base de Datos y Catálogo de Materiales</v>
      </c>
    </row>
    <row r="2" spans="1:10" x14ac:dyDescent="0.3">
      <c r="A2" s="2" t="s">
        <v>34</v>
      </c>
    </row>
    <row r="3" spans="1:10" x14ac:dyDescent="0.3">
      <c r="A3" s="56" t="s">
        <v>35</v>
      </c>
      <c r="B3" s="56" t="s">
        <v>36</v>
      </c>
      <c r="C3" s="56" t="s">
        <v>37</v>
      </c>
      <c r="D3" s="56"/>
      <c r="E3" s="56"/>
      <c r="F3" s="56"/>
      <c r="G3" s="56"/>
      <c r="H3" s="56"/>
      <c r="I3" s="56"/>
      <c r="J3" s="56" t="s">
        <v>23</v>
      </c>
    </row>
    <row r="4" spans="1:10" x14ac:dyDescent="0.3">
      <c r="A4" s="56"/>
      <c r="B4" s="56"/>
      <c r="C4" s="25">
        <v>1</v>
      </c>
      <c r="D4" s="25">
        <v>2</v>
      </c>
      <c r="E4" s="25">
        <v>3</v>
      </c>
      <c r="F4" s="25">
        <v>4</v>
      </c>
      <c r="G4" s="25">
        <v>5</v>
      </c>
      <c r="H4" s="25">
        <v>6</v>
      </c>
      <c r="I4" s="25">
        <v>7</v>
      </c>
      <c r="J4" s="56"/>
    </row>
    <row r="5" spans="1:10" x14ac:dyDescent="0.3">
      <c r="A5" s="17" t="s">
        <v>17</v>
      </c>
      <c r="B5" s="26">
        <f>SUM(B6:B9)</f>
        <v>47</v>
      </c>
      <c r="C5" s="57"/>
      <c r="D5" s="57"/>
      <c r="E5" s="57"/>
      <c r="F5" s="57"/>
      <c r="G5" s="57"/>
      <c r="H5" s="57"/>
      <c r="I5" s="57"/>
      <c r="J5" s="57"/>
    </row>
    <row r="6" spans="1:10" x14ac:dyDescent="0.3">
      <c r="A6" s="22" t="s">
        <v>89</v>
      </c>
      <c r="B6" s="27">
        <v>1</v>
      </c>
      <c r="C6" s="27">
        <v>1</v>
      </c>
      <c r="D6" s="27"/>
      <c r="E6" s="27"/>
      <c r="F6" s="27"/>
      <c r="G6" s="27"/>
      <c r="H6" s="27"/>
      <c r="I6" s="27"/>
      <c r="J6" s="30">
        <f>SUM(C6:I6)</f>
        <v>1</v>
      </c>
    </row>
    <row r="7" spans="1:10" x14ac:dyDescent="0.3">
      <c r="A7" s="22" t="s">
        <v>53</v>
      </c>
      <c r="B7" s="10">
        <v>10</v>
      </c>
      <c r="C7" s="27">
        <v>5</v>
      </c>
      <c r="D7" s="27">
        <v>5</v>
      </c>
      <c r="E7" s="27"/>
      <c r="F7" s="27"/>
      <c r="G7" s="27"/>
      <c r="H7" s="27"/>
      <c r="I7" s="27"/>
      <c r="J7" s="10">
        <f>SUM(C7:I7)</f>
        <v>10</v>
      </c>
    </row>
    <row r="8" spans="1:10" x14ac:dyDescent="0.3">
      <c r="A8" s="22" t="s">
        <v>54</v>
      </c>
      <c r="B8" s="10">
        <v>19</v>
      </c>
      <c r="C8" s="27"/>
      <c r="D8" s="27"/>
      <c r="E8" s="27">
        <v>7</v>
      </c>
      <c r="F8" s="27">
        <v>8</v>
      </c>
      <c r="G8" s="27">
        <v>4</v>
      </c>
      <c r="H8" s="27"/>
      <c r="I8" s="27"/>
      <c r="J8" s="10">
        <f>SUM(C8:I8)</f>
        <v>19</v>
      </c>
    </row>
    <row r="9" spans="1:10" x14ac:dyDescent="0.3">
      <c r="A9" s="29" t="s">
        <v>55</v>
      </c>
      <c r="B9" s="10">
        <v>17</v>
      </c>
      <c r="C9" s="31"/>
      <c r="D9" s="31"/>
      <c r="E9" s="31"/>
      <c r="F9" s="31"/>
      <c r="G9" s="31">
        <v>2</v>
      </c>
      <c r="H9" s="31">
        <v>8</v>
      </c>
      <c r="I9" s="31">
        <v>7</v>
      </c>
      <c r="J9" s="10">
        <f>SUM(C9:I9)</f>
        <v>17</v>
      </c>
    </row>
    <row r="12" spans="1:10" x14ac:dyDescent="0.3">
      <c r="A12" s="2" t="s">
        <v>43</v>
      </c>
      <c r="B12" s="33">
        <v>0</v>
      </c>
      <c r="C12" s="33">
        <f t="shared" ref="C12:I12" si="0">C$4</f>
        <v>1</v>
      </c>
      <c r="D12" s="33">
        <f t="shared" si="0"/>
        <v>2</v>
      </c>
      <c r="E12" s="33">
        <f t="shared" si="0"/>
        <v>3</v>
      </c>
      <c r="F12" s="33">
        <f t="shared" si="0"/>
        <v>4</v>
      </c>
      <c r="G12" s="33">
        <f t="shared" si="0"/>
        <v>5</v>
      </c>
      <c r="H12" s="33">
        <f t="shared" si="0"/>
        <v>6</v>
      </c>
      <c r="I12" s="33">
        <f t="shared" si="0"/>
        <v>7</v>
      </c>
    </row>
    <row r="13" spans="1:10" x14ac:dyDescent="0.3">
      <c r="A13" s="34" t="s">
        <v>44</v>
      </c>
      <c r="B13" s="28">
        <f>SUM(B6:B9)</f>
        <v>47</v>
      </c>
      <c r="C13" s="35">
        <f t="shared" ref="C13:I13" si="1">B13-SUM(C6:C9)</f>
        <v>41</v>
      </c>
      <c r="D13" s="35">
        <f t="shared" si="1"/>
        <v>36</v>
      </c>
      <c r="E13" s="35">
        <f t="shared" si="1"/>
        <v>29</v>
      </c>
      <c r="F13" s="35">
        <f t="shared" si="1"/>
        <v>21</v>
      </c>
      <c r="G13" s="35">
        <f t="shared" si="1"/>
        <v>15</v>
      </c>
      <c r="H13" s="35">
        <f t="shared" si="1"/>
        <v>7</v>
      </c>
      <c r="I13" s="35">
        <f t="shared" si="1"/>
        <v>0</v>
      </c>
    </row>
    <row r="15" spans="1:10" x14ac:dyDescent="0.3">
      <c r="A15" s="34" t="s">
        <v>45</v>
      </c>
      <c r="B15" s="28">
        <f>SUM(B6:B9)</f>
        <v>47</v>
      </c>
      <c r="C15" s="35">
        <f t="shared" ref="C15:I15" si="2">$B$15*(1-C$4/COUNT($C$4:$I$4))</f>
        <v>40.285714285714292</v>
      </c>
      <c r="D15" s="35">
        <f t="shared" si="2"/>
        <v>33.571428571428569</v>
      </c>
      <c r="E15" s="35">
        <f t="shared" si="2"/>
        <v>26.857142857142854</v>
      </c>
      <c r="F15" s="35">
        <f t="shared" si="2"/>
        <v>20.142857142857146</v>
      </c>
      <c r="G15" s="35">
        <f t="shared" si="2"/>
        <v>13.428571428571427</v>
      </c>
      <c r="H15" s="35">
        <f t="shared" si="2"/>
        <v>6.7142857142857162</v>
      </c>
      <c r="I15" s="35">
        <f t="shared" si="2"/>
        <v>0</v>
      </c>
    </row>
  </sheetData>
  <mergeCells count="5">
    <mergeCell ref="A3:A4"/>
    <mergeCell ref="B3:B4"/>
    <mergeCell ref="C3:I3"/>
    <mergeCell ref="J3:J4"/>
    <mergeCell ref="C5:J5"/>
  </mergeCells>
  <dataValidations count="1">
    <dataValidation type="decimal" operator="greaterThanOrEqual" allowBlank="1" showErrorMessage="1" errorTitle="Horas" error="Ingrese horas reales (número ≥ 0)" sqref="C6:I9 B6" xr:uid="{00000000-0002-0000-03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T28" sqref="T28"/>
    </sheetView>
  </sheetViews>
  <sheetFormatPr baseColWidth="10" defaultColWidth="8.6640625" defaultRowHeight="14.4" x14ac:dyDescent="0.3"/>
  <cols>
    <col min="1" max="1" width="62" customWidth="1"/>
    <col min="2" max="2" width="17" customWidth="1"/>
    <col min="3" max="16" width="4.44140625" customWidth="1"/>
    <col min="17" max="17" width="10" customWidth="1"/>
  </cols>
  <sheetData>
    <row r="1" spans="1:17" ht="21" x14ac:dyDescent="0.3">
      <c r="A1" s="3" t="str">
        <f>"Control del Sprint N°4 – "&amp;Resumen_Sprints!B9</f>
        <v>Control del Sprint N°4 – Motor de Simulación y Algoritmo de Cálculo</v>
      </c>
    </row>
    <row r="2" spans="1:17" x14ac:dyDescent="0.3">
      <c r="A2" s="2" t="s">
        <v>34</v>
      </c>
    </row>
    <row r="3" spans="1:17" x14ac:dyDescent="0.3">
      <c r="A3" s="56" t="s">
        <v>35</v>
      </c>
      <c r="B3" s="56" t="s">
        <v>36</v>
      </c>
      <c r="C3" s="56" t="s">
        <v>37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 t="s">
        <v>23</v>
      </c>
    </row>
    <row r="4" spans="1:17" x14ac:dyDescent="0.3">
      <c r="A4" s="56"/>
      <c r="B4" s="56"/>
      <c r="C4" s="25">
        <v>1</v>
      </c>
      <c r="D4" s="25">
        <v>2</v>
      </c>
      <c r="E4" s="25">
        <v>3</v>
      </c>
      <c r="F4" s="25">
        <v>4</v>
      </c>
      <c r="G4" s="25">
        <v>5</v>
      </c>
      <c r="H4" s="25">
        <v>6</v>
      </c>
      <c r="I4" s="25">
        <v>7</v>
      </c>
      <c r="J4" s="25">
        <v>8</v>
      </c>
      <c r="K4" s="25">
        <v>9</v>
      </c>
      <c r="L4" s="25">
        <v>10</v>
      </c>
      <c r="M4" s="25">
        <v>11</v>
      </c>
      <c r="N4" s="25">
        <v>12</v>
      </c>
      <c r="O4" s="25">
        <v>13</v>
      </c>
      <c r="P4" s="25">
        <v>14</v>
      </c>
      <c r="Q4" s="56"/>
    </row>
    <row r="5" spans="1:17" x14ac:dyDescent="0.3">
      <c r="A5" s="17" t="s">
        <v>18</v>
      </c>
      <c r="B5" s="26">
        <f>SUM(B6:B9)</f>
        <v>91</v>
      </c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60"/>
    </row>
    <row r="6" spans="1:17" x14ac:dyDescent="0.3">
      <c r="A6" s="22" t="s">
        <v>90</v>
      </c>
      <c r="B6" s="27">
        <v>1</v>
      </c>
      <c r="C6" s="27">
        <v>1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10">
        <f>SUM(C6:P6)</f>
        <v>1</v>
      </c>
    </row>
    <row r="7" spans="1:17" x14ac:dyDescent="0.3">
      <c r="A7" s="22" t="s">
        <v>56</v>
      </c>
      <c r="B7" s="10">
        <v>39</v>
      </c>
      <c r="C7" s="27">
        <v>4</v>
      </c>
      <c r="D7" s="27">
        <v>5</v>
      </c>
      <c r="E7" s="27">
        <v>5</v>
      </c>
      <c r="F7" s="27">
        <v>7</v>
      </c>
      <c r="G7" s="27">
        <v>6</v>
      </c>
      <c r="H7" s="27">
        <v>7</v>
      </c>
      <c r="I7" s="27">
        <v>4</v>
      </c>
      <c r="J7" s="27"/>
      <c r="K7" s="27"/>
      <c r="L7" s="27"/>
      <c r="M7" s="27"/>
      <c r="N7" s="27"/>
      <c r="O7" s="27"/>
      <c r="P7" s="27"/>
      <c r="Q7" s="10">
        <f>SUM(C7:P7)</f>
        <v>38</v>
      </c>
    </row>
    <row r="8" spans="1:17" x14ac:dyDescent="0.3">
      <c r="A8" s="22" t="s">
        <v>57</v>
      </c>
      <c r="B8" s="10">
        <v>36</v>
      </c>
      <c r="C8" s="27"/>
      <c r="D8" s="27"/>
      <c r="E8" s="27"/>
      <c r="F8" s="27"/>
      <c r="G8" s="27"/>
      <c r="H8" s="27"/>
      <c r="I8" s="27">
        <v>3</v>
      </c>
      <c r="J8" s="27">
        <v>7</v>
      </c>
      <c r="K8" s="27">
        <v>6</v>
      </c>
      <c r="L8" s="27">
        <v>8</v>
      </c>
      <c r="M8" s="27">
        <v>7</v>
      </c>
      <c r="N8" s="27">
        <v>5</v>
      </c>
      <c r="O8" s="27"/>
      <c r="P8" s="27"/>
      <c r="Q8" s="10">
        <f>SUM(C8:P8)</f>
        <v>36</v>
      </c>
    </row>
    <row r="9" spans="1:17" x14ac:dyDescent="0.3">
      <c r="A9" s="29" t="s">
        <v>58</v>
      </c>
      <c r="B9" s="10">
        <v>15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>
        <v>2</v>
      </c>
      <c r="O9" s="31">
        <v>7</v>
      </c>
      <c r="P9" s="31">
        <v>7</v>
      </c>
      <c r="Q9" s="10">
        <f>SUM(C9:P9)</f>
        <v>16</v>
      </c>
    </row>
    <row r="12" spans="1:17" x14ac:dyDescent="0.3">
      <c r="A12" s="2" t="s">
        <v>43</v>
      </c>
      <c r="B12" s="33">
        <v>0</v>
      </c>
      <c r="C12" s="33">
        <f t="shared" ref="C12:P12" si="0">C$4</f>
        <v>1</v>
      </c>
      <c r="D12" s="33">
        <f t="shared" si="0"/>
        <v>2</v>
      </c>
      <c r="E12" s="33">
        <f t="shared" si="0"/>
        <v>3</v>
      </c>
      <c r="F12" s="33">
        <f t="shared" si="0"/>
        <v>4</v>
      </c>
      <c r="G12" s="33">
        <f t="shared" si="0"/>
        <v>5</v>
      </c>
      <c r="H12" s="33">
        <f t="shared" si="0"/>
        <v>6</v>
      </c>
      <c r="I12" s="33">
        <f t="shared" si="0"/>
        <v>7</v>
      </c>
      <c r="J12" s="33">
        <f t="shared" si="0"/>
        <v>8</v>
      </c>
      <c r="K12" s="33">
        <f t="shared" si="0"/>
        <v>9</v>
      </c>
      <c r="L12" s="33">
        <f t="shared" si="0"/>
        <v>10</v>
      </c>
      <c r="M12" s="33">
        <f t="shared" si="0"/>
        <v>11</v>
      </c>
      <c r="N12" s="33">
        <f t="shared" si="0"/>
        <v>12</v>
      </c>
      <c r="O12" s="33">
        <f t="shared" si="0"/>
        <v>13</v>
      </c>
      <c r="P12" s="33">
        <f t="shared" si="0"/>
        <v>14</v>
      </c>
    </row>
    <row r="13" spans="1:17" x14ac:dyDescent="0.3">
      <c r="A13" s="34" t="s">
        <v>44</v>
      </c>
      <c r="B13" s="28">
        <f>SUM(B6:B9)</f>
        <v>91</v>
      </c>
      <c r="C13" s="35">
        <f t="shared" ref="C13:P13" si="1">B13-SUM(C6:C9)</f>
        <v>86</v>
      </c>
      <c r="D13" s="35">
        <f t="shared" si="1"/>
        <v>81</v>
      </c>
      <c r="E13" s="35">
        <f t="shared" si="1"/>
        <v>76</v>
      </c>
      <c r="F13" s="35">
        <f t="shared" si="1"/>
        <v>69</v>
      </c>
      <c r="G13" s="35">
        <f t="shared" si="1"/>
        <v>63</v>
      </c>
      <c r="H13" s="35">
        <f t="shared" si="1"/>
        <v>56</v>
      </c>
      <c r="I13" s="35">
        <f t="shared" si="1"/>
        <v>49</v>
      </c>
      <c r="J13" s="35">
        <f t="shared" si="1"/>
        <v>42</v>
      </c>
      <c r="K13" s="35">
        <f t="shared" si="1"/>
        <v>36</v>
      </c>
      <c r="L13" s="35">
        <f t="shared" si="1"/>
        <v>28</v>
      </c>
      <c r="M13" s="35">
        <f t="shared" si="1"/>
        <v>21</v>
      </c>
      <c r="N13" s="35">
        <f t="shared" si="1"/>
        <v>14</v>
      </c>
      <c r="O13" s="35">
        <f t="shared" si="1"/>
        <v>7</v>
      </c>
      <c r="P13" s="35">
        <f t="shared" si="1"/>
        <v>0</v>
      </c>
    </row>
    <row r="15" spans="1:17" x14ac:dyDescent="0.3">
      <c r="A15" s="34" t="s">
        <v>45</v>
      </c>
      <c r="B15" s="28">
        <f>SUM(B6:B9)</f>
        <v>91</v>
      </c>
      <c r="C15" s="35">
        <f t="shared" ref="C15:P15" si="2">$B$15*(1-C$4/COUNT($C$4:$P$4))</f>
        <v>84.5</v>
      </c>
      <c r="D15" s="35">
        <f t="shared" si="2"/>
        <v>78</v>
      </c>
      <c r="E15" s="35">
        <f t="shared" si="2"/>
        <v>71.5</v>
      </c>
      <c r="F15" s="35">
        <f t="shared" si="2"/>
        <v>65</v>
      </c>
      <c r="G15" s="35">
        <f t="shared" si="2"/>
        <v>58.499999999999993</v>
      </c>
      <c r="H15" s="35">
        <f t="shared" si="2"/>
        <v>52</v>
      </c>
      <c r="I15" s="35">
        <f t="shared" si="2"/>
        <v>45.5</v>
      </c>
      <c r="J15" s="35">
        <f t="shared" si="2"/>
        <v>39</v>
      </c>
      <c r="K15" s="35">
        <f t="shared" si="2"/>
        <v>32.499999999999993</v>
      </c>
      <c r="L15" s="35">
        <f t="shared" si="2"/>
        <v>26</v>
      </c>
      <c r="M15" s="35">
        <f t="shared" si="2"/>
        <v>19.5</v>
      </c>
      <c r="N15" s="35">
        <f t="shared" si="2"/>
        <v>13.000000000000004</v>
      </c>
      <c r="O15" s="35">
        <f t="shared" si="2"/>
        <v>6.4999999999999973</v>
      </c>
      <c r="P15" s="35">
        <f t="shared" si="2"/>
        <v>0</v>
      </c>
    </row>
  </sheetData>
  <mergeCells count="5">
    <mergeCell ref="A3:A4"/>
    <mergeCell ref="B3:B4"/>
    <mergeCell ref="C3:P3"/>
    <mergeCell ref="Q3:Q4"/>
    <mergeCell ref="C5:Q5"/>
  </mergeCells>
  <dataValidations count="1">
    <dataValidation type="decimal" operator="greaterThanOrEqual" allowBlank="1" showErrorMessage="1" errorTitle="Horas" error="Ingrese horas reales (número ≥ 0)" sqref="C6:P9 B6" xr:uid="{00000000-0002-0000-04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V19" sqref="V19"/>
    </sheetView>
  </sheetViews>
  <sheetFormatPr baseColWidth="10" defaultColWidth="8.6640625" defaultRowHeight="14.4" x14ac:dyDescent="0.3"/>
  <cols>
    <col min="1" max="1" width="62" customWidth="1"/>
    <col min="2" max="2" width="17" customWidth="1"/>
    <col min="3" max="18" width="4.44140625" customWidth="1"/>
    <col min="19" max="19" width="10" customWidth="1"/>
  </cols>
  <sheetData>
    <row r="1" spans="1:19" ht="21" x14ac:dyDescent="0.3">
      <c r="A1" s="3" t="str">
        <f>"Control del Sprint N°5 – "&amp;Resumen_Sprints!B10</f>
        <v>Control del Sprint N°5 – Interfaz Gráfica Interactiva</v>
      </c>
    </row>
    <row r="2" spans="1:19" x14ac:dyDescent="0.3">
      <c r="A2" s="2"/>
    </row>
    <row r="3" spans="1:19" x14ac:dyDescent="0.3">
      <c r="A3" s="56" t="s">
        <v>35</v>
      </c>
      <c r="B3" s="56" t="s">
        <v>36</v>
      </c>
      <c r="C3" s="56" t="s">
        <v>37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 t="s">
        <v>23</v>
      </c>
    </row>
    <row r="4" spans="1:19" x14ac:dyDescent="0.3">
      <c r="A4" s="56"/>
      <c r="B4" s="56"/>
      <c r="C4" s="25">
        <v>1</v>
      </c>
      <c r="D4" s="25">
        <v>2</v>
      </c>
      <c r="E4" s="25">
        <v>3</v>
      </c>
      <c r="F4" s="25">
        <v>4</v>
      </c>
      <c r="G4" s="25">
        <v>5</v>
      </c>
      <c r="H4" s="25">
        <v>6</v>
      </c>
      <c r="I4" s="25">
        <v>7</v>
      </c>
      <c r="J4" s="25">
        <v>8</v>
      </c>
      <c r="K4" s="25">
        <v>9</v>
      </c>
      <c r="L4" s="25">
        <v>10</v>
      </c>
      <c r="M4" s="25">
        <v>11</v>
      </c>
      <c r="N4" s="25">
        <v>12</v>
      </c>
      <c r="O4" s="25">
        <v>13</v>
      </c>
      <c r="P4" s="25">
        <v>14</v>
      </c>
      <c r="Q4" s="25">
        <v>15</v>
      </c>
      <c r="R4" s="25">
        <v>16</v>
      </c>
      <c r="S4" s="56"/>
    </row>
    <row r="5" spans="1:19" x14ac:dyDescent="0.3">
      <c r="A5" s="17" t="s">
        <v>19</v>
      </c>
      <c r="B5" s="26">
        <f>SUM(B6:B9)</f>
        <v>97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</row>
    <row r="6" spans="1:19" x14ac:dyDescent="0.3">
      <c r="A6" s="22" t="s">
        <v>91</v>
      </c>
      <c r="B6" s="27">
        <v>1</v>
      </c>
      <c r="C6" s="27">
        <v>1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30">
        <f>SUM(C6:R6)</f>
        <v>1</v>
      </c>
    </row>
    <row r="7" spans="1:19" x14ac:dyDescent="0.3">
      <c r="A7" s="22" t="s">
        <v>59</v>
      </c>
      <c r="B7" s="10">
        <v>24</v>
      </c>
      <c r="C7" s="27">
        <v>4</v>
      </c>
      <c r="D7" s="27">
        <v>8</v>
      </c>
      <c r="E7" s="27">
        <v>5</v>
      </c>
      <c r="F7" s="27">
        <v>6</v>
      </c>
      <c r="G7" s="27">
        <v>1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10">
        <f>SUM(C7:R7)</f>
        <v>24</v>
      </c>
    </row>
    <row r="8" spans="1:19" x14ac:dyDescent="0.3">
      <c r="A8" s="22" t="s">
        <v>60</v>
      </c>
      <c r="B8" s="10">
        <v>49</v>
      </c>
      <c r="C8" s="27"/>
      <c r="D8" s="27"/>
      <c r="E8" s="27"/>
      <c r="F8" s="27"/>
      <c r="G8" s="27">
        <v>6</v>
      </c>
      <c r="H8" s="27">
        <v>5</v>
      </c>
      <c r="I8" s="27">
        <v>6</v>
      </c>
      <c r="J8" s="27">
        <v>4</v>
      </c>
      <c r="K8" s="27">
        <v>7</v>
      </c>
      <c r="L8" s="27">
        <v>7</v>
      </c>
      <c r="M8" s="27">
        <v>6</v>
      </c>
      <c r="N8" s="27">
        <v>7</v>
      </c>
      <c r="O8" s="27"/>
      <c r="P8" s="27"/>
      <c r="Q8" s="27"/>
      <c r="R8" s="27"/>
      <c r="S8" s="10">
        <f>SUM(C8:R8)</f>
        <v>48</v>
      </c>
    </row>
    <row r="9" spans="1:19" x14ac:dyDescent="0.3">
      <c r="A9" s="29" t="s">
        <v>61</v>
      </c>
      <c r="B9" s="10">
        <v>23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>
        <v>5</v>
      </c>
      <c r="P9" s="31">
        <v>7</v>
      </c>
      <c r="Q9" s="31">
        <v>6</v>
      </c>
      <c r="R9" s="31">
        <v>6</v>
      </c>
      <c r="S9" s="10">
        <f>SUM(C9:R9)</f>
        <v>24</v>
      </c>
    </row>
    <row r="12" spans="1:19" x14ac:dyDescent="0.3">
      <c r="A12" s="2" t="s">
        <v>43</v>
      </c>
      <c r="B12" s="33">
        <v>0</v>
      </c>
      <c r="C12" s="33">
        <f t="shared" ref="C12:R12" si="0">C$4</f>
        <v>1</v>
      </c>
      <c r="D12" s="33">
        <f t="shared" si="0"/>
        <v>2</v>
      </c>
      <c r="E12" s="33">
        <f t="shared" si="0"/>
        <v>3</v>
      </c>
      <c r="F12" s="33">
        <f t="shared" si="0"/>
        <v>4</v>
      </c>
      <c r="G12" s="33">
        <f t="shared" si="0"/>
        <v>5</v>
      </c>
      <c r="H12" s="33">
        <f t="shared" si="0"/>
        <v>6</v>
      </c>
      <c r="I12" s="33">
        <f t="shared" si="0"/>
        <v>7</v>
      </c>
      <c r="J12" s="33">
        <f t="shared" si="0"/>
        <v>8</v>
      </c>
      <c r="K12" s="33">
        <f t="shared" si="0"/>
        <v>9</v>
      </c>
      <c r="L12" s="33">
        <f t="shared" si="0"/>
        <v>10</v>
      </c>
      <c r="M12" s="33">
        <f t="shared" si="0"/>
        <v>11</v>
      </c>
      <c r="N12" s="33">
        <f t="shared" si="0"/>
        <v>12</v>
      </c>
      <c r="O12" s="33">
        <f t="shared" si="0"/>
        <v>13</v>
      </c>
      <c r="P12" s="33">
        <f t="shared" si="0"/>
        <v>14</v>
      </c>
      <c r="Q12" s="33">
        <f t="shared" si="0"/>
        <v>15</v>
      </c>
      <c r="R12" s="33">
        <f t="shared" si="0"/>
        <v>16</v>
      </c>
    </row>
    <row r="13" spans="1:19" x14ac:dyDescent="0.3">
      <c r="A13" s="34" t="s">
        <v>44</v>
      </c>
      <c r="B13" s="28">
        <f>SUM(B6:B9)</f>
        <v>97</v>
      </c>
      <c r="C13" s="35">
        <f t="shared" ref="C13:R13" si="1">B13-SUM(C6:C9)</f>
        <v>92</v>
      </c>
      <c r="D13" s="35">
        <f t="shared" si="1"/>
        <v>84</v>
      </c>
      <c r="E13" s="35">
        <f t="shared" si="1"/>
        <v>79</v>
      </c>
      <c r="F13" s="35">
        <f t="shared" si="1"/>
        <v>73</v>
      </c>
      <c r="G13" s="35">
        <f t="shared" si="1"/>
        <v>66</v>
      </c>
      <c r="H13" s="35">
        <f t="shared" si="1"/>
        <v>61</v>
      </c>
      <c r="I13" s="35">
        <f t="shared" si="1"/>
        <v>55</v>
      </c>
      <c r="J13" s="35">
        <f t="shared" si="1"/>
        <v>51</v>
      </c>
      <c r="K13" s="35">
        <f t="shared" si="1"/>
        <v>44</v>
      </c>
      <c r="L13" s="35">
        <f t="shared" si="1"/>
        <v>37</v>
      </c>
      <c r="M13" s="35">
        <f t="shared" si="1"/>
        <v>31</v>
      </c>
      <c r="N13" s="35">
        <f t="shared" si="1"/>
        <v>24</v>
      </c>
      <c r="O13" s="35">
        <f t="shared" si="1"/>
        <v>19</v>
      </c>
      <c r="P13" s="35">
        <f t="shared" si="1"/>
        <v>12</v>
      </c>
      <c r="Q13" s="35">
        <f t="shared" si="1"/>
        <v>6</v>
      </c>
      <c r="R13" s="35">
        <f t="shared" si="1"/>
        <v>0</v>
      </c>
    </row>
    <row r="15" spans="1:19" x14ac:dyDescent="0.3">
      <c r="A15" s="34" t="s">
        <v>45</v>
      </c>
      <c r="B15" s="28">
        <f>SUM(B6:B9)</f>
        <v>97</v>
      </c>
      <c r="C15" s="35">
        <f t="shared" ref="C15:R15" si="2">$B$15*(1-C$4/COUNT($C$4:$R$4))</f>
        <v>90.9375</v>
      </c>
      <c r="D15" s="35">
        <f t="shared" si="2"/>
        <v>84.875</v>
      </c>
      <c r="E15" s="35">
        <f t="shared" si="2"/>
        <v>78.8125</v>
      </c>
      <c r="F15" s="35">
        <f t="shared" si="2"/>
        <v>72.75</v>
      </c>
      <c r="G15" s="35">
        <f t="shared" si="2"/>
        <v>66.6875</v>
      </c>
      <c r="H15" s="35">
        <f t="shared" si="2"/>
        <v>60.625</v>
      </c>
      <c r="I15" s="35">
        <f t="shared" si="2"/>
        <v>54.5625</v>
      </c>
      <c r="J15" s="35">
        <f t="shared" si="2"/>
        <v>48.5</v>
      </c>
      <c r="K15" s="35">
        <f t="shared" si="2"/>
        <v>42.4375</v>
      </c>
      <c r="L15" s="35">
        <f t="shared" si="2"/>
        <v>36.375</v>
      </c>
      <c r="M15" s="35">
        <f t="shared" si="2"/>
        <v>30.3125</v>
      </c>
      <c r="N15" s="35">
        <f t="shared" si="2"/>
        <v>24.25</v>
      </c>
      <c r="O15" s="35">
        <f t="shared" si="2"/>
        <v>18.1875</v>
      </c>
      <c r="P15" s="35">
        <f t="shared" si="2"/>
        <v>12.125</v>
      </c>
      <c r="Q15" s="35">
        <f t="shared" si="2"/>
        <v>6.0625</v>
      </c>
      <c r="R15" s="35">
        <f t="shared" si="2"/>
        <v>0</v>
      </c>
    </row>
  </sheetData>
  <mergeCells count="5">
    <mergeCell ref="A3:A4"/>
    <mergeCell ref="B3:B4"/>
    <mergeCell ref="C3:R3"/>
    <mergeCell ref="S3:S4"/>
    <mergeCell ref="C5:S5"/>
  </mergeCells>
  <dataValidations count="1">
    <dataValidation type="decimal" operator="greaterThanOrEqual" allowBlank="1" showErrorMessage="1" errorTitle="Horas" error="Ingrese horas reales (número ≥ 0)" sqref="C6:R9 B6" xr:uid="{00000000-0002-0000-05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1" sqref="B11"/>
    </sheetView>
  </sheetViews>
  <sheetFormatPr baseColWidth="10" defaultColWidth="8.6640625" defaultRowHeight="14.4" x14ac:dyDescent="0.3"/>
  <cols>
    <col min="1" max="1" width="62" customWidth="1"/>
    <col min="2" max="2" width="17" customWidth="1"/>
    <col min="3" max="14" width="4.44140625" customWidth="1"/>
    <col min="15" max="15" width="10" customWidth="1"/>
  </cols>
  <sheetData>
    <row r="1" spans="1:15" ht="21" x14ac:dyDescent="0.3">
      <c r="A1" s="3" t="str">
        <f>"Control del Sprint N°6 – "&amp;Resumen_Sprints!B11</f>
        <v>Control del Sprint N°6 – Proyección Monetaria, Integración y Ceremonias Scrum</v>
      </c>
    </row>
    <row r="2" spans="1:15" x14ac:dyDescent="0.3">
      <c r="A2" s="2" t="s">
        <v>34</v>
      </c>
    </row>
    <row r="3" spans="1:15" x14ac:dyDescent="0.3">
      <c r="A3" s="56" t="s">
        <v>35</v>
      </c>
      <c r="B3" s="56" t="s">
        <v>36</v>
      </c>
      <c r="C3" s="56" t="s">
        <v>37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 t="s">
        <v>23</v>
      </c>
    </row>
    <row r="4" spans="1:15" x14ac:dyDescent="0.3">
      <c r="A4" s="56"/>
      <c r="B4" s="56"/>
      <c r="C4" s="25">
        <v>1</v>
      </c>
      <c r="D4" s="25">
        <v>2</v>
      </c>
      <c r="E4" s="25">
        <v>3</v>
      </c>
      <c r="F4" s="25">
        <v>4</v>
      </c>
      <c r="G4" s="25">
        <v>5</v>
      </c>
      <c r="H4" s="25">
        <v>6</v>
      </c>
      <c r="I4" s="25">
        <v>7</v>
      </c>
      <c r="J4" s="25">
        <v>8</v>
      </c>
      <c r="K4" s="25">
        <v>9</v>
      </c>
      <c r="L4" s="25">
        <v>10</v>
      </c>
      <c r="M4" s="25">
        <v>11</v>
      </c>
      <c r="N4" s="25">
        <v>12</v>
      </c>
      <c r="O4" s="56"/>
    </row>
    <row r="5" spans="1:15" x14ac:dyDescent="0.3">
      <c r="A5" s="17" t="s">
        <v>20</v>
      </c>
      <c r="B5" s="26">
        <f>SUM(B6:B10)</f>
        <v>135</v>
      </c>
    </row>
    <row r="6" spans="1:15" x14ac:dyDescent="0.3">
      <c r="A6" s="22" t="s">
        <v>52</v>
      </c>
      <c r="B6" s="27">
        <v>2</v>
      </c>
      <c r="C6" s="27">
        <v>1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10">
        <f>SUM(C6:N6)</f>
        <v>1</v>
      </c>
    </row>
    <row r="7" spans="1:15" x14ac:dyDescent="0.3">
      <c r="A7" s="22" t="s">
        <v>62</v>
      </c>
      <c r="B7" s="10">
        <v>27</v>
      </c>
      <c r="C7" s="27">
        <v>9</v>
      </c>
      <c r="D7" s="27">
        <v>13</v>
      </c>
      <c r="E7" s="27">
        <v>1</v>
      </c>
      <c r="F7" s="27"/>
      <c r="G7" s="27"/>
      <c r="H7" s="27"/>
      <c r="I7" s="27"/>
      <c r="J7" s="27"/>
      <c r="K7" s="27"/>
      <c r="L7" s="27"/>
      <c r="M7" s="27"/>
      <c r="N7" s="27"/>
      <c r="O7" s="10">
        <f>SUM(C7:N7)</f>
        <v>23</v>
      </c>
    </row>
    <row r="8" spans="1:15" x14ac:dyDescent="0.3">
      <c r="A8" s="22" t="s">
        <v>63</v>
      </c>
      <c r="B8" s="10">
        <v>15</v>
      </c>
      <c r="C8" s="27"/>
      <c r="D8" s="27"/>
      <c r="E8" s="27">
        <v>12</v>
      </c>
      <c r="F8" s="27">
        <v>1</v>
      </c>
      <c r="G8" s="27"/>
      <c r="H8" s="27"/>
      <c r="I8" s="27"/>
      <c r="J8" s="27"/>
      <c r="K8" s="27"/>
      <c r="L8" s="27"/>
      <c r="M8" s="27"/>
      <c r="N8" s="27"/>
      <c r="O8" s="10">
        <f>SUM(C8:N8)</f>
        <v>13</v>
      </c>
    </row>
    <row r="9" spans="1:15" x14ac:dyDescent="0.3">
      <c r="A9" s="22" t="s">
        <v>64</v>
      </c>
      <c r="B9" s="10">
        <v>30</v>
      </c>
      <c r="C9" s="27"/>
      <c r="D9" s="27"/>
      <c r="E9" s="27"/>
      <c r="F9" s="27">
        <v>10</v>
      </c>
      <c r="G9" s="27">
        <v>12</v>
      </c>
      <c r="H9" s="27">
        <v>6</v>
      </c>
      <c r="I9" s="27">
        <v>10</v>
      </c>
      <c r="J9" s="27"/>
      <c r="K9" s="27"/>
      <c r="L9" s="27"/>
      <c r="M9" s="27"/>
      <c r="N9" s="27"/>
      <c r="O9" s="10">
        <f>SUM(C9:N9)</f>
        <v>38</v>
      </c>
    </row>
    <row r="10" spans="1:15" x14ac:dyDescent="0.3">
      <c r="A10" s="29" t="s">
        <v>65</v>
      </c>
      <c r="B10" s="10">
        <v>61</v>
      </c>
      <c r="C10" s="31"/>
      <c r="D10" s="31"/>
      <c r="E10" s="31"/>
      <c r="F10" s="31"/>
      <c r="G10" s="31"/>
      <c r="H10" s="31"/>
      <c r="I10" s="31">
        <v>3</v>
      </c>
      <c r="J10" s="31">
        <v>11</v>
      </c>
      <c r="K10" s="31">
        <v>15</v>
      </c>
      <c r="L10" s="31">
        <v>12</v>
      </c>
      <c r="M10" s="31">
        <v>9</v>
      </c>
      <c r="N10" s="31">
        <v>10</v>
      </c>
      <c r="O10" s="10">
        <f>SUM(C10:N10)</f>
        <v>60</v>
      </c>
    </row>
    <row r="13" spans="1:15" x14ac:dyDescent="0.3">
      <c r="A13" s="2" t="s">
        <v>43</v>
      </c>
      <c r="B13" s="33">
        <v>0</v>
      </c>
      <c r="C13" s="33">
        <f t="shared" ref="C13:N13" si="0">C$4</f>
        <v>1</v>
      </c>
      <c r="D13" s="33">
        <f t="shared" si="0"/>
        <v>2</v>
      </c>
      <c r="E13" s="33">
        <f t="shared" si="0"/>
        <v>3</v>
      </c>
      <c r="F13" s="33">
        <f t="shared" si="0"/>
        <v>4</v>
      </c>
      <c r="G13" s="33">
        <f t="shared" si="0"/>
        <v>5</v>
      </c>
      <c r="H13" s="33">
        <f t="shared" si="0"/>
        <v>6</v>
      </c>
      <c r="I13" s="33">
        <f t="shared" si="0"/>
        <v>7</v>
      </c>
      <c r="J13" s="33">
        <f t="shared" si="0"/>
        <v>8</v>
      </c>
      <c r="K13" s="33">
        <f t="shared" si="0"/>
        <v>9</v>
      </c>
      <c r="L13" s="33">
        <f t="shared" si="0"/>
        <v>10</v>
      </c>
      <c r="M13" s="33">
        <f t="shared" si="0"/>
        <v>11</v>
      </c>
      <c r="N13" s="33">
        <f t="shared" si="0"/>
        <v>12</v>
      </c>
    </row>
    <row r="14" spans="1:15" x14ac:dyDescent="0.3">
      <c r="A14" s="34" t="s">
        <v>44</v>
      </c>
      <c r="B14" s="28">
        <f>SUM(B6:B10)</f>
        <v>135</v>
      </c>
      <c r="C14" s="35">
        <f t="shared" ref="C14:N14" si="1">B14-SUM(C6:C10)</f>
        <v>125</v>
      </c>
      <c r="D14" s="35">
        <f t="shared" si="1"/>
        <v>112</v>
      </c>
      <c r="E14" s="35">
        <f t="shared" si="1"/>
        <v>99</v>
      </c>
      <c r="F14" s="35">
        <f t="shared" si="1"/>
        <v>88</v>
      </c>
      <c r="G14" s="35">
        <f t="shared" si="1"/>
        <v>76</v>
      </c>
      <c r="H14" s="35">
        <f t="shared" si="1"/>
        <v>70</v>
      </c>
      <c r="I14" s="35">
        <f t="shared" si="1"/>
        <v>57</v>
      </c>
      <c r="J14" s="35">
        <f t="shared" si="1"/>
        <v>46</v>
      </c>
      <c r="K14" s="35">
        <f t="shared" si="1"/>
        <v>31</v>
      </c>
      <c r="L14" s="35">
        <f t="shared" si="1"/>
        <v>19</v>
      </c>
      <c r="M14" s="35">
        <f t="shared" si="1"/>
        <v>10</v>
      </c>
      <c r="N14" s="35">
        <f t="shared" si="1"/>
        <v>0</v>
      </c>
    </row>
    <row r="16" spans="1:15" x14ac:dyDescent="0.3">
      <c r="A16" s="34" t="s">
        <v>45</v>
      </c>
      <c r="B16" s="28">
        <f>SUM(B6:B10)</f>
        <v>135</v>
      </c>
      <c r="C16" s="35">
        <f t="shared" ref="C16:N16" si="2">$B$16*(1-C$4/COUNT($C$4:$N$4))</f>
        <v>123.75</v>
      </c>
      <c r="D16" s="35">
        <f t="shared" si="2"/>
        <v>112.5</v>
      </c>
      <c r="E16" s="35">
        <f t="shared" si="2"/>
        <v>101.25</v>
      </c>
      <c r="F16" s="35">
        <f t="shared" si="2"/>
        <v>90.000000000000014</v>
      </c>
      <c r="G16" s="35">
        <f t="shared" si="2"/>
        <v>78.749999999999986</v>
      </c>
      <c r="H16" s="35">
        <f t="shared" si="2"/>
        <v>67.5</v>
      </c>
      <c r="I16" s="35">
        <f t="shared" si="2"/>
        <v>56.249999999999993</v>
      </c>
      <c r="J16" s="35">
        <f t="shared" si="2"/>
        <v>45.000000000000007</v>
      </c>
      <c r="K16" s="35">
        <f t="shared" si="2"/>
        <v>33.75</v>
      </c>
      <c r="L16" s="35">
        <f t="shared" si="2"/>
        <v>22.499999999999996</v>
      </c>
      <c r="M16" s="35">
        <f t="shared" si="2"/>
        <v>11.250000000000005</v>
      </c>
      <c r="N16" s="35">
        <f t="shared" si="2"/>
        <v>0</v>
      </c>
    </row>
  </sheetData>
  <mergeCells count="4">
    <mergeCell ref="A3:A4"/>
    <mergeCell ref="B3:B4"/>
    <mergeCell ref="C3:N3"/>
    <mergeCell ref="O3:O4"/>
  </mergeCells>
  <dataValidations count="1">
    <dataValidation type="decimal" operator="greaterThanOrEqual" allowBlank="1" showErrorMessage="1" errorTitle="Horas" error="Ingrese horas reales (número ≥ 0)" sqref="C6:N10 B6" xr:uid="{00000000-0002-0000-06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U20" sqref="U20"/>
    </sheetView>
  </sheetViews>
  <sheetFormatPr baseColWidth="10" defaultColWidth="8.6640625" defaultRowHeight="14.4" x14ac:dyDescent="0.3"/>
  <cols>
    <col min="1" max="1" width="62" customWidth="1"/>
    <col min="2" max="2" width="17" customWidth="1"/>
    <col min="3" max="16" width="4.44140625" customWidth="1"/>
    <col min="17" max="17" width="10" customWidth="1"/>
  </cols>
  <sheetData>
    <row r="1" spans="1:17" ht="21" x14ac:dyDescent="0.3">
      <c r="A1" s="3" t="str">
        <f>"Control del Sprint N°7 – "&amp;Resumen_Sprints!B12</f>
        <v>Control del Sprint N°7 – Pruebas y Corrección de Defectos</v>
      </c>
    </row>
    <row r="2" spans="1:17" x14ac:dyDescent="0.3">
      <c r="A2" s="2" t="s">
        <v>34</v>
      </c>
    </row>
    <row r="3" spans="1:17" x14ac:dyDescent="0.3">
      <c r="A3" s="56" t="s">
        <v>35</v>
      </c>
      <c r="B3" s="56" t="s">
        <v>36</v>
      </c>
      <c r="C3" s="56" t="s">
        <v>37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 t="s">
        <v>23</v>
      </c>
    </row>
    <row r="4" spans="1:17" x14ac:dyDescent="0.3">
      <c r="A4" s="56"/>
      <c r="B4" s="56"/>
      <c r="C4" s="25">
        <v>1</v>
      </c>
      <c r="D4" s="25">
        <v>2</v>
      </c>
      <c r="E4" s="25">
        <v>3</v>
      </c>
      <c r="F4" s="25">
        <v>4</v>
      </c>
      <c r="G4" s="25">
        <v>5</v>
      </c>
      <c r="H4" s="25">
        <v>6</v>
      </c>
      <c r="I4" s="25">
        <v>7</v>
      </c>
      <c r="J4" s="25">
        <v>8</v>
      </c>
      <c r="K4" s="25">
        <v>9</v>
      </c>
      <c r="L4" s="25">
        <v>10</v>
      </c>
      <c r="M4" s="25">
        <v>11</v>
      </c>
      <c r="N4" s="25">
        <v>12</v>
      </c>
      <c r="O4" s="25">
        <v>13</v>
      </c>
      <c r="P4" s="25">
        <v>14</v>
      </c>
      <c r="Q4" s="56"/>
    </row>
    <row r="5" spans="1:17" x14ac:dyDescent="0.3">
      <c r="A5" s="17" t="s">
        <v>21</v>
      </c>
      <c r="B5" s="26">
        <f>SUM(B6:B10)</f>
        <v>114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</row>
    <row r="6" spans="1:17" x14ac:dyDescent="0.3">
      <c r="A6" s="22" t="s">
        <v>66</v>
      </c>
      <c r="B6" s="10">
        <v>16</v>
      </c>
      <c r="C6" s="27">
        <v>8</v>
      </c>
      <c r="D6" s="27">
        <v>7</v>
      </c>
      <c r="E6" s="27">
        <v>1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30">
        <f>SUM(C6:P6)</f>
        <v>16</v>
      </c>
    </row>
    <row r="7" spans="1:17" x14ac:dyDescent="0.3">
      <c r="A7" s="22" t="s">
        <v>67</v>
      </c>
      <c r="B7" s="10">
        <v>30</v>
      </c>
      <c r="C7" s="27"/>
      <c r="D7" s="27"/>
      <c r="E7" s="27">
        <v>6</v>
      </c>
      <c r="F7" s="27">
        <v>10</v>
      </c>
      <c r="G7" s="27">
        <v>8</v>
      </c>
      <c r="H7" s="27">
        <v>6</v>
      </c>
      <c r="I7" s="27"/>
      <c r="J7" s="27"/>
      <c r="K7" s="27"/>
      <c r="L7" s="27"/>
      <c r="M7" s="27"/>
      <c r="N7" s="27"/>
      <c r="O7" s="27"/>
      <c r="P7" s="27"/>
      <c r="Q7" s="10">
        <f>SUM(C7:P7)</f>
        <v>30</v>
      </c>
    </row>
    <row r="8" spans="1:17" x14ac:dyDescent="0.3">
      <c r="A8" s="22" t="s">
        <v>68</v>
      </c>
      <c r="B8" s="10">
        <v>14</v>
      </c>
      <c r="C8" s="27"/>
      <c r="D8" s="27"/>
      <c r="E8" s="27"/>
      <c r="F8" s="27"/>
      <c r="G8" s="27"/>
      <c r="H8" s="27">
        <v>5</v>
      </c>
      <c r="I8" s="27">
        <v>9</v>
      </c>
      <c r="J8" s="27"/>
      <c r="K8" s="27"/>
      <c r="L8" s="27"/>
      <c r="M8" s="27"/>
      <c r="N8" s="27"/>
      <c r="O8" s="27"/>
      <c r="P8" s="27"/>
      <c r="Q8" s="10">
        <f>SUM(C8:P8)</f>
        <v>14</v>
      </c>
    </row>
    <row r="9" spans="1:17" x14ac:dyDescent="0.3">
      <c r="A9" s="22" t="s">
        <v>69</v>
      </c>
      <c r="B9" s="10">
        <v>24</v>
      </c>
      <c r="C9" s="27"/>
      <c r="D9" s="27"/>
      <c r="E9" s="27"/>
      <c r="F9" s="27"/>
      <c r="G9" s="27"/>
      <c r="H9" s="27"/>
      <c r="I9" s="27"/>
      <c r="J9" s="27">
        <v>7</v>
      </c>
      <c r="K9" s="27">
        <v>8</v>
      </c>
      <c r="L9" s="27">
        <v>7</v>
      </c>
      <c r="M9" s="27">
        <v>2</v>
      </c>
      <c r="N9" s="27"/>
      <c r="O9" s="27"/>
      <c r="P9" s="27"/>
      <c r="Q9" s="10">
        <f>SUM(C9:P9)</f>
        <v>24</v>
      </c>
    </row>
    <row r="10" spans="1:17" x14ac:dyDescent="0.3">
      <c r="A10" s="29" t="s">
        <v>92</v>
      </c>
      <c r="B10" s="10">
        <v>30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>
        <v>5</v>
      </c>
      <c r="N10" s="31">
        <v>8</v>
      </c>
      <c r="O10" s="31">
        <v>8</v>
      </c>
      <c r="P10" s="31">
        <v>9</v>
      </c>
      <c r="Q10" s="10">
        <f>SUM(C10:P10)</f>
        <v>30</v>
      </c>
    </row>
    <row r="13" spans="1:17" x14ac:dyDescent="0.3">
      <c r="A13" s="2" t="s">
        <v>43</v>
      </c>
      <c r="B13" s="33">
        <v>0</v>
      </c>
      <c r="C13" s="33">
        <f t="shared" ref="C13:P13" si="0">C$4</f>
        <v>1</v>
      </c>
      <c r="D13" s="33">
        <f t="shared" si="0"/>
        <v>2</v>
      </c>
      <c r="E13" s="33">
        <f t="shared" si="0"/>
        <v>3</v>
      </c>
      <c r="F13" s="33">
        <f t="shared" si="0"/>
        <v>4</v>
      </c>
      <c r="G13" s="33">
        <f t="shared" si="0"/>
        <v>5</v>
      </c>
      <c r="H13" s="33">
        <f t="shared" si="0"/>
        <v>6</v>
      </c>
      <c r="I13" s="33">
        <f t="shared" si="0"/>
        <v>7</v>
      </c>
      <c r="J13" s="33">
        <f t="shared" si="0"/>
        <v>8</v>
      </c>
      <c r="K13" s="33">
        <f t="shared" si="0"/>
        <v>9</v>
      </c>
      <c r="L13" s="33">
        <f t="shared" si="0"/>
        <v>10</v>
      </c>
      <c r="M13" s="33">
        <f t="shared" si="0"/>
        <v>11</v>
      </c>
      <c r="N13" s="33">
        <f t="shared" si="0"/>
        <v>12</v>
      </c>
      <c r="O13" s="33">
        <f t="shared" si="0"/>
        <v>13</v>
      </c>
      <c r="P13" s="33">
        <f t="shared" si="0"/>
        <v>14</v>
      </c>
    </row>
    <row r="14" spans="1:17" x14ac:dyDescent="0.3">
      <c r="A14" s="34" t="s">
        <v>44</v>
      </c>
      <c r="B14" s="28">
        <f>SUM(B6:B10)</f>
        <v>114</v>
      </c>
      <c r="C14" s="35">
        <f t="shared" ref="C14:P14" si="1">B14-SUM(C6:C10)</f>
        <v>106</v>
      </c>
      <c r="D14" s="35">
        <f t="shared" si="1"/>
        <v>99</v>
      </c>
      <c r="E14" s="35">
        <f t="shared" si="1"/>
        <v>92</v>
      </c>
      <c r="F14" s="35">
        <f t="shared" si="1"/>
        <v>82</v>
      </c>
      <c r="G14" s="35">
        <f t="shared" si="1"/>
        <v>74</v>
      </c>
      <c r="H14" s="35">
        <f t="shared" si="1"/>
        <v>63</v>
      </c>
      <c r="I14" s="35">
        <f t="shared" si="1"/>
        <v>54</v>
      </c>
      <c r="J14" s="35">
        <f t="shared" si="1"/>
        <v>47</v>
      </c>
      <c r="K14" s="35">
        <f t="shared" si="1"/>
        <v>39</v>
      </c>
      <c r="L14" s="35">
        <f t="shared" si="1"/>
        <v>32</v>
      </c>
      <c r="M14" s="35">
        <f t="shared" si="1"/>
        <v>25</v>
      </c>
      <c r="N14" s="35">
        <f t="shared" si="1"/>
        <v>17</v>
      </c>
      <c r="O14" s="35">
        <f t="shared" si="1"/>
        <v>9</v>
      </c>
      <c r="P14" s="35">
        <f t="shared" si="1"/>
        <v>0</v>
      </c>
    </row>
    <row r="16" spans="1:17" x14ac:dyDescent="0.3">
      <c r="A16" s="34" t="s">
        <v>45</v>
      </c>
      <c r="B16" s="28">
        <f>SUM(B6:B10)</f>
        <v>114</v>
      </c>
      <c r="C16" s="35">
        <f t="shared" ref="C16:P16" si="2">$B$16*(1-C$4/COUNT($C$4:$P$4))</f>
        <v>105.85714285714286</v>
      </c>
      <c r="D16" s="35">
        <f t="shared" si="2"/>
        <v>97.714285714285722</v>
      </c>
      <c r="E16" s="35">
        <f t="shared" si="2"/>
        <v>89.571428571428569</v>
      </c>
      <c r="F16" s="35">
        <f t="shared" si="2"/>
        <v>81.428571428571431</v>
      </c>
      <c r="G16" s="35">
        <f t="shared" si="2"/>
        <v>73.285714285714278</v>
      </c>
      <c r="H16" s="35">
        <f t="shared" si="2"/>
        <v>65.142857142857139</v>
      </c>
      <c r="I16" s="35">
        <f t="shared" si="2"/>
        <v>57</v>
      </c>
      <c r="J16" s="35">
        <f t="shared" si="2"/>
        <v>48.857142857142861</v>
      </c>
      <c r="K16" s="35">
        <f t="shared" si="2"/>
        <v>40.714285714285708</v>
      </c>
      <c r="L16" s="35">
        <f t="shared" si="2"/>
        <v>32.571428571428569</v>
      </c>
      <c r="M16" s="35">
        <f t="shared" si="2"/>
        <v>24.428571428571431</v>
      </c>
      <c r="N16" s="35">
        <f t="shared" si="2"/>
        <v>16.285714285714292</v>
      </c>
      <c r="O16" s="35">
        <f t="shared" si="2"/>
        <v>8.1428571428571388</v>
      </c>
      <c r="P16" s="35">
        <f t="shared" si="2"/>
        <v>0</v>
      </c>
    </row>
  </sheetData>
  <mergeCells count="5">
    <mergeCell ref="A3:A4"/>
    <mergeCell ref="B3:B4"/>
    <mergeCell ref="C3:P3"/>
    <mergeCell ref="Q3:Q4"/>
    <mergeCell ref="C5:Q5"/>
  </mergeCells>
  <dataValidations count="1">
    <dataValidation type="decimal" operator="greaterThanOrEqual" allowBlank="1" showErrorMessage="1" errorTitle="Horas" error="Ingrese horas reales (número ≥ 0)" sqref="C6:P10" xr:uid="{00000000-0002-0000-07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6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1" sqref="B11"/>
    </sheetView>
  </sheetViews>
  <sheetFormatPr baseColWidth="10" defaultColWidth="8.6640625" defaultRowHeight="14.4" x14ac:dyDescent="0.3"/>
  <cols>
    <col min="1" max="1" width="62" customWidth="1"/>
    <col min="2" max="2" width="17" customWidth="1"/>
    <col min="3" max="13" width="4.44140625" customWidth="1"/>
    <col min="14" max="14" width="10" customWidth="1"/>
  </cols>
  <sheetData>
    <row r="1" spans="1:14" ht="21" x14ac:dyDescent="0.3">
      <c r="A1" s="3" t="str">
        <f>"Control del Sprint N°8 – "&amp;Resumen_Sprints!B13</f>
        <v>Control del Sprint N°8 – Despliegue, Aceptación y Cierre</v>
      </c>
    </row>
    <row r="2" spans="1:14" x14ac:dyDescent="0.3">
      <c r="A2" s="2" t="s">
        <v>34</v>
      </c>
    </row>
    <row r="3" spans="1:14" x14ac:dyDescent="0.3">
      <c r="A3" s="56" t="s">
        <v>35</v>
      </c>
      <c r="B3" s="56" t="s">
        <v>36</v>
      </c>
      <c r="C3" s="56" t="s">
        <v>37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 t="s">
        <v>23</v>
      </c>
    </row>
    <row r="4" spans="1:14" x14ac:dyDescent="0.3">
      <c r="A4" s="56"/>
      <c r="B4" s="56"/>
      <c r="C4" s="25">
        <v>1</v>
      </c>
      <c r="D4" s="25">
        <v>2</v>
      </c>
      <c r="E4" s="25">
        <v>3</v>
      </c>
      <c r="F4" s="25">
        <v>4</v>
      </c>
      <c r="G4" s="25">
        <v>5</v>
      </c>
      <c r="H4" s="25">
        <v>6</v>
      </c>
      <c r="I4" s="25">
        <v>7</v>
      </c>
      <c r="J4" s="25">
        <v>8</v>
      </c>
      <c r="K4" s="25">
        <v>9</v>
      </c>
      <c r="L4" s="25">
        <v>10</v>
      </c>
      <c r="M4" s="25">
        <v>11</v>
      </c>
      <c r="N4" s="56"/>
    </row>
    <row r="5" spans="1:14" x14ac:dyDescent="0.3">
      <c r="A5" s="17" t="s">
        <v>22</v>
      </c>
      <c r="B5" s="26">
        <f>SUM(B6:B10)</f>
        <v>86</v>
      </c>
    </row>
    <row r="6" spans="1:14" x14ac:dyDescent="0.3">
      <c r="A6" s="22" t="s">
        <v>70</v>
      </c>
      <c r="B6" s="10">
        <v>20</v>
      </c>
      <c r="C6" s="27">
        <v>7</v>
      </c>
      <c r="D6" s="27">
        <v>6</v>
      </c>
      <c r="E6" s="27">
        <v>2</v>
      </c>
      <c r="F6" s="27"/>
      <c r="G6" s="27"/>
      <c r="H6" s="27"/>
      <c r="I6" s="27"/>
      <c r="J6" s="27"/>
      <c r="K6" s="27"/>
      <c r="L6" s="27"/>
      <c r="M6" s="27"/>
      <c r="N6" s="28">
        <f>SUM(C6:M6)</f>
        <v>15</v>
      </c>
    </row>
    <row r="7" spans="1:14" x14ac:dyDescent="0.3">
      <c r="A7" s="22" t="s">
        <v>71</v>
      </c>
      <c r="B7" s="10">
        <v>24</v>
      </c>
      <c r="C7" s="27"/>
      <c r="D7" s="27"/>
      <c r="E7" s="27">
        <v>6</v>
      </c>
      <c r="F7" s="27">
        <v>7</v>
      </c>
      <c r="G7" s="27">
        <v>5</v>
      </c>
      <c r="H7" s="27"/>
      <c r="I7" s="27"/>
      <c r="J7" s="27"/>
      <c r="K7" s="27"/>
      <c r="L7" s="27"/>
      <c r="M7" s="27"/>
      <c r="N7" s="28">
        <f>SUM(C7:M7)</f>
        <v>18</v>
      </c>
    </row>
    <row r="8" spans="1:14" x14ac:dyDescent="0.3">
      <c r="A8" s="22" t="s">
        <v>72</v>
      </c>
      <c r="B8" s="10">
        <v>29</v>
      </c>
      <c r="C8" s="27"/>
      <c r="D8" s="27"/>
      <c r="E8" s="27"/>
      <c r="F8" s="27"/>
      <c r="G8" s="27">
        <v>3</v>
      </c>
      <c r="H8" s="27">
        <v>8</v>
      </c>
      <c r="I8" s="27">
        <v>8</v>
      </c>
      <c r="J8" s="27">
        <v>6</v>
      </c>
      <c r="K8" s="27">
        <v>5</v>
      </c>
      <c r="L8" s="27"/>
      <c r="M8" s="27"/>
      <c r="N8" s="28">
        <f>SUM(C8:M8)</f>
        <v>30</v>
      </c>
    </row>
    <row r="9" spans="1:14" x14ac:dyDescent="0.3">
      <c r="A9" s="22" t="s">
        <v>73</v>
      </c>
      <c r="B9" s="10">
        <v>7</v>
      </c>
      <c r="C9" s="27"/>
      <c r="D9" s="27"/>
      <c r="E9" s="27"/>
      <c r="F9" s="27"/>
      <c r="G9" s="27"/>
      <c r="H9" s="27"/>
      <c r="I9" s="27"/>
      <c r="J9" s="27"/>
      <c r="K9" s="27">
        <v>4</v>
      </c>
      <c r="L9" s="27">
        <v>7</v>
      </c>
      <c r="M9" s="27"/>
      <c r="N9" s="28">
        <f>SUM(C9:M9)</f>
        <v>11</v>
      </c>
    </row>
    <row r="10" spans="1:14" x14ac:dyDescent="0.3">
      <c r="A10" s="29" t="s">
        <v>74</v>
      </c>
      <c r="B10" s="10">
        <v>6</v>
      </c>
      <c r="C10" s="31"/>
      <c r="D10" s="31"/>
      <c r="E10" s="31"/>
      <c r="F10" s="31"/>
      <c r="G10" s="31"/>
      <c r="H10" s="31"/>
      <c r="I10" s="31"/>
      <c r="J10" s="31"/>
      <c r="K10" s="31"/>
      <c r="L10" s="31">
        <v>1</v>
      </c>
      <c r="M10" s="31">
        <v>11</v>
      </c>
      <c r="N10" s="32">
        <f>SUM(C10:M10)</f>
        <v>12</v>
      </c>
    </row>
    <row r="13" spans="1:14" x14ac:dyDescent="0.3">
      <c r="A13" s="2" t="s">
        <v>43</v>
      </c>
      <c r="B13" s="33">
        <v>0</v>
      </c>
      <c r="C13" s="33">
        <f t="shared" ref="C13:M13" si="0">C$4</f>
        <v>1</v>
      </c>
      <c r="D13" s="33">
        <f t="shared" si="0"/>
        <v>2</v>
      </c>
      <c r="E13" s="33">
        <f t="shared" si="0"/>
        <v>3</v>
      </c>
      <c r="F13" s="33">
        <f t="shared" si="0"/>
        <v>4</v>
      </c>
      <c r="G13" s="33">
        <f t="shared" si="0"/>
        <v>5</v>
      </c>
      <c r="H13" s="33">
        <f t="shared" si="0"/>
        <v>6</v>
      </c>
      <c r="I13" s="33">
        <f t="shared" si="0"/>
        <v>7</v>
      </c>
      <c r="J13" s="33">
        <f t="shared" si="0"/>
        <v>8</v>
      </c>
      <c r="K13" s="33">
        <f t="shared" si="0"/>
        <v>9</v>
      </c>
      <c r="L13" s="33">
        <f t="shared" si="0"/>
        <v>10</v>
      </c>
      <c r="M13" s="33">
        <f t="shared" si="0"/>
        <v>11</v>
      </c>
    </row>
    <row r="14" spans="1:14" x14ac:dyDescent="0.3">
      <c r="A14" s="34" t="s">
        <v>44</v>
      </c>
      <c r="B14" s="28">
        <f>SUM(B6:B10)</f>
        <v>86</v>
      </c>
      <c r="C14" s="35">
        <f t="shared" ref="C14:M14" si="1">B14-SUM(C6:C10)</f>
        <v>79</v>
      </c>
      <c r="D14" s="35">
        <f t="shared" si="1"/>
        <v>73</v>
      </c>
      <c r="E14" s="35">
        <f t="shared" si="1"/>
        <v>65</v>
      </c>
      <c r="F14" s="35">
        <f t="shared" si="1"/>
        <v>58</v>
      </c>
      <c r="G14" s="35">
        <f t="shared" si="1"/>
        <v>50</v>
      </c>
      <c r="H14" s="35">
        <f t="shared" si="1"/>
        <v>42</v>
      </c>
      <c r="I14" s="35">
        <f t="shared" si="1"/>
        <v>34</v>
      </c>
      <c r="J14" s="35">
        <f t="shared" si="1"/>
        <v>28</v>
      </c>
      <c r="K14" s="35">
        <f t="shared" si="1"/>
        <v>19</v>
      </c>
      <c r="L14" s="35">
        <f t="shared" si="1"/>
        <v>11</v>
      </c>
      <c r="M14" s="35">
        <f t="shared" si="1"/>
        <v>0</v>
      </c>
    </row>
    <row r="16" spans="1:14" x14ac:dyDescent="0.3">
      <c r="A16" s="34" t="s">
        <v>45</v>
      </c>
      <c r="B16" s="28">
        <f>SUM(B6:B10)</f>
        <v>86</v>
      </c>
      <c r="C16" s="35">
        <f t="shared" ref="C16:M16" si="2">$B$16*(1-C$4/COUNT($C$4:$M$4))</f>
        <v>78.181818181818173</v>
      </c>
      <c r="D16" s="35">
        <f t="shared" si="2"/>
        <v>70.36363636363636</v>
      </c>
      <c r="E16" s="35">
        <f t="shared" si="2"/>
        <v>62.545454545454547</v>
      </c>
      <c r="F16" s="35">
        <f t="shared" si="2"/>
        <v>54.727272727272727</v>
      </c>
      <c r="G16" s="35">
        <f t="shared" si="2"/>
        <v>46.909090909090907</v>
      </c>
      <c r="H16" s="35">
        <f t="shared" si="2"/>
        <v>39.090909090909093</v>
      </c>
      <c r="I16" s="35">
        <f t="shared" si="2"/>
        <v>31.272727272727273</v>
      </c>
      <c r="J16" s="35">
        <f t="shared" si="2"/>
        <v>23.454545454545453</v>
      </c>
      <c r="K16" s="35">
        <f t="shared" si="2"/>
        <v>15.636363636363631</v>
      </c>
      <c r="L16" s="35">
        <f t="shared" si="2"/>
        <v>7.818181818181821</v>
      </c>
      <c r="M16" s="35">
        <f t="shared" si="2"/>
        <v>0</v>
      </c>
    </row>
  </sheetData>
  <mergeCells count="4">
    <mergeCell ref="A3:A4"/>
    <mergeCell ref="B3:B4"/>
    <mergeCell ref="C3:M3"/>
    <mergeCell ref="N3:N4"/>
  </mergeCells>
  <dataValidations count="1">
    <dataValidation type="decimal" operator="greaterThanOrEqual" allowBlank="1" showErrorMessage="1" errorTitle="Horas" error="Ingrese horas reales (número ≥ 0)" sqref="C6:M10" xr:uid="{00000000-0002-0000-08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U5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19" sqref="G19"/>
    </sheetView>
  </sheetViews>
  <sheetFormatPr baseColWidth="10" defaultColWidth="8.6640625" defaultRowHeight="14.4" x14ac:dyDescent="0.3"/>
  <cols>
    <col min="1" max="1" width="62" customWidth="1"/>
    <col min="2" max="2" width="17" customWidth="1"/>
    <col min="3" max="98" width="4.44140625" customWidth="1"/>
    <col min="99" max="99" width="10" customWidth="1"/>
  </cols>
  <sheetData>
    <row r="1" spans="1:99" ht="21" x14ac:dyDescent="0.3">
      <c r="A1" s="3" t="s">
        <v>75</v>
      </c>
    </row>
    <row r="2" spans="1:99" x14ac:dyDescent="0.3">
      <c r="A2" s="2" t="s">
        <v>76</v>
      </c>
    </row>
    <row r="3" spans="1:99" x14ac:dyDescent="0.3">
      <c r="A3" s="56" t="s">
        <v>35</v>
      </c>
      <c r="B3" s="56" t="s">
        <v>36</v>
      </c>
      <c r="C3" s="56" t="s">
        <v>77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 t="s">
        <v>23</v>
      </c>
    </row>
    <row r="4" spans="1:99" x14ac:dyDescent="0.3">
      <c r="A4" s="56"/>
      <c r="B4" s="56"/>
      <c r="C4" s="25">
        <v>1</v>
      </c>
      <c r="D4" s="25">
        <v>2</v>
      </c>
      <c r="E4" s="25">
        <v>3</v>
      </c>
      <c r="F4" s="25">
        <v>4</v>
      </c>
      <c r="G4" s="25">
        <v>5</v>
      </c>
      <c r="H4" s="25">
        <v>6</v>
      </c>
      <c r="I4" s="25">
        <v>7</v>
      </c>
      <c r="J4" s="25">
        <v>8</v>
      </c>
      <c r="K4" s="25">
        <v>9</v>
      </c>
      <c r="L4" s="25">
        <v>10</v>
      </c>
      <c r="M4" s="25">
        <v>11</v>
      </c>
      <c r="N4" s="25">
        <v>12</v>
      </c>
      <c r="O4" s="25">
        <v>13</v>
      </c>
      <c r="P4" s="25">
        <v>14</v>
      </c>
      <c r="Q4" s="25">
        <v>15</v>
      </c>
      <c r="R4" s="25">
        <v>16</v>
      </c>
      <c r="S4" s="25">
        <v>17</v>
      </c>
      <c r="T4" s="25">
        <v>18</v>
      </c>
      <c r="U4" s="25">
        <v>19</v>
      </c>
      <c r="V4" s="25">
        <v>20</v>
      </c>
      <c r="W4" s="25">
        <v>21</v>
      </c>
      <c r="X4" s="25">
        <v>22</v>
      </c>
      <c r="Y4" s="25">
        <v>23</v>
      </c>
      <c r="Z4" s="25">
        <v>24</v>
      </c>
      <c r="AA4" s="25">
        <v>25</v>
      </c>
      <c r="AB4" s="25">
        <v>26</v>
      </c>
      <c r="AC4" s="25">
        <v>27</v>
      </c>
      <c r="AD4" s="25">
        <v>28</v>
      </c>
      <c r="AE4" s="25">
        <v>29</v>
      </c>
      <c r="AF4" s="25">
        <v>30</v>
      </c>
      <c r="AG4" s="25">
        <v>31</v>
      </c>
      <c r="AH4" s="25">
        <v>32</v>
      </c>
      <c r="AI4" s="25">
        <v>33</v>
      </c>
      <c r="AJ4" s="25">
        <v>34</v>
      </c>
      <c r="AK4" s="25">
        <v>35</v>
      </c>
      <c r="AL4" s="25">
        <v>36</v>
      </c>
      <c r="AM4" s="25">
        <v>37</v>
      </c>
      <c r="AN4" s="25">
        <v>38</v>
      </c>
      <c r="AO4" s="25">
        <v>39</v>
      </c>
      <c r="AP4" s="25">
        <v>40</v>
      </c>
      <c r="AQ4" s="25">
        <v>41</v>
      </c>
      <c r="AR4" s="25">
        <v>42</v>
      </c>
      <c r="AS4" s="25">
        <v>43</v>
      </c>
      <c r="AT4" s="25">
        <v>44</v>
      </c>
      <c r="AU4" s="25">
        <v>45</v>
      </c>
      <c r="AV4" s="25">
        <v>46</v>
      </c>
      <c r="AW4" s="25">
        <v>47</v>
      </c>
      <c r="AX4" s="25">
        <v>48</v>
      </c>
      <c r="AY4" s="25">
        <v>49</v>
      </c>
      <c r="AZ4" s="25">
        <v>50</v>
      </c>
      <c r="BA4" s="25">
        <v>51</v>
      </c>
      <c r="BB4" s="25">
        <v>52</v>
      </c>
      <c r="BC4" s="25">
        <v>53</v>
      </c>
      <c r="BD4" s="25">
        <v>54</v>
      </c>
      <c r="BE4" s="25">
        <v>55</v>
      </c>
      <c r="BF4" s="25">
        <v>56</v>
      </c>
      <c r="BG4" s="25">
        <v>57</v>
      </c>
      <c r="BH4" s="25">
        <v>58</v>
      </c>
      <c r="BI4" s="25">
        <v>59</v>
      </c>
      <c r="BJ4" s="25">
        <v>60</v>
      </c>
      <c r="BK4" s="25">
        <v>61</v>
      </c>
      <c r="BL4" s="25">
        <v>62</v>
      </c>
      <c r="BM4" s="25">
        <v>63</v>
      </c>
      <c r="BN4" s="25">
        <v>64</v>
      </c>
      <c r="BO4" s="25">
        <v>65</v>
      </c>
      <c r="BP4" s="25">
        <v>66</v>
      </c>
      <c r="BQ4" s="25">
        <v>67</v>
      </c>
      <c r="BR4" s="25">
        <v>68</v>
      </c>
      <c r="BS4" s="25">
        <v>69</v>
      </c>
      <c r="BT4" s="25">
        <v>70</v>
      </c>
      <c r="BU4" s="25">
        <v>71</v>
      </c>
      <c r="BV4" s="25">
        <v>72</v>
      </c>
      <c r="BW4" s="25">
        <v>73</v>
      </c>
      <c r="BX4" s="25">
        <v>74</v>
      </c>
      <c r="BY4" s="25">
        <v>75</v>
      </c>
      <c r="BZ4" s="25">
        <v>76</v>
      </c>
      <c r="CA4" s="25">
        <v>77</v>
      </c>
      <c r="CB4" s="25">
        <v>78</v>
      </c>
      <c r="CC4" s="25">
        <v>79</v>
      </c>
      <c r="CD4" s="25">
        <v>80</v>
      </c>
      <c r="CE4" s="25">
        <v>81</v>
      </c>
      <c r="CF4" s="25">
        <v>82</v>
      </c>
      <c r="CG4" s="25">
        <v>83</v>
      </c>
      <c r="CH4" s="25">
        <v>84</v>
      </c>
      <c r="CI4" s="25">
        <v>85</v>
      </c>
      <c r="CJ4" s="25">
        <v>86</v>
      </c>
      <c r="CK4" s="25">
        <v>87</v>
      </c>
      <c r="CL4" s="25">
        <v>88</v>
      </c>
      <c r="CM4" s="25">
        <v>89</v>
      </c>
      <c r="CN4" s="25">
        <v>90</v>
      </c>
      <c r="CO4" s="25">
        <v>91</v>
      </c>
      <c r="CP4" s="25">
        <v>92</v>
      </c>
      <c r="CQ4" s="25">
        <v>93</v>
      </c>
      <c r="CR4" s="25">
        <v>94</v>
      </c>
      <c r="CS4" s="25">
        <v>95</v>
      </c>
      <c r="CT4" s="25">
        <v>96</v>
      </c>
      <c r="CU4" s="56"/>
    </row>
    <row r="5" spans="1:99" x14ac:dyDescent="0.3">
      <c r="A5" s="17" t="str">
        <f>"Sprint N°"&amp;Resumen_Sprints!A6&amp;" – "&amp;Resumen_Sprints!B6</f>
        <v>Sprint N°1 – Fase Análisis y Planificación</v>
      </c>
      <c r="B5" s="26">
        <f>SUM(B6:B10)</f>
        <v>43</v>
      </c>
    </row>
    <row r="6" spans="1:99" x14ac:dyDescent="0.3">
      <c r="A6" s="22" t="str">
        <f>'Sprint N°1'!A6</f>
        <v>Kick Off</v>
      </c>
      <c r="B6" s="22">
        <f>'Sprint N°1'!B6</f>
        <v>8</v>
      </c>
      <c r="C6" s="36">
        <f>IF(AND(C$4&gt;Resumen_Sprints!$E$6,C$4&lt;=Resumen_Sprints!$E$6+Resumen_Sprints!$D$6),INDEX('Sprint N°1'!$C$6:$I$6,C$4-Resumen_Sprints!$E$6),0)</f>
        <v>7</v>
      </c>
      <c r="D6" s="36">
        <f>IF(AND(D$4&gt;Resumen_Sprints!$E$6,D$4&lt;=Resumen_Sprints!$E$6+Resumen_Sprints!$D$6),INDEX('Sprint N°1'!$C$6:$I$6,D$4-Resumen_Sprints!$E$6),0)</f>
        <v>1</v>
      </c>
      <c r="E6" s="36">
        <f>IF(AND(E$4&gt;Resumen_Sprints!$E$6,E$4&lt;=Resumen_Sprints!$E$6+Resumen_Sprints!$D$6),INDEX('Sprint N°1'!$C$6:$I$6,E$4-Resumen_Sprints!$E$6),0)</f>
        <v>0</v>
      </c>
      <c r="F6" s="36">
        <f>IF(AND(F$4&gt;Resumen_Sprints!$E$6,F$4&lt;=Resumen_Sprints!$E$6+Resumen_Sprints!$D$6),INDEX('Sprint N°1'!$C$6:$I$6,F$4-Resumen_Sprints!$E$6),0)</f>
        <v>0</v>
      </c>
      <c r="G6" s="36">
        <f>IF(AND(G$4&gt;Resumen_Sprints!$E$6,G$4&lt;=Resumen_Sprints!$E$6+Resumen_Sprints!$D$6),INDEX('Sprint N°1'!$C$6:$I$6,G$4-Resumen_Sprints!$E$6),0)</f>
        <v>0</v>
      </c>
      <c r="H6" s="36">
        <f>IF(AND(H$4&gt;Resumen_Sprints!$E$6,H$4&lt;=Resumen_Sprints!$E$6+Resumen_Sprints!$D$6),INDEX('Sprint N°1'!$C$6:$I$6,H$4-Resumen_Sprints!$E$6),0)</f>
        <v>0</v>
      </c>
      <c r="I6" s="36">
        <f>IF(AND(I$4&gt;Resumen_Sprints!$E$6,I$4&lt;=Resumen_Sprints!$E$6+Resumen_Sprints!$D$6),INDEX('Sprint N°1'!$C$6:$I$6,I$4-Resumen_Sprints!$E$6),0)</f>
        <v>0</v>
      </c>
      <c r="J6" s="36">
        <f>IF(AND(J$4&gt;Resumen_Sprints!$E$6,J$4&lt;=Resumen_Sprints!$E$6+Resumen_Sprints!$D$6),INDEX('Sprint N°1'!$C$6:$I$6,J$4-Resumen_Sprints!$E$6),0)</f>
        <v>0</v>
      </c>
      <c r="K6" s="36">
        <f>IF(AND(K$4&gt;Resumen_Sprints!$E$6,K$4&lt;=Resumen_Sprints!$E$6+Resumen_Sprints!$D$6),INDEX('Sprint N°1'!$C$6:$I$6,K$4-Resumen_Sprints!$E$6),0)</f>
        <v>0</v>
      </c>
      <c r="L6" s="36">
        <f>IF(AND(L$4&gt;Resumen_Sprints!$E$6,L$4&lt;=Resumen_Sprints!$E$6+Resumen_Sprints!$D$6),INDEX('Sprint N°1'!$C$6:$I$6,L$4-Resumen_Sprints!$E$6),0)</f>
        <v>0</v>
      </c>
      <c r="M6" s="36">
        <f>IF(AND(M$4&gt;Resumen_Sprints!$E$6,M$4&lt;=Resumen_Sprints!$E$6+Resumen_Sprints!$D$6),INDEX('Sprint N°1'!$C$6:$I$6,M$4-Resumen_Sprints!$E$6),0)</f>
        <v>0</v>
      </c>
      <c r="N6" s="36">
        <f>IF(AND(N$4&gt;Resumen_Sprints!$E$6,N$4&lt;=Resumen_Sprints!$E$6+Resumen_Sprints!$D$6),INDEX('Sprint N°1'!$C$6:$I$6,N$4-Resumen_Sprints!$E$6),0)</f>
        <v>0</v>
      </c>
      <c r="O6" s="36">
        <f>IF(AND(O$4&gt;Resumen_Sprints!$E$6,O$4&lt;=Resumen_Sprints!$E$6+Resumen_Sprints!$D$6),INDEX('Sprint N°1'!$C$6:$I$6,O$4-Resumen_Sprints!$E$6),0)</f>
        <v>0</v>
      </c>
      <c r="P6" s="36">
        <f>IF(AND(P$4&gt;Resumen_Sprints!$E$6,P$4&lt;=Resumen_Sprints!$E$6+Resumen_Sprints!$D$6),INDEX('Sprint N°1'!$C$6:$I$6,P$4-Resumen_Sprints!$E$6),0)</f>
        <v>0</v>
      </c>
      <c r="Q6" s="36">
        <f>IF(AND(Q$4&gt;Resumen_Sprints!$E$6,Q$4&lt;=Resumen_Sprints!$E$6+Resumen_Sprints!$D$6),INDEX('Sprint N°1'!$C$6:$I$6,Q$4-Resumen_Sprints!$E$6),0)</f>
        <v>0</v>
      </c>
      <c r="R6" s="36">
        <f>IF(AND(R$4&gt;Resumen_Sprints!$E$6,R$4&lt;=Resumen_Sprints!$E$6+Resumen_Sprints!$D$6),INDEX('Sprint N°1'!$C$6:$I$6,R$4-Resumen_Sprints!$E$6),0)</f>
        <v>0</v>
      </c>
      <c r="S6" s="36">
        <f>IF(AND(S$4&gt;Resumen_Sprints!$E$6,S$4&lt;=Resumen_Sprints!$E$6+Resumen_Sprints!$D$6),INDEX('Sprint N°1'!$C$6:$I$6,S$4-Resumen_Sprints!$E$6),0)</f>
        <v>0</v>
      </c>
      <c r="T6" s="36">
        <f>IF(AND(T$4&gt;Resumen_Sprints!$E$6,T$4&lt;=Resumen_Sprints!$E$6+Resumen_Sprints!$D$6),INDEX('Sprint N°1'!$C$6:$I$6,T$4-Resumen_Sprints!$E$6),0)</f>
        <v>0</v>
      </c>
      <c r="U6" s="36">
        <f>IF(AND(U$4&gt;Resumen_Sprints!$E$6,U$4&lt;=Resumen_Sprints!$E$6+Resumen_Sprints!$D$6),INDEX('Sprint N°1'!$C$6:$I$6,U$4-Resumen_Sprints!$E$6),0)</f>
        <v>0</v>
      </c>
      <c r="V6" s="36">
        <f>IF(AND(V$4&gt;Resumen_Sprints!$E$6,V$4&lt;=Resumen_Sprints!$E$6+Resumen_Sprints!$D$6),INDEX('Sprint N°1'!$C$6:$I$6,V$4-Resumen_Sprints!$E$6),0)</f>
        <v>0</v>
      </c>
      <c r="W6" s="36">
        <f>IF(AND(W$4&gt;Resumen_Sprints!$E$6,W$4&lt;=Resumen_Sprints!$E$6+Resumen_Sprints!$D$6),INDEX('Sprint N°1'!$C$6:$I$6,W$4-Resumen_Sprints!$E$6),0)</f>
        <v>0</v>
      </c>
      <c r="X6" s="36">
        <f>IF(AND(X$4&gt;Resumen_Sprints!$E$6,X$4&lt;=Resumen_Sprints!$E$6+Resumen_Sprints!$D$6),INDEX('Sprint N°1'!$C$6:$I$6,X$4-Resumen_Sprints!$E$6),0)</f>
        <v>0</v>
      </c>
      <c r="Y6" s="36">
        <f>IF(AND(Y$4&gt;Resumen_Sprints!$E$6,Y$4&lt;=Resumen_Sprints!$E$6+Resumen_Sprints!$D$6),INDEX('Sprint N°1'!$C$6:$I$6,Y$4-Resumen_Sprints!$E$6),0)</f>
        <v>0</v>
      </c>
      <c r="Z6" s="36">
        <f>IF(AND(Z$4&gt;Resumen_Sprints!$E$6,Z$4&lt;=Resumen_Sprints!$E$6+Resumen_Sprints!$D$6),INDEX('Sprint N°1'!$C$6:$I$6,Z$4-Resumen_Sprints!$E$6),0)</f>
        <v>0</v>
      </c>
      <c r="AA6" s="36">
        <f>IF(AND(AA$4&gt;Resumen_Sprints!$E$6,AA$4&lt;=Resumen_Sprints!$E$6+Resumen_Sprints!$D$6),INDEX('Sprint N°1'!$C$6:$I$6,AA$4-Resumen_Sprints!$E$6),0)</f>
        <v>0</v>
      </c>
      <c r="AB6" s="36">
        <f>IF(AND(AB$4&gt;Resumen_Sprints!$E$6,AB$4&lt;=Resumen_Sprints!$E$6+Resumen_Sprints!$D$6),INDEX('Sprint N°1'!$C$6:$I$6,AB$4-Resumen_Sprints!$E$6),0)</f>
        <v>0</v>
      </c>
      <c r="AC6" s="36">
        <f>IF(AND(AC$4&gt;Resumen_Sprints!$E$6,AC$4&lt;=Resumen_Sprints!$E$6+Resumen_Sprints!$D$6),INDEX('Sprint N°1'!$C$6:$I$6,AC$4-Resumen_Sprints!$E$6),0)</f>
        <v>0</v>
      </c>
      <c r="AD6" s="36">
        <f>IF(AND(AD$4&gt;Resumen_Sprints!$E$6,AD$4&lt;=Resumen_Sprints!$E$6+Resumen_Sprints!$D$6),INDEX('Sprint N°1'!$C$6:$I$6,AD$4-Resumen_Sprints!$E$6),0)</f>
        <v>0</v>
      </c>
      <c r="AE6" s="36">
        <f>IF(AND(AE$4&gt;Resumen_Sprints!$E$6,AE$4&lt;=Resumen_Sprints!$E$6+Resumen_Sprints!$D$6),INDEX('Sprint N°1'!$C$6:$I$6,AE$4-Resumen_Sprints!$E$6),0)</f>
        <v>0</v>
      </c>
      <c r="AF6" s="36">
        <f>IF(AND(AF$4&gt;Resumen_Sprints!$E$6,AF$4&lt;=Resumen_Sprints!$E$6+Resumen_Sprints!$D$6),INDEX('Sprint N°1'!$C$6:$I$6,AF$4-Resumen_Sprints!$E$6),0)</f>
        <v>0</v>
      </c>
      <c r="AG6" s="36">
        <f>IF(AND(AG$4&gt;Resumen_Sprints!$E$6,AG$4&lt;=Resumen_Sprints!$E$6+Resumen_Sprints!$D$6),INDEX('Sprint N°1'!$C$6:$I$6,AG$4-Resumen_Sprints!$E$6),0)</f>
        <v>0</v>
      </c>
      <c r="AH6" s="36">
        <f>IF(AND(AH$4&gt;Resumen_Sprints!$E$6,AH$4&lt;=Resumen_Sprints!$E$6+Resumen_Sprints!$D$6),INDEX('Sprint N°1'!$C$6:$I$6,AH$4-Resumen_Sprints!$E$6),0)</f>
        <v>0</v>
      </c>
      <c r="AI6" s="36">
        <f>IF(AND(AI$4&gt;Resumen_Sprints!$E$6,AI$4&lt;=Resumen_Sprints!$E$6+Resumen_Sprints!$D$6),INDEX('Sprint N°1'!$C$6:$I$6,AI$4-Resumen_Sprints!$E$6),0)</f>
        <v>0</v>
      </c>
      <c r="AJ6" s="36">
        <f>IF(AND(AJ$4&gt;Resumen_Sprints!$E$6,AJ$4&lt;=Resumen_Sprints!$E$6+Resumen_Sprints!$D$6),INDEX('Sprint N°1'!$C$6:$I$6,AJ$4-Resumen_Sprints!$E$6),0)</f>
        <v>0</v>
      </c>
      <c r="AK6" s="36">
        <f>IF(AND(AK$4&gt;Resumen_Sprints!$E$6,AK$4&lt;=Resumen_Sprints!$E$6+Resumen_Sprints!$D$6),INDEX('Sprint N°1'!$C$6:$I$6,AK$4-Resumen_Sprints!$E$6),0)</f>
        <v>0</v>
      </c>
      <c r="AL6" s="36">
        <f>IF(AND(AL$4&gt;Resumen_Sprints!$E$6,AL$4&lt;=Resumen_Sprints!$E$6+Resumen_Sprints!$D$6),INDEX('Sprint N°1'!$C$6:$I$6,AL$4-Resumen_Sprints!$E$6),0)</f>
        <v>0</v>
      </c>
      <c r="AM6" s="36">
        <f>IF(AND(AM$4&gt;Resumen_Sprints!$E$6,AM$4&lt;=Resumen_Sprints!$E$6+Resumen_Sprints!$D$6),INDEX('Sprint N°1'!$C$6:$I$6,AM$4-Resumen_Sprints!$E$6),0)</f>
        <v>0</v>
      </c>
      <c r="AN6" s="36">
        <f>IF(AND(AN$4&gt;Resumen_Sprints!$E$6,AN$4&lt;=Resumen_Sprints!$E$6+Resumen_Sprints!$D$6),INDEX('Sprint N°1'!$C$6:$I$6,AN$4-Resumen_Sprints!$E$6),0)</f>
        <v>0</v>
      </c>
      <c r="AO6" s="36">
        <f>IF(AND(AO$4&gt;Resumen_Sprints!$E$6,AO$4&lt;=Resumen_Sprints!$E$6+Resumen_Sprints!$D$6),INDEX('Sprint N°1'!$C$6:$I$6,AO$4-Resumen_Sprints!$E$6),0)</f>
        <v>0</v>
      </c>
      <c r="AP6" s="36">
        <f>IF(AND(AP$4&gt;Resumen_Sprints!$E$6,AP$4&lt;=Resumen_Sprints!$E$6+Resumen_Sprints!$D$6),INDEX('Sprint N°1'!$C$6:$I$6,AP$4-Resumen_Sprints!$E$6),0)</f>
        <v>0</v>
      </c>
      <c r="AQ6" s="36">
        <f>IF(AND(AQ$4&gt;Resumen_Sprints!$E$6,AQ$4&lt;=Resumen_Sprints!$E$6+Resumen_Sprints!$D$6),INDEX('Sprint N°1'!$C$6:$I$6,AQ$4-Resumen_Sprints!$E$6),0)</f>
        <v>0</v>
      </c>
      <c r="AR6" s="36">
        <f>IF(AND(AR$4&gt;Resumen_Sprints!$E$6,AR$4&lt;=Resumen_Sprints!$E$6+Resumen_Sprints!$D$6),INDEX('Sprint N°1'!$C$6:$I$6,AR$4-Resumen_Sprints!$E$6),0)</f>
        <v>0</v>
      </c>
      <c r="AS6" s="36">
        <f>IF(AND(AS$4&gt;Resumen_Sprints!$E$6,AS$4&lt;=Resumen_Sprints!$E$6+Resumen_Sprints!$D$6),INDEX('Sprint N°1'!$C$6:$I$6,AS$4-Resumen_Sprints!$E$6),0)</f>
        <v>0</v>
      </c>
      <c r="AT6" s="36">
        <f>IF(AND(AT$4&gt;Resumen_Sprints!$E$6,AT$4&lt;=Resumen_Sprints!$E$6+Resumen_Sprints!$D$6),INDEX('Sprint N°1'!$C$6:$I$6,AT$4-Resumen_Sprints!$E$6),0)</f>
        <v>0</v>
      </c>
      <c r="AU6" s="36">
        <f>IF(AND(AU$4&gt;Resumen_Sprints!$E$6,AU$4&lt;=Resumen_Sprints!$E$6+Resumen_Sprints!$D$6),INDEX('Sprint N°1'!$C$6:$I$6,AU$4-Resumen_Sprints!$E$6),0)</f>
        <v>0</v>
      </c>
      <c r="AV6" s="36">
        <f>IF(AND(AV$4&gt;Resumen_Sprints!$E$6,AV$4&lt;=Resumen_Sprints!$E$6+Resumen_Sprints!$D$6),INDEX('Sprint N°1'!$C$6:$I$6,AV$4-Resumen_Sprints!$E$6),0)</f>
        <v>0</v>
      </c>
      <c r="AW6" s="36">
        <f>IF(AND(AW$4&gt;Resumen_Sprints!$E$6,AW$4&lt;=Resumen_Sprints!$E$6+Resumen_Sprints!$D$6),INDEX('Sprint N°1'!$C$6:$I$6,AW$4-Resumen_Sprints!$E$6),0)</f>
        <v>0</v>
      </c>
      <c r="AX6" s="36">
        <f>IF(AND(AX$4&gt;Resumen_Sprints!$E$6,AX$4&lt;=Resumen_Sprints!$E$6+Resumen_Sprints!$D$6),INDEX('Sprint N°1'!$C$6:$I$6,AX$4-Resumen_Sprints!$E$6),0)</f>
        <v>0</v>
      </c>
      <c r="AY6" s="36">
        <f>IF(AND(AY$4&gt;Resumen_Sprints!$E$6,AY$4&lt;=Resumen_Sprints!$E$6+Resumen_Sprints!$D$6),INDEX('Sprint N°1'!$C$6:$I$6,AY$4-Resumen_Sprints!$E$6),0)</f>
        <v>0</v>
      </c>
      <c r="AZ6" s="36">
        <f>IF(AND(AZ$4&gt;Resumen_Sprints!$E$6,AZ$4&lt;=Resumen_Sprints!$E$6+Resumen_Sprints!$D$6),INDEX('Sprint N°1'!$C$6:$I$6,AZ$4-Resumen_Sprints!$E$6),0)</f>
        <v>0</v>
      </c>
      <c r="BA6" s="36">
        <f>IF(AND(BA$4&gt;Resumen_Sprints!$E$6,BA$4&lt;=Resumen_Sprints!$E$6+Resumen_Sprints!$D$6),INDEX('Sprint N°1'!$C$6:$I$6,BA$4-Resumen_Sprints!$E$6),0)</f>
        <v>0</v>
      </c>
      <c r="BB6" s="36">
        <f>IF(AND(BB$4&gt;Resumen_Sprints!$E$6,BB$4&lt;=Resumen_Sprints!$E$6+Resumen_Sprints!$D$6),INDEX('Sprint N°1'!$C$6:$I$6,BB$4-Resumen_Sprints!$E$6),0)</f>
        <v>0</v>
      </c>
      <c r="BC6" s="36">
        <f>IF(AND(BC$4&gt;Resumen_Sprints!$E$6,BC$4&lt;=Resumen_Sprints!$E$6+Resumen_Sprints!$D$6),INDEX('Sprint N°1'!$C$6:$I$6,BC$4-Resumen_Sprints!$E$6),0)</f>
        <v>0</v>
      </c>
      <c r="BD6" s="36">
        <f>IF(AND(BD$4&gt;Resumen_Sprints!$E$6,BD$4&lt;=Resumen_Sprints!$E$6+Resumen_Sprints!$D$6),INDEX('Sprint N°1'!$C$6:$I$6,BD$4-Resumen_Sprints!$E$6),0)</f>
        <v>0</v>
      </c>
      <c r="BE6" s="36">
        <f>IF(AND(BE$4&gt;Resumen_Sprints!$E$6,BE$4&lt;=Resumen_Sprints!$E$6+Resumen_Sprints!$D$6),INDEX('Sprint N°1'!$C$6:$I$6,BE$4-Resumen_Sprints!$E$6),0)</f>
        <v>0</v>
      </c>
      <c r="BF6" s="36">
        <f>IF(AND(BF$4&gt;Resumen_Sprints!$E$6,BF$4&lt;=Resumen_Sprints!$E$6+Resumen_Sprints!$D$6),INDEX('Sprint N°1'!$C$6:$I$6,BF$4-Resumen_Sprints!$E$6),0)</f>
        <v>0</v>
      </c>
      <c r="BG6" s="36">
        <f>IF(AND(BG$4&gt;Resumen_Sprints!$E$6,BG$4&lt;=Resumen_Sprints!$E$6+Resumen_Sprints!$D$6),INDEX('Sprint N°1'!$C$6:$I$6,BG$4-Resumen_Sprints!$E$6),0)</f>
        <v>0</v>
      </c>
      <c r="BH6" s="36">
        <f>IF(AND(BH$4&gt;Resumen_Sprints!$E$6,BH$4&lt;=Resumen_Sprints!$E$6+Resumen_Sprints!$D$6),INDEX('Sprint N°1'!$C$6:$I$6,BH$4-Resumen_Sprints!$E$6),0)</f>
        <v>0</v>
      </c>
      <c r="BI6" s="36">
        <f>IF(AND(BI$4&gt;Resumen_Sprints!$E$6,BI$4&lt;=Resumen_Sprints!$E$6+Resumen_Sprints!$D$6),INDEX('Sprint N°1'!$C$6:$I$6,BI$4-Resumen_Sprints!$E$6),0)</f>
        <v>0</v>
      </c>
      <c r="BJ6" s="36">
        <f>IF(AND(BJ$4&gt;Resumen_Sprints!$E$6,BJ$4&lt;=Resumen_Sprints!$E$6+Resumen_Sprints!$D$6),INDEX('Sprint N°1'!$C$6:$I$6,BJ$4-Resumen_Sprints!$E$6),0)</f>
        <v>0</v>
      </c>
      <c r="BK6" s="36">
        <f>IF(AND(BK$4&gt;Resumen_Sprints!$E$6,BK$4&lt;=Resumen_Sprints!$E$6+Resumen_Sprints!$D$6),INDEX('Sprint N°1'!$C$6:$I$6,BK$4-Resumen_Sprints!$E$6),0)</f>
        <v>0</v>
      </c>
      <c r="BL6" s="36">
        <f>IF(AND(BL$4&gt;Resumen_Sprints!$E$6,BL$4&lt;=Resumen_Sprints!$E$6+Resumen_Sprints!$D$6),INDEX('Sprint N°1'!$C$6:$I$6,BL$4-Resumen_Sprints!$E$6),0)</f>
        <v>0</v>
      </c>
      <c r="BM6" s="36">
        <f>IF(AND(BM$4&gt;Resumen_Sprints!$E$6,BM$4&lt;=Resumen_Sprints!$E$6+Resumen_Sprints!$D$6),INDEX('Sprint N°1'!$C$6:$I$6,BM$4-Resumen_Sprints!$E$6),0)</f>
        <v>0</v>
      </c>
      <c r="BN6" s="36">
        <f>IF(AND(BN$4&gt;Resumen_Sprints!$E$6,BN$4&lt;=Resumen_Sprints!$E$6+Resumen_Sprints!$D$6),INDEX('Sprint N°1'!$C$6:$I$6,BN$4-Resumen_Sprints!$E$6),0)</f>
        <v>0</v>
      </c>
      <c r="BO6" s="36">
        <f>IF(AND(BO$4&gt;Resumen_Sprints!$E$6,BO$4&lt;=Resumen_Sprints!$E$6+Resumen_Sprints!$D$6),INDEX('Sprint N°1'!$C$6:$I$6,BO$4-Resumen_Sprints!$E$6),0)</f>
        <v>0</v>
      </c>
      <c r="BP6" s="36">
        <f>IF(AND(BP$4&gt;Resumen_Sprints!$E$6,BP$4&lt;=Resumen_Sprints!$E$6+Resumen_Sprints!$D$6),INDEX('Sprint N°1'!$C$6:$I$6,BP$4-Resumen_Sprints!$E$6),0)</f>
        <v>0</v>
      </c>
      <c r="BQ6" s="36">
        <f>IF(AND(BQ$4&gt;Resumen_Sprints!$E$6,BQ$4&lt;=Resumen_Sprints!$E$6+Resumen_Sprints!$D$6),INDEX('Sprint N°1'!$C$6:$I$6,BQ$4-Resumen_Sprints!$E$6),0)</f>
        <v>0</v>
      </c>
      <c r="BR6" s="36">
        <f>IF(AND(BR$4&gt;Resumen_Sprints!$E$6,BR$4&lt;=Resumen_Sprints!$E$6+Resumen_Sprints!$D$6),INDEX('Sprint N°1'!$C$6:$I$6,BR$4-Resumen_Sprints!$E$6),0)</f>
        <v>0</v>
      </c>
      <c r="BS6" s="36">
        <f>IF(AND(BS$4&gt;Resumen_Sprints!$E$6,BS$4&lt;=Resumen_Sprints!$E$6+Resumen_Sprints!$D$6),INDEX('Sprint N°1'!$C$6:$I$6,BS$4-Resumen_Sprints!$E$6),0)</f>
        <v>0</v>
      </c>
      <c r="BT6" s="36">
        <f>IF(AND(BT$4&gt;Resumen_Sprints!$E$6,BT$4&lt;=Resumen_Sprints!$E$6+Resumen_Sprints!$D$6),INDEX('Sprint N°1'!$C$6:$I$6,BT$4-Resumen_Sprints!$E$6),0)</f>
        <v>0</v>
      </c>
      <c r="BU6" s="36">
        <f>IF(AND(BU$4&gt;Resumen_Sprints!$E$6,BU$4&lt;=Resumen_Sprints!$E$6+Resumen_Sprints!$D$6),INDEX('Sprint N°1'!$C$6:$I$6,BU$4-Resumen_Sprints!$E$6),0)</f>
        <v>0</v>
      </c>
      <c r="BV6" s="36">
        <f>IF(AND(BV$4&gt;Resumen_Sprints!$E$6,BV$4&lt;=Resumen_Sprints!$E$6+Resumen_Sprints!$D$6),INDEX('Sprint N°1'!$C$6:$I$6,BV$4-Resumen_Sprints!$E$6),0)</f>
        <v>0</v>
      </c>
      <c r="BW6" s="36">
        <f>IF(AND(BW$4&gt;Resumen_Sprints!$E$6,BW$4&lt;=Resumen_Sprints!$E$6+Resumen_Sprints!$D$6),INDEX('Sprint N°1'!$C$6:$I$6,BW$4-Resumen_Sprints!$E$6),0)</f>
        <v>0</v>
      </c>
      <c r="BX6" s="36">
        <f>IF(AND(BX$4&gt;Resumen_Sprints!$E$6,BX$4&lt;=Resumen_Sprints!$E$6+Resumen_Sprints!$D$6),INDEX('Sprint N°1'!$C$6:$I$6,BX$4-Resumen_Sprints!$E$6),0)</f>
        <v>0</v>
      </c>
      <c r="BY6" s="36">
        <f>IF(AND(BY$4&gt;Resumen_Sprints!$E$6,BY$4&lt;=Resumen_Sprints!$E$6+Resumen_Sprints!$D$6),INDEX('Sprint N°1'!$C$6:$I$6,BY$4-Resumen_Sprints!$E$6),0)</f>
        <v>0</v>
      </c>
      <c r="BZ6" s="36">
        <f>IF(AND(BZ$4&gt;Resumen_Sprints!$E$6,BZ$4&lt;=Resumen_Sprints!$E$6+Resumen_Sprints!$D$6),INDEX('Sprint N°1'!$C$6:$I$6,BZ$4-Resumen_Sprints!$E$6),0)</f>
        <v>0</v>
      </c>
      <c r="CA6" s="36">
        <f>IF(AND(CA$4&gt;Resumen_Sprints!$E$6,CA$4&lt;=Resumen_Sprints!$E$6+Resumen_Sprints!$D$6),INDEX('Sprint N°1'!$C$6:$I$6,CA$4-Resumen_Sprints!$E$6),0)</f>
        <v>0</v>
      </c>
      <c r="CB6" s="36">
        <f>IF(AND(CB$4&gt;Resumen_Sprints!$E$6,CB$4&lt;=Resumen_Sprints!$E$6+Resumen_Sprints!$D$6),INDEX('Sprint N°1'!$C$6:$I$6,CB$4-Resumen_Sprints!$E$6),0)</f>
        <v>0</v>
      </c>
      <c r="CC6" s="36">
        <f>IF(AND(CC$4&gt;Resumen_Sprints!$E$6,CC$4&lt;=Resumen_Sprints!$E$6+Resumen_Sprints!$D$6),INDEX('Sprint N°1'!$C$6:$I$6,CC$4-Resumen_Sprints!$E$6),0)</f>
        <v>0</v>
      </c>
      <c r="CD6" s="36">
        <f>IF(AND(CD$4&gt;Resumen_Sprints!$E$6,CD$4&lt;=Resumen_Sprints!$E$6+Resumen_Sprints!$D$6),INDEX('Sprint N°1'!$C$6:$I$6,CD$4-Resumen_Sprints!$E$6),0)</f>
        <v>0</v>
      </c>
      <c r="CE6" s="36">
        <f>IF(AND(CE$4&gt;Resumen_Sprints!$E$6,CE$4&lt;=Resumen_Sprints!$E$6+Resumen_Sprints!$D$6),INDEX('Sprint N°1'!$C$6:$I$6,CE$4-Resumen_Sprints!$E$6),0)</f>
        <v>0</v>
      </c>
      <c r="CF6" s="36">
        <f>IF(AND(CF$4&gt;Resumen_Sprints!$E$6,CF$4&lt;=Resumen_Sprints!$E$6+Resumen_Sprints!$D$6),INDEX('Sprint N°1'!$C$6:$I$6,CF$4-Resumen_Sprints!$E$6),0)</f>
        <v>0</v>
      </c>
      <c r="CG6" s="36">
        <f>IF(AND(CG$4&gt;Resumen_Sprints!$E$6,CG$4&lt;=Resumen_Sprints!$E$6+Resumen_Sprints!$D$6),INDEX('Sprint N°1'!$C$6:$I$6,CG$4-Resumen_Sprints!$E$6),0)</f>
        <v>0</v>
      </c>
      <c r="CH6" s="36">
        <f>IF(AND(CH$4&gt;Resumen_Sprints!$E$6,CH$4&lt;=Resumen_Sprints!$E$6+Resumen_Sprints!$D$6),INDEX('Sprint N°1'!$C$6:$I$6,CH$4-Resumen_Sprints!$E$6),0)</f>
        <v>0</v>
      </c>
      <c r="CI6" s="36">
        <f>IF(AND(CI$4&gt;Resumen_Sprints!$E$6,CI$4&lt;=Resumen_Sprints!$E$6+Resumen_Sprints!$D$6),INDEX('Sprint N°1'!$C$6:$I$6,CI$4-Resumen_Sprints!$E$6),0)</f>
        <v>0</v>
      </c>
      <c r="CJ6" s="36">
        <f>IF(AND(CJ$4&gt;Resumen_Sprints!$E$6,CJ$4&lt;=Resumen_Sprints!$E$6+Resumen_Sprints!$D$6),INDEX('Sprint N°1'!$C$6:$I$6,CJ$4-Resumen_Sprints!$E$6),0)</f>
        <v>0</v>
      </c>
      <c r="CK6" s="36">
        <f>IF(AND(CK$4&gt;Resumen_Sprints!$E$6,CK$4&lt;=Resumen_Sprints!$E$6+Resumen_Sprints!$D$6),INDEX('Sprint N°1'!$C$6:$I$6,CK$4-Resumen_Sprints!$E$6),0)</f>
        <v>0</v>
      </c>
      <c r="CL6" s="36">
        <f>IF(AND(CL$4&gt;Resumen_Sprints!$E$6,CL$4&lt;=Resumen_Sprints!$E$6+Resumen_Sprints!$D$6),INDEX('Sprint N°1'!$C$6:$I$6,CL$4-Resumen_Sprints!$E$6),0)</f>
        <v>0</v>
      </c>
      <c r="CM6" s="36">
        <f>IF(AND(CM$4&gt;Resumen_Sprints!$E$6,CM$4&lt;=Resumen_Sprints!$E$6+Resumen_Sprints!$D$6),INDEX('Sprint N°1'!$C$6:$I$6,CM$4-Resumen_Sprints!$E$6),0)</f>
        <v>0</v>
      </c>
      <c r="CN6" s="36">
        <f>IF(AND(CN$4&gt;Resumen_Sprints!$E$6,CN$4&lt;=Resumen_Sprints!$E$6+Resumen_Sprints!$D$6),INDEX('Sprint N°1'!$C$6:$I$6,CN$4-Resumen_Sprints!$E$6),0)</f>
        <v>0</v>
      </c>
      <c r="CO6" s="36">
        <f>IF(AND(CO$4&gt;Resumen_Sprints!$E$6,CO$4&lt;=Resumen_Sprints!$E$6+Resumen_Sprints!$D$6),INDEX('Sprint N°1'!$C$6:$I$6,CO$4-Resumen_Sprints!$E$6),0)</f>
        <v>0</v>
      </c>
      <c r="CP6" s="36">
        <f>IF(AND(CP$4&gt;Resumen_Sprints!$E$6,CP$4&lt;=Resumen_Sprints!$E$6+Resumen_Sprints!$D$6),INDEX('Sprint N°1'!$C$6:$I$6,CP$4-Resumen_Sprints!$E$6),0)</f>
        <v>0</v>
      </c>
      <c r="CQ6" s="36">
        <f>IF(AND(CQ$4&gt;Resumen_Sprints!$E$6,CQ$4&lt;=Resumen_Sprints!$E$6+Resumen_Sprints!$D$6),INDEX('Sprint N°1'!$C$6:$I$6,CQ$4-Resumen_Sprints!$E$6),0)</f>
        <v>0</v>
      </c>
      <c r="CR6" s="36">
        <f>IF(AND(CR$4&gt;Resumen_Sprints!$E$6,CR$4&lt;=Resumen_Sprints!$E$6+Resumen_Sprints!$D$6),INDEX('Sprint N°1'!$C$6:$I$6,CR$4-Resumen_Sprints!$E$6),0)</f>
        <v>0</v>
      </c>
      <c r="CS6" s="36">
        <f>IF(AND(CS$4&gt;Resumen_Sprints!$E$6,CS$4&lt;=Resumen_Sprints!$E$6+Resumen_Sprints!$D$6),INDEX('Sprint N°1'!$C$6:$I$6,CS$4-Resumen_Sprints!$E$6),0)</f>
        <v>0</v>
      </c>
      <c r="CT6" s="36">
        <f>IF(AND(CT$4&gt;Resumen_Sprints!$E$6,CT$4&lt;=Resumen_Sprints!$E$6+Resumen_Sprints!$D$6),INDEX('Sprint N°1'!$C$6:$I$6,CT$4-Resumen_Sprints!$E$6),0)</f>
        <v>0</v>
      </c>
      <c r="CU6" s="28">
        <f>SUM(C6:CT6)</f>
        <v>8</v>
      </c>
    </row>
    <row r="7" spans="1:99" x14ac:dyDescent="0.3">
      <c r="A7" s="22" t="str">
        <f>'Sprint N°1'!A7</f>
        <v>Documento de Visión y Roles Scrum</v>
      </c>
      <c r="B7" s="22">
        <f>'Sprint N°1'!B7</f>
        <v>8</v>
      </c>
      <c r="C7" s="36">
        <f>IF(AND(C$4&gt;Resumen_Sprints!$E$6,C$4&lt;=Resumen_Sprints!$E$6+Resumen_Sprints!$D$6),INDEX('Sprint N°1'!$C$7:$I$7,C$4-Resumen_Sprints!$E$6),0)</f>
        <v>0</v>
      </c>
      <c r="D7" s="36">
        <f>IF(AND(D$4&gt;Resumen_Sprints!$E$6,D$4&lt;=Resumen_Sprints!$E$6+Resumen_Sprints!$D$6),INDEX('Sprint N°1'!$C$7:$I$7,D$4-Resumen_Sprints!$E$6),0)</f>
        <v>5</v>
      </c>
      <c r="E7" s="36">
        <f>IF(AND(E$4&gt;Resumen_Sprints!$E$6,E$4&lt;=Resumen_Sprints!$E$6+Resumen_Sprints!$D$6),INDEX('Sprint N°1'!$C$7:$I$7,E$4-Resumen_Sprints!$E$6),0)</f>
        <v>3</v>
      </c>
      <c r="F7" s="36">
        <f>IF(AND(F$4&gt;Resumen_Sprints!$E$6,F$4&lt;=Resumen_Sprints!$E$6+Resumen_Sprints!$D$6),INDEX('Sprint N°1'!$C$7:$I$7,F$4-Resumen_Sprints!$E$6),0)</f>
        <v>0</v>
      </c>
      <c r="G7" s="36">
        <f>IF(AND(G$4&gt;Resumen_Sprints!$E$6,G$4&lt;=Resumen_Sprints!$E$6+Resumen_Sprints!$D$6),INDEX('Sprint N°1'!$C$7:$I$7,G$4-Resumen_Sprints!$E$6),0)</f>
        <v>0</v>
      </c>
      <c r="H7" s="36">
        <f>IF(AND(H$4&gt;Resumen_Sprints!$E$6,H$4&lt;=Resumen_Sprints!$E$6+Resumen_Sprints!$D$6),INDEX('Sprint N°1'!$C$7:$I$7,H$4-Resumen_Sprints!$E$6),0)</f>
        <v>0</v>
      </c>
      <c r="I7" s="36">
        <f>IF(AND(I$4&gt;Resumen_Sprints!$E$6,I$4&lt;=Resumen_Sprints!$E$6+Resumen_Sprints!$D$6),INDEX('Sprint N°1'!$C$7:$I$7,I$4-Resumen_Sprints!$E$6),0)</f>
        <v>0</v>
      </c>
      <c r="J7" s="36">
        <f>IF(AND(J$4&gt;Resumen_Sprints!$E$6,J$4&lt;=Resumen_Sprints!$E$6+Resumen_Sprints!$D$6),INDEX('Sprint N°1'!$C$7:$I$7,J$4-Resumen_Sprints!$E$6),0)</f>
        <v>0</v>
      </c>
      <c r="K7" s="36">
        <f>IF(AND(K$4&gt;Resumen_Sprints!$E$6,K$4&lt;=Resumen_Sprints!$E$6+Resumen_Sprints!$D$6),INDEX('Sprint N°1'!$C$7:$I$7,K$4-Resumen_Sprints!$E$6),0)</f>
        <v>0</v>
      </c>
      <c r="L7" s="36">
        <f>IF(AND(L$4&gt;Resumen_Sprints!$E$6,L$4&lt;=Resumen_Sprints!$E$6+Resumen_Sprints!$D$6),INDEX('Sprint N°1'!$C$7:$I$7,L$4-Resumen_Sprints!$E$6),0)</f>
        <v>0</v>
      </c>
      <c r="M7" s="36">
        <f>IF(AND(M$4&gt;Resumen_Sprints!$E$6,M$4&lt;=Resumen_Sprints!$E$6+Resumen_Sprints!$D$6),INDEX('Sprint N°1'!$C$7:$I$7,M$4-Resumen_Sprints!$E$6),0)</f>
        <v>0</v>
      </c>
      <c r="N7" s="36">
        <f>IF(AND(N$4&gt;Resumen_Sprints!$E$6,N$4&lt;=Resumen_Sprints!$E$6+Resumen_Sprints!$D$6),INDEX('Sprint N°1'!$C$7:$I$7,N$4-Resumen_Sprints!$E$6),0)</f>
        <v>0</v>
      </c>
      <c r="O7" s="36">
        <f>IF(AND(O$4&gt;Resumen_Sprints!$E$6,O$4&lt;=Resumen_Sprints!$E$6+Resumen_Sprints!$D$6),INDEX('Sprint N°1'!$C$7:$I$7,O$4-Resumen_Sprints!$E$6),0)</f>
        <v>0</v>
      </c>
      <c r="P7" s="36">
        <f>IF(AND(P$4&gt;Resumen_Sprints!$E$6,P$4&lt;=Resumen_Sprints!$E$6+Resumen_Sprints!$D$6),INDEX('Sprint N°1'!$C$7:$I$7,P$4-Resumen_Sprints!$E$6),0)</f>
        <v>0</v>
      </c>
      <c r="Q7" s="36">
        <f>IF(AND(Q$4&gt;Resumen_Sprints!$E$6,Q$4&lt;=Resumen_Sprints!$E$6+Resumen_Sprints!$D$6),INDEX('Sprint N°1'!$C$7:$I$7,Q$4-Resumen_Sprints!$E$6),0)</f>
        <v>0</v>
      </c>
      <c r="R7" s="36">
        <f>IF(AND(R$4&gt;Resumen_Sprints!$E$6,R$4&lt;=Resumen_Sprints!$E$6+Resumen_Sprints!$D$6),INDEX('Sprint N°1'!$C$7:$I$7,R$4-Resumen_Sprints!$E$6),0)</f>
        <v>0</v>
      </c>
      <c r="S7" s="36">
        <f>IF(AND(S$4&gt;Resumen_Sprints!$E$6,S$4&lt;=Resumen_Sprints!$E$6+Resumen_Sprints!$D$6),INDEX('Sprint N°1'!$C$7:$I$7,S$4-Resumen_Sprints!$E$6),0)</f>
        <v>0</v>
      </c>
      <c r="T7" s="36">
        <f>IF(AND(T$4&gt;Resumen_Sprints!$E$6,T$4&lt;=Resumen_Sprints!$E$6+Resumen_Sprints!$D$6),INDEX('Sprint N°1'!$C$7:$I$7,T$4-Resumen_Sprints!$E$6),0)</f>
        <v>0</v>
      </c>
      <c r="U7" s="36">
        <f>IF(AND(U$4&gt;Resumen_Sprints!$E$6,U$4&lt;=Resumen_Sprints!$E$6+Resumen_Sprints!$D$6),INDEX('Sprint N°1'!$C$7:$I$7,U$4-Resumen_Sprints!$E$6),0)</f>
        <v>0</v>
      </c>
      <c r="V7" s="36">
        <f>IF(AND(V$4&gt;Resumen_Sprints!$E$6,V$4&lt;=Resumen_Sprints!$E$6+Resumen_Sprints!$D$6),INDEX('Sprint N°1'!$C$7:$I$7,V$4-Resumen_Sprints!$E$6),0)</f>
        <v>0</v>
      </c>
      <c r="W7" s="36">
        <f>IF(AND(W$4&gt;Resumen_Sprints!$E$6,W$4&lt;=Resumen_Sprints!$E$6+Resumen_Sprints!$D$6),INDEX('Sprint N°1'!$C$7:$I$7,W$4-Resumen_Sprints!$E$6),0)</f>
        <v>0</v>
      </c>
      <c r="X7" s="36">
        <f>IF(AND(X$4&gt;Resumen_Sprints!$E$6,X$4&lt;=Resumen_Sprints!$E$6+Resumen_Sprints!$D$6),INDEX('Sprint N°1'!$C$7:$I$7,X$4-Resumen_Sprints!$E$6),0)</f>
        <v>0</v>
      </c>
      <c r="Y7" s="36">
        <f>IF(AND(Y$4&gt;Resumen_Sprints!$E$6,Y$4&lt;=Resumen_Sprints!$E$6+Resumen_Sprints!$D$6),INDEX('Sprint N°1'!$C$7:$I$7,Y$4-Resumen_Sprints!$E$6),0)</f>
        <v>0</v>
      </c>
      <c r="Z7" s="36">
        <f>IF(AND(Z$4&gt;Resumen_Sprints!$E$6,Z$4&lt;=Resumen_Sprints!$E$6+Resumen_Sprints!$D$6),INDEX('Sprint N°1'!$C$7:$I$7,Z$4-Resumen_Sprints!$E$6),0)</f>
        <v>0</v>
      </c>
      <c r="AA7" s="36">
        <f>IF(AND(AA$4&gt;Resumen_Sprints!$E$6,AA$4&lt;=Resumen_Sprints!$E$6+Resumen_Sprints!$D$6),INDEX('Sprint N°1'!$C$7:$I$7,AA$4-Resumen_Sprints!$E$6),0)</f>
        <v>0</v>
      </c>
      <c r="AB7" s="36">
        <f>IF(AND(AB$4&gt;Resumen_Sprints!$E$6,AB$4&lt;=Resumen_Sprints!$E$6+Resumen_Sprints!$D$6),INDEX('Sprint N°1'!$C$7:$I$7,AB$4-Resumen_Sprints!$E$6),0)</f>
        <v>0</v>
      </c>
      <c r="AC7" s="36">
        <f>IF(AND(AC$4&gt;Resumen_Sprints!$E$6,AC$4&lt;=Resumen_Sprints!$E$6+Resumen_Sprints!$D$6),INDEX('Sprint N°1'!$C$7:$I$7,AC$4-Resumen_Sprints!$E$6),0)</f>
        <v>0</v>
      </c>
      <c r="AD7" s="36">
        <f>IF(AND(AD$4&gt;Resumen_Sprints!$E$6,AD$4&lt;=Resumen_Sprints!$E$6+Resumen_Sprints!$D$6),INDEX('Sprint N°1'!$C$7:$I$7,AD$4-Resumen_Sprints!$E$6),0)</f>
        <v>0</v>
      </c>
      <c r="AE7" s="36">
        <f>IF(AND(AE$4&gt;Resumen_Sprints!$E$6,AE$4&lt;=Resumen_Sprints!$E$6+Resumen_Sprints!$D$6),INDEX('Sprint N°1'!$C$7:$I$7,AE$4-Resumen_Sprints!$E$6),0)</f>
        <v>0</v>
      </c>
      <c r="AF7" s="36">
        <f>IF(AND(AF$4&gt;Resumen_Sprints!$E$6,AF$4&lt;=Resumen_Sprints!$E$6+Resumen_Sprints!$D$6),INDEX('Sprint N°1'!$C$7:$I$7,AF$4-Resumen_Sprints!$E$6),0)</f>
        <v>0</v>
      </c>
      <c r="AG7" s="36">
        <f>IF(AND(AG$4&gt;Resumen_Sprints!$E$6,AG$4&lt;=Resumen_Sprints!$E$6+Resumen_Sprints!$D$6),INDEX('Sprint N°1'!$C$7:$I$7,AG$4-Resumen_Sprints!$E$6),0)</f>
        <v>0</v>
      </c>
      <c r="AH7" s="36">
        <f>IF(AND(AH$4&gt;Resumen_Sprints!$E$6,AH$4&lt;=Resumen_Sprints!$E$6+Resumen_Sprints!$D$6),INDEX('Sprint N°1'!$C$7:$I$7,AH$4-Resumen_Sprints!$E$6),0)</f>
        <v>0</v>
      </c>
      <c r="AI7" s="36">
        <f>IF(AND(AI$4&gt;Resumen_Sprints!$E$6,AI$4&lt;=Resumen_Sprints!$E$6+Resumen_Sprints!$D$6),INDEX('Sprint N°1'!$C$7:$I$7,AI$4-Resumen_Sprints!$E$6),0)</f>
        <v>0</v>
      </c>
      <c r="AJ7" s="36">
        <f>IF(AND(AJ$4&gt;Resumen_Sprints!$E$6,AJ$4&lt;=Resumen_Sprints!$E$6+Resumen_Sprints!$D$6),INDEX('Sprint N°1'!$C$7:$I$7,AJ$4-Resumen_Sprints!$E$6),0)</f>
        <v>0</v>
      </c>
      <c r="AK7" s="36">
        <f>IF(AND(AK$4&gt;Resumen_Sprints!$E$6,AK$4&lt;=Resumen_Sprints!$E$6+Resumen_Sprints!$D$6),INDEX('Sprint N°1'!$C$7:$I$7,AK$4-Resumen_Sprints!$E$6),0)</f>
        <v>0</v>
      </c>
      <c r="AL7" s="36">
        <f>IF(AND(AL$4&gt;Resumen_Sprints!$E$6,AL$4&lt;=Resumen_Sprints!$E$6+Resumen_Sprints!$D$6),INDEX('Sprint N°1'!$C$7:$I$7,AL$4-Resumen_Sprints!$E$6),0)</f>
        <v>0</v>
      </c>
      <c r="AM7" s="36">
        <f>IF(AND(AM$4&gt;Resumen_Sprints!$E$6,AM$4&lt;=Resumen_Sprints!$E$6+Resumen_Sprints!$D$6),INDEX('Sprint N°1'!$C$7:$I$7,AM$4-Resumen_Sprints!$E$6),0)</f>
        <v>0</v>
      </c>
      <c r="AN7" s="36">
        <f>IF(AND(AN$4&gt;Resumen_Sprints!$E$6,AN$4&lt;=Resumen_Sprints!$E$6+Resumen_Sprints!$D$6),INDEX('Sprint N°1'!$C$7:$I$7,AN$4-Resumen_Sprints!$E$6),0)</f>
        <v>0</v>
      </c>
      <c r="AO7" s="36">
        <f>IF(AND(AO$4&gt;Resumen_Sprints!$E$6,AO$4&lt;=Resumen_Sprints!$E$6+Resumen_Sprints!$D$6),INDEX('Sprint N°1'!$C$7:$I$7,AO$4-Resumen_Sprints!$E$6),0)</f>
        <v>0</v>
      </c>
      <c r="AP7" s="36">
        <f>IF(AND(AP$4&gt;Resumen_Sprints!$E$6,AP$4&lt;=Resumen_Sprints!$E$6+Resumen_Sprints!$D$6),INDEX('Sprint N°1'!$C$7:$I$7,AP$4-Resumen_Sprints!$E$6),0)</f>
        <v>0</v>
      </c>
      <c r="AQ7" s="36">
        <f>IF(AND(AQ$4&gt;Resumen_Sprints!$E$6,AQ$4&lt;=Resumen_Sprints!$E$6+Resumen_Sprints!$D$6),INDEX('Sprint N°1'!$C$7:$I$7,AQ$4-Resumen_Sprints!$E$6),0)</f>
        <v>0</v>
      </c>
      <c r="AR7" s="36">
        <f>IF(AND(AR$4&gt;Resumen_Sprints!$E$6,AR$4&lt;=Resumen_Sprints!$E$6+Resumen_Sprints!$D$6),INDEX('Sprint N°1'!$C$7:$I$7,AR$4-Resumen_Sprints!$E$6),0)</f>
        <v>0</v>
      </c>
      <c r="AS7" s="36">
        <f>IF(AND(AS$4&gt;Resumen_Sprints!$E$6,AS$4&lt;=Resumen_Sprints!$E$6+Resumen_Sprints!$D$6),INDEX('Sprint N°1'!$C$7:$I$7,AS$4-Resumen_Sprints!$E$6),0)</f>
        <v>0</v>
      </c>
      <c r="AT7" s="36">
        <f>IF(AND(AT$4&gt;Resumen_Sprints!$E$6,AT$4&lt;=Resumen_Sprints!$E$6+Resumen_Sprints!$D$6),INDEX('Sprint N°1'!$C$7:$I$7,AT$4-Resumen_Sprints!$E$6),0)</f>
        <v>0</v>
      </c>
      <c r="AU7" s="36">
        <f>IF(AND(AU$4&gt;Resumen_Sprints!$E$6,AU$4&lt;=Resumen_Sprints!$E$6+Resumen_Sprints!$D$6),INDEX('Sprint N°1'!$C$7:$I$7,AU$4-Resumen_Sprints!$E$6),0)</f>
        <v>0</v>
      </c>
      <c r="AV7" s="36">
        <f>IF(AND(AV$4&gt;Resumen_Sprints!$E$6,AV$4&lt;=Resumen_Sprints!$E$6+Resumen_Sprints!$D$6),INDEX('Sprint N°1'!$C$7:$I$7,AV$4-Resumen_Sprints!$E$6),0)</f>
        <v>0</v>
      </c>
      <c r="AW7" s="36">
        <f>IF(AND(AW$4&gt;Resumen_Sprints!$E$6,AW$4&lt;=Resumen_Sprints!$E$6+Resumen_Sprints!$D$6),INDEX('Sprint N°1'!$C$7:$I$7,AW$4-Resumen_Sprints!$E$6),0)</f>
        <v>0</v>
      </c>
      <c r="AX7" s="36">
        <f>IF(AND(AX$4&gt;Resumen_Sprints!$E$6,AX$4&lt;=Resumen_Sprints!$E$6+Resumen_Sprints!$D$6),INDEX('Sprint N°1'!$C$7:$I$7,AX$4-Resumen_Sprints!$E$6),0)</f>
        <v>0</v>
      </c>
      <c r="AY7" s="36">
        <f>IF(AND(AY$4&gt;Resumen_Sprints!$E$6,AY$4&lt;=Resumen_Sprints!$E$6+Resumen_Sprints!$D$6),INDEX('Sprint N°1'!$C$7:$I$7,AY$4-Resumen_Sprints!$E$6),0)</f>
        <v>0</v>
      </c>
      <c r="AZ7" s="36">
        <f>IF(AND(AZ$4&gt;Resumen_Sprints!$E$6,AZ$4&lt;=Resumen_Sprints!$E$6+Resumen_Sprints!$D$6),INDEX('Sprint N°1'!$C$7:$I$7,AZ$4-Resumen_Sprints!$E$6),0)</f>
        <v>0</v>
      </c>
      <c r="BA7" s="36">
        <f>IF(AND(BA$4&gt;Resumen_Sprints!$E$6,BA$4&lt;=Resumen_Sprints!$E$6+Resumen_Sprints!$D$6),INDEX('Sprint N°1'!$C$7:$I$7,BA$4-Resumen_Sprints!$E$6),0)</f>
        <v>0</v>
      </c>
      <c r="BB7" s="36">
        <f>IF(AND(BB$4&gt;Resumen_Sprints!$E$6,BB$4&lt;=Resumen_Sprints!$E$6+Resumen_Sprints!$D$6),INDEX('Sprint N°1'!$C$7:$I$7,BB$4-Resumen_Sprints!$E$6),0)</f>
        <v>0</v>
      </c>
      <c r="BC7" s="36">
        <f>IF(AND(BC$4&gt;Resumen_Sprints!$E$6,BC$4&lt;=Resumen_Sprints!$E$6+Resumen_Sprints!$D$6),INDEX('Sprint N°1'!$C$7:$I$7,BC$4-Resumen_Sprints!$E$6),0)</f>
        <v>0</v>
      </c>
      <c r="BD7" s="36">
        <f>IF(AND(BD$4&gt;Resumen_Sprints!$E$6,BD$4&lt;=Resumen_Sprints!$E$6+Resumen_Sprints!$D$6),INDEX('Sprint N°1'!$C$7:$I$7,BD$4-Resumen_Sprints!$E$6),0)</f>
        <v>0</v>
      </c>
      <c r="BE7" s="36">
        <f>IF(AND(BE$4&gt;Resumen_Sprints!$E$6,BE$4&lt;=Resumen_Sprints!$E$6+Resumen_Sprints!$D$6),INDEX('Sprint N°1'!$C$7:$I$7,BE$4-Resumen_Sprints!$E$6),0)</f>
        <v>0</v>
      </c>
      <c r="BF7" s="36">
        <f>IF(AND(BF$4&gt;Resumen_Sprints!$E$6,BF$4&lt;=Resumen_Sprints!$E$6+Resumen_Sprints!$D$6),INDEX('Sprint N°1'!$C$7:$I$7,BF$4-Resumen_Sprints!$E$6),0)</f>
        <v>0</v>
      </c>
      <c r="BG7" s="36">
        <f>IF(AND(BG$4&gt;Resumen_Sprints!$E$6,BG$4&lt;=Resumen_Sprints!$E$6+Resumen_Sprints!$D$6),INDEX('Sprint N°1'!$C$7:$I$7,BG$4-Resumen_Sprints!$E$6),0)</f>
        <v>0</v>
      </c>
      <c r="BH7" s="36">
        <f>IF(AND(BH$4&gt;Resumen_Sprints!$E$6,BH$4&lt;=Resumen_Sprints!$E$6+Resumen_Sprints!$D$6),INDEX('Sprint N°1'!$C$7:$I$7,BH$4-Resumen_Sprints!$E$6),0)</f>
        <v>0</v>
      </c>
      <c r="BI7" s="36">
        <f>IF(AND(BI$4&gt;Resumen_Sprints!$E$6,BI$4&lt;=Resumen_Sprints!$E$6+Resumen_Sprints!$D$6),INDEX('Sprint N°1'!$C$7:$I$7,BI$4-Resumen_Sprints!$E$6),0)</f>
        <v>0</v>
      </c>
      <c r="BJ7" s="36">
        <f>IF(AND(BJ$4&gt;Resumen_Sprints!$E$6,BJ$4&lt;=Resumen_Sprints!$E$6+Resumen_Sprints!$D$6),INDEX('Sprint N°1'!$C$7:$I$7,BJ$4-Resumen_Sprints!$E$6),0)</f>
        <v>0</v>
      </c>
      <c r="BK7" s="36">
        <f>IF(AND(BK$4&gt;Resumen_Sprints!$E$6,BK$4&lt;=Resumen_Sprints!$E$6+Resumen_Sprints!$D$6),INDEX('Sprint N°1'!$C$7:$I$7,BK$4-Resumen_Sprints!$E$6),0)</f>
        <v>0</v>
      </c>
      <c r="BL7" s="36">
        <f>IF(AND(BL$4&gt;Resumen_Sprints!$E$6,BL$4&lt;=Resumen_Sprints!$E$6+Resumen_Sprints!$D$6),INDEX('Sprint N°1'!$C$7:$I$7,BL$4-Resumen_Sprints!$E$6),0)</f>
        <v>0</v>
      </c>
      <c r="BM7" s="36">
        <f>IF(AND(BM$4&gt;Resumen_Sprints!$E$6,BM$4&lt;=Resumen_Sprints!$E$6+Resumen_Sprints!$D$6),INDEX('Sprint N°1'!$C$7:$I$7,BM$4-Resumen_Sprints!$E$6),0)</f>
        <v>0</v>
      </c>
      <c r="BN7" s="36">
        <f>IF(AND(BN$4&gt;Resumen_Sprints!$E$6,BN$4&lt;=Resumen_Sprints!$E$6+Resumen_Sprints!$D$6),INDEX('Sprint N°1'!$C$7:$I$7,BN$4-Resumen_Sprints!$E$6),0)</f>
        <v>0</v>
      </c>
      <c r="BO7" s="36">
        <f>IF(AND(BO$4&gt;Resumen_Sprints!$E$6,BO$4&lt;=Resumen_Sprints!$E$6+Resumen_Sprints!$D$6),INDEX('Sprint N°1'!$C$7:$I$7,BO$4-Resumen_Sprints!$E$6),0)</f>
        <v>0</v>
      </c>
      <c r="BP7" s="36">
        <f>IF(AND(BP$4&gt;Resumen_Sprints!$E$6,BP$4&lt;=Resumen_Sprints!$E$6+Resumen_Sprints!$D$6),INDEX('Sprint N°1'!$C$7:$I$7,BP$4-Resumen_Sprints!$E$6),0)</f>
        <v>0</v>
      </c>
      <c r="BQ7" s="36">
        <f>IF(AND(BQ$4&gt;Resumen_Sprints!$E$6,BQ$4&lt;=Resumen_Sprints!$E$6+Resumen_Sprints!$D$6),INDEX('Sprint N°1'!$C$7:$I$7,BQ$4-Resumen_Sprints!$E$6),0)</f>
        <v>0</v>
      </c>
      <c r="BR7" s="36">
        <f>IF(AND(BR$4&gt;Resumen_Sprints!$E$6,BR$4&lt;=Resumen_Sprints!$E$6+Resumen_Sprints!$D$6),INDEX('Sprint N°1'!$C$7:$I$7,BR$4-Resumen_Sprints!$E$6),0)</f>
        <v>0</v>
      </c>
      <c r="BS7" s="36">
        <f>IF(AND(BS$4&gt;Resumen_Sprints!$E$6,BS$4&lt;=Resumen_Sprints!$E$6+Resumen_Sprints!$D$6),INDEX('Sprint N°1'!$C$7:$I$7,BS$4-Resumen_Sprints!$E$6),0)</f>
        <v>0</v>
      </c>
      <c r="BT7" s="36">
        <f>IF(AND(BT$4&gt;Resumen_Sprints!$E$6,BT$4&lt;=Resumen_Sprints!$E$6+Resumen_Sprints!$D$6),INDEX('Sprint N°1'!$C$7:$I$7,BT$4-Resumen_Sprints!$E$6),0)</f>
        <v>0</v>
      </c>
      <c r="BU7" s="36">
        <f>IF(AND(BU$4&gt;Resumen_Sprints!$E$6,BU$4&lt;=Resumen_Sprints!$E$6+Resumen_Sprints!$D$6),INDEX('Sprint N°1'!$C$7:$I$7,BU$4-Resumen_Sprints!$E$6),0)</f>
        <v>0</v>
      </c>
      <c r="BV7" s="36">
        <f>IF(AND(BV$4&gt;Resumen_Sprints!$E$6,BV$4&lt;=Resumen_Sprints!$E$6+Resumen_Sprints!$D$6),INDEX('Sprint N°1'!$C$7:$I$7,BV$4-Resumen_Sprints!$E$6),0)</f>
        <v>0</v>
      </c>
      <c r="BW7" s="36">
        <f>IF(AND(BW$4&gt;Resumen_Sprints!$E$6,BW$4&lt;=Resumen_Sprints!$E$6+Resumen_Sprints!$D$6),INDEX('Sprint N°1'!$C$7:$I$7,BW$4-Resumen_Sprints!$E$6),0)</f>
        <v>0</v>
      </c>
      <c r="BX7" s="36">
        <f>IF(AND(BX$4&gt;Resumen_Sprints!$E$6,BX$4&lt;=Resumen_Sprints!$E$6+Resumen_Sprints!$D$6),INDEX('Sprint N°1'!$C$7:$I$7,BX$4-Resumen_Sprints!$E$6),0)</f>
        <v>0</v>
      </c>
      <c r="BY7" s="36">
        <f>IF(AND(BY$4&gt;Resumen_Sprints!$E$6,BY$4&lt;=Resumen_Sprints!$E$6+Resumen_Sprints!$D$6),INDEX('Sprint N°1'!$C$7:$I$7,BY$4-Resumen_Sprints!$E$6),0)</f>
        <v>0</v>
      </c>
      <c r="BZ7" s="36">
        <f>IF(AND(BZ$4&gt;Resumen_Sprints!$E$6,BZ$4&lt;=Resumen_Sprints!$E$6+Resumen_Sprints!$D$6),INDEX('Sprint N°1'!$C$7:$I$7,BZ$4-Resumen_Sprints!$E$6),0)</f>
        <v>0</v>
      </c>
      <c r="CA7" s="36">
        <f>IF(AND(CA$4&gt;Resumen_Sprints!$E$6,CA$4&lt;=Resumen_Sprints!$E$6+Resumen_Sprints!$D$6),INDEX('Sprint N°1'!$C$7:$I$7,CA$4-Resumen_Sprints!$E$6),0)</f>
        <v>0</v>
      </c>
      <c r="CB7" s="36">
        <f>IF(AND(CB$4&gt;Resumen_Sprints!$E$6,CB$4&lt;=Resumen_Sprints!$E$6+Resumen_Sprints!$D$6),INDEX('Sprint N°1'!$C$7:$I$7,CB$4-Resumen_Sprints!$E$6),0)</f>
        <v>0</v>
      </c>
      <c r="CC7" s="36">
        <f>IF(AND(CC$4&gt;Resumen_Sprints!$E$6,CC$4&lt;=Resumen_Sprints!$E$6+Resumen_Sprints!$D$6),INDEX('Sprint N°1'!$C$7:$I$7,CC$4-Resumen_Sprints!$E$6),0)</f>
        <v>0</v>
      </c>
      <c r="CD7" s="36">
        <f>IF(AND(CD$4&gt;Resumen_Sprints!$E$6,CD$4&lt;=Resumen_Sprints!$E$6+Resumen_Sprints!$D$6),INDEX('Sprint N°1'!$C$7:$I$7,CD$4-Resumen_Sprints!$E$6),0)</f>
        <v>0</v>
      </c>
      <c r="CE7" s="36">
        <f>IF(AND(CE$4&gt;Resumen_Sprints!$E$6,CE$4&lt;=Resumen_Sprints!$E$6+Resumen_Sprints!$D$6),INDEX('Sprint N°1'!$C$7:$I$7,CE$4-Resumen_Sprints!$E$6),0)</f>
        <v>0</v>
      </c>
      <c r="CF7" s="36">
        <f>IF(AND(CF$4&gt;Resumen_Sprints!$E$6,CF$4&lt;=Resumen_Sprints!$E$6+Resumen_Sprints!$D$6),INDEX('Sprint N°1'!$C$7:$I$7,CF$4-Resumen_Sprints!$E$6),0)</f>
        <v>0</v>
      </c>
      <c r="CG7" s="36">
        <f>IF(AND(CG$4&gt;Resumen_Sprints!$E$6,CG$4&lt;=Resumen_Sprints!$E$6+Resumen_Sprints!$D$6),INDEX('Sprint N°1'!$C$7:$I$7,CG$4-Resumen_Sprints!$E$6),0)</f>
        <v>0</v>
      </c>
      <c r="CH7" s="36">
        <f>IF(AND(CH$4&gt;Resumen_Sprints!$E$6,CH$4&lt;=Resumen_Sprints!$E$6+Resumen_Sprints!$D$6),INDEX('Sprint N°1'!$C$7:$I$7,CH$4-Resumen_Sprints!$E$6),0)</f>
        <v>0</v>
      </c>
      <c r="CI7" s="36">
        <f>IF(AND(CI$4&gt;Resumen_Sprints!$E$6,CI$4&lt;=Resumen_Sprints!$E$6+Resumen_Sprints!$D$6),INDEX('Sprint N°1'!$C$7:$I$7,CI$4-Resumen_Sprints!$E$6),0)</f>
        <v>0</v>
      </c>
      <c r="CJ7" s="36">
        <f>IF(AND(CJ$4&gt;Resumen_Sprints!$E$6,CJ$4&lt;=Resumen_Sprints!$E$6+Resumen_Sprints!$D$6),INDEX('Sprint N°1'!$C$7:$I$7,CJ$4-Resumen_Sprints!$E$6),0)</f>
        <v>0</v>
      </c>
      <c r="CK7" s="36">
        <f>IF(AND(CK$4&gt;Resumen_Sprints!$E$6,CK$4&lt;=Resumen_Sprints!$E$6+Resumen_Sprints!$D$6),INDEX('Sprint N°1'!$C$7:$I$7,CK$4-Resumen_Sprints!$E$6),0)</f>
        <v>0</v>
      </c>
      <c r="CL7" s="36">
        <f>IF(AND(CL$4&gt;Resumen_Sprints!$E$6,CL$4&lt;=Resumen_Sprints!$E$6+Resumen_Sprints!$D$6),INDEX('Sprint N°1'!$C$7:$I$7,CL$4-Resumen_Sprints!$E$6),0)</f>
        <v>0</v>
      </c>
      <c r="CM7" s="36">
        <f>IF(AND(CM$4&gt;Resumen_Sprints!$E$6,CM$4&lt;=Resumen_Sprints!$E$6+Resumen_Sprints!$D$6),INDEX('Sprint N°1'!$C$7:$I$7,CM$4-Resumen_Sprints!$E$6),0)</f>
        <v>0</v>
      </c>
      <c r="CN7" s="36">
        <f>IF(AND(CN$4&gt;Resumen_Sprints!$E$6,CN$4&lt;=Resumen_Sprints!$E$6+Resumen_Sprints!$D$6),INDEX('Sprint N°1'!$C$7:$I$7,CN$4-Resumen_Sprints!$E$6),0)</f>
        <v>0</v>
      </c>
      <c r="CO7" s="36">
        <f>IF(AND(CO$4&gt;Resumen_Sprints!$E$6,CO$4&lt;=Resumen_Sprints!$E$6+Resumen_Sprints!$D$6),INDEX('Sprint N°1'!$C$7:$I$7,CO$4-Resumen_Sprints!$E$6),0)</f>
        <v>0</v>
      </c>
      <c r="CP7" s="36">
        <f>IF(AND(CP$4&gt;Resumen_Sprints!$E$6,CP$4&lt;=Resumen_Sprints!$E$6+Resumen_Sprints!$D$6),INDEX('Sprint N°1'!$C$7:$I$7,CP$4-Resumen_Sprints!$E$6),0)</f>
        <v>0</v>
      </c>
      <c r="CQ7" s="36">
        <f>IF(AND(CQ$4&gt;Resumen_Sprints!$E$6,CQ$4&lt;=Resumen_Sprints!$E$6+Resumen_Sprints!$D$6),INDEX('Sprint N°1'!$C$7:$I$7,CQ$4-Resumen_Sprints!$E$6),0)</f>
        <v>0</v>
      </c>
      <c r="CR7" s="36">
        <f>IF(AND(CR$4&gt;Resumen_Sprints!$E$6,CR$4&lt;=Resumen_Sprints!$E$6+Resumen_Sprints!$D$6),INDEX('Sprint N°1'!$C$7:$I$7,CR$4-Resumen_Sprints!$E$6),0)</f>
        <v>0</v>
      </c>
      <c r="CS7" s="36">
        <f>IF(AND(CS$4&gt;Resumen_Sprints!$E$6,CS$4&lt;=Resumen_Sprints!$E$6+Resumen_Sprints!$D$6),INDEX('Sprint N°1'!$C$7:$I$7,CS$4-Resumen_Sprints!$E$6),0)</f>
        <v>0</v>
      </c>
      <c r="CT7" s="36">
        <f>IF(AND(CT$4&gt;Resumen_Sprints!$E$6,CT$4&lt;=Resumen_Sprints!$E$6+Resumen_Sprints!$D$6),INDEX('Sprint N°1'!$C$7:$I$7,CT$4-Resumen_Sprints!$E$6),0)</f>
        <v>0</v>
      </c>
      <c r="CU7" s="28">
        <f>SUM(C7:CT7)</f>
        <v>8</v>
      </c>
    </row>
    <row r="8" spans="1:99" x14ac:dyDescent="0.3">
      <c r="A8" s="22" t="str">
        <f>'Sprint N°1'!A8</f>
        <v>Aprobación de la Visión con Patrocinadores</v>
      </c>
      <c r="B8" s="22">
        <f>'Sprint N°1'!B8</f>
        <v>1</v>
      </c>
      <c r="C8" s="36">
        <f>IF(AND(C$4&gt;Resumen_Sprints!$E$6,C$4&lt;=Resumen_Sprints!$E$6+Resumen_Sprints!$D$6),INDEX('Sprint N°1'!$C$8:$I$8,C$4-Resumen_Sprints!$E$6),0)</f>
        <v>0</v>
      </c>
      <c r="D8" s="36">
        <f>IF(AND(D$4&gt;Resumen_Sprints!$E$6,D$4&lt;=Resumen_Sprints!$E$6+Resumen_Sprints!$D$6),INDEX('Sprint N°1'!$C$8:$I$8,D$4-Resumen_Sprints!$E$6),0)</f>
        <v>0</v>
      </c>
      <c r="E8" s="36">
        <f>IF(AND(E$4&gt;Resumen_Sprints!$E$6,E$4&lt;=Resumen_Sprints!$E$6+Resumen_Sprints!$D$6),INDEX('Sprint N°1'!$C$8:$I$8,E$4-Resumen_Sprints!$E$6),0)</f>
        <v>3</v>
      </c>
      <c r="F8" s="36">
        <f>IF(AND(F$4&gt;Resumen_Sprints!$E$6,F$4&lt;=Resumen_Sprints!$E$6+Resumen_Sprints!$D$6),INDEX('Sprint N°1'!$C$8:$I$8,F$4-Resumen_Sprints!$E$6),0)</f>
        <v>0</v>
      </c>
      <c r="G8" s="36">
        <f>IF(AND(G$4&gt;Resumen_Sprints!$E$6,G$4&lt;=Resumen_Sprints!$E$6+Resumen_Sprints!$D$6),INDEX('Sprint N°1'!$C$8:$I$8,G$4-Resumen_Sprints!$E$6),0)</f>
        <v>0</v>
      </c>
      <c r="H8" s="36">
        <f>IF(AND(H$4&gt;Resumen_Sprints!$E$6,H$4&lt;=Resumen_Sprints!$E$6+Resumen_Sprints!$D$6),INDEX('Sprint N°1'!$C$8:$I$8,H$4-Resumen_Sprints!$E$6),0)</f>
        <v>0</v>
      </c>
      <c r="I8" s="36">
        <f>IF(AND(I$4&gt;Resumen_Sprints!$E$6,I$4&lt;=Resumen_Sprints!$E$6+Resumen_Sprints!$D$6),INDEX('Sprint N°1'!$C$8:$I$8,I$4-Resumen_Sprints!$E$6),0)</f>
        <v>0</v>
      </c>
      <c r="J8" s="36">
        <f>IF(AND(J$4&gt;Resumen_Sprints!$E$6,J$4&lt;=Resumen_Sprints!$E$6+Resumen_Sprints!$D$6),INDEX('Sprint N°1'!$C$8:$I$8,J$4-Resumen_Sprints!$E$6),0)</f>
        <v>0</v>
      </c>
      <c r="K8" s="36">
        <f>IF(AND(K$4&gt;Resumen_Sprints!$E$6,K$4&lt;=Resumen_Sprints!$E$6+Resumen_Sprints!$D$6),INDEX('Sprint N°1'!$C$8:$I$8,K$4-Resumen_Sprints!$E$6),0)</f>
        <v>0</v>
      </c>
      <c r="L8" s="36">
        <f>IF(AND(L$4&gt;Resumen_Sprints!$E$6,L$4&lt;=Resumen_Sprints!$E$6+Resumen_Sprints!$D$6),INDEX('Sprint N°1'!$C$8:$I$8,L$4-Resumen_Sprints!$E$6),0)</f>
        <v>0</v>
      </c>
      <c r="M8" s="36">
        <f>IF(AND(M$4&gt;Resumen_Sprints!$E$6,M$4&lt;=Resumen_Sprints!$E$6+Resumen_Sprints!$D$6),INDEX('Sprint N°1'!$C$8:$I$8,M$4-Resumen_Sprints!$E$6),0)</f>
        <v>0</v>
      </c>
      <c r="N8" s="36">
        <f>IF(AND(N$4&gt;Resumen_Sprints!$E$6,N$4&lt;=Resumen_Sprints!$E$6+Resumen_Sprints!$D$6),INDEX('Sprint N°1'!$C$8:$I$8,N$4-Resumen_Sprints!$E$6),0)</f>
        <v>0</v>
      </c>
      <c r="O8" s="36">
        <f>IF(AND(O$4&gt;Resumen_Sprints!$E$6,O$4&lt;=Resumen_Sprints!$E$6+Resumen_Sprints!$D$6),INDEX('Sprint N°1'!$C$8:$I$8,O$4-Resumen_Sprints!$E$6),0)</f>
        <v>0</v>
      </c>
      <c r="P8" s="36">
        <f>IF(AND(P$4&gt;Resumen_Sprints!$E$6,P$4&lt;=Resumen_Sprints!$E$6+Resumen_Sprints!$D$6),INDEX('Sprint N°1'!$C$8:$I$8,P$4-Resumen_Sprints!$E$6),0)</f>
        <v>0</v>
      </c>
      <c r="Q8" s="36">
        <f>IF(AND(Q$4&gt;Resumen_Sprints!$E$6,Q$4&lt;=Resumen_Sprints!$E$6+Resumen_Sprints!$D$6),INDEX('Sprint N°1'!$C$8:$I$8,Q$4-Resumen_Sprints!$E$6),0)</f>
        <v>0</v>
      </c>
      <c r="R8" s="36">
        <f>IF(AND(R$4&gt;Resumen_Sprints!$E$6,R$4&lt;=Resumen_Sprints!$E$6+Resumen_Sprints!$D$6),INDEX('Sprint N°1'!$C$8:$I$8,R$4-Resumen_Sprints!$E$6),0)</f>
        <v>0</v>
      </c>
      <c r="S8" s="36">
        <f>IF(AND(S$4&gt;Resumen_Sprints!$E$6,S$4&lt;=Resumen_Sprints!$E$6+Resumen_Sprints!$D$6),INDEX('Sprint N°1'!$C$8:$I$8,S$4-Resumen_Sprints!$E$6),0)</f>
        <v>0</v>
      </c>
      <c r="T8" s="36">
        <f>IF(AND(T$4&gt;Resumen_Sprints!$E$6,T$4&lt;=Resumen_Sprints!$E$6+Resumen_Sprints!$D$6),INDEX('Sprint N°1'!$C$8:$I$8,T$4-Resumen_Sprints!$E$6),0)</f>
        <v>0</v>
      </c>
      <c r="U8" s="36">
        <f>IF(AND(U$4&gt;Resumen_Sprints!$E$6,U$4&lt;=Resumen_Sprints!$E$6+Resumen_Sprints!$D$6),INDEX('Sprint N°1'!$C$8:$I$8,U$4-Resumen_Sprints!$E$6),0)</f>
        <v>0</v>
      </c>
      <c r="V8" s="36">
        <f>IF(AND(V$4&gt;Resumen_Sprints!$E$6,V$4&lt;=Resumen_Sprints!$E$6+Resumen_Sprints!$D$6),INDEX('Sprint N°1'!$C$8:$I$8,V$4-Resumen_Sprints!$E$6),0)</f>
        <v>0</v>
      </c>
      <c r="W8" s="36">
        <f>IF(AND(W$4&gt;Resumen_Sprints!$E$6,W$4&lt;=Resumen_Sprints!$E$6+Resumen_Sprints!$D$6),INDEX('Sprint N°1'!$C$8:$I$8,W$4-Resumen_Sprints!$E$6),0)</f>
        <v>0</v>
      </c>
      <c r="X8" s="36">
        <f>IF(AND(X$4&gt;Resumen_Sprints!$E$6,X$4&lt;=Resumen_Sprints!$E$6+Resumen_Sprints!$D$6),INDEX('Sprint N°1'!$C$8:$I$8,X$4-Resumen_Sprints!$E$6),0)</f>
        <v>0</v>
      </c>
      <c r="Y8" s="36">
        <f>IF(AND(Y$4&gt;Resumen_Sprints!$E$6,Y$4&lt;=Resumen_Sprints!$E$6+Resumen_Sprints!$D$6),INDEX('Sprint N°1'!$C$8:$I$8,Y$4-Resumen_Sprints!$E$6),0)</f>
        <v>0</v>
      </c>
      <c r="Z8" s="36">
        <f>IF(AND(Z$4&gt;Resumen_Sprints!$E$6,Z$4&lt;=Resumen_Sprints!$E$6+Resumen_Sprints!$D$6),INDEX('Sprint N°1'!$C$8:$I$8,Z$4-Resumen_Sprints!$E$6),0)</f>
        <v>0</v>
      </c>
      <c r="AA8" s="36">
        <f>IF(AND(AA$4&gt;Resumen_Sprints!$E$6,AA$4&lt;=Resumen_Sprints!$E$6+Resumen_Sprints!$D$6),INDEX('Sprint N°1'!$C$8:$I$8,AA$4-Resumen_Sprints!$E$6),0)</f>
        <v>0</v>
      </c>
      <c r="AB8" s="36">
        <f>IF(AND(AB$4&gt;Resumen_Sprints!$E$6,AB$4&lt;=Resumen_Sprints!$E$6+Resumen_Sprints!$D$6),INDEX('Sprint N°1'!$C$8:$I$8,AB$4-Resumen_Sprints!$E$6),0)</f>
        <v>0</v>
      </c>
      <c r="AC8" s="36">
        <f>IF(AND(AC$4&gt;Resumen_Sprints!$E$6,AC$4&lt;=Resumen_Sprints!$E$6+Resumen_Sprints!$D$6),INDEX('Sprint N°1'!$C$8:$I$8,AC$4-Resumen_Sprints!$E$6),0)</f>
        <v>0</v>
      </c>
      <c r="AD8" s="36">
        <f>IF(AND(AD$4&gt;Resumen_Sprints!$E$6,AD$4&lt;=Resumen_Sprints!$E$6+Resumen_Sprints!$D$6),INDEX('Sprint N°1'!$C$8:$I$8,AD$4-Resumen_Sprints!$E$6),0)</f>
        <v>0</v>
      </c>
      <c r="AE8" s="36">
        <f>IF(AND(AE$4&gt;Resumen_Sprints!$E$6,AE$4&lt;=Resumen_Sprints!$E$6+Resumen_Sprints!$D$6),INDEX('Sprint N°1'!$C$8:$I$8,AE$4-Resumen_Sprints!$E$6),0)</f>
        <v>0</v>
      </c>
      <c r="AF8" s="36">
        <f>IF(AND(AF$4&gt;Resumen_Sprints!$E$6,AF$4&lt;=Resumen_Sprints!$E$6+Resumen_Sprints!$D$6),INDEX('Sprint N°1'!$C$8:$I$8,AF$4-Resumen_Sprints!$E$6),0)</f>
        <v>0</v>
      </c>
      <c r="AG8" s="36">
        <f>IF(AND(AG$4&gt;Resumen_Sprints!$E$6,AG$4&lt;=Resumen_Sprints!$E$6+Resumen_Sprints!$D$6),INDEX('Sprint N°1'!$C$8:$I$8,AG$4-Resumen_Sprints!$E$6),0)</f>
        <v>0</v>
      </c>
      <c r="AH8" s="36">
        <f>IF(AND(AH$4&gt;Resumen_Sprints!$E$6,AH$4&lt;=Resumen_Sprints!$E$6+Resumen_Sprints!$D$6),INDEX('Sprint N°1'!$C$8:$I$8,AH$4-Resumen_Sprints!$E$6),0)</f>
        <v>0</v>
      </c>
      <c r="AI8" s="36">
        <f>IF(AND(AI$4&gt;Resumen_Sprints!$E$6,AI$4&lt;=Resumen_Sprints!$E$6+Resumen_Sprints!$D$6),INDEX('Sprint N°1'!$C$8:$I$8,AI$4-Resumen_Sprints!$E$6),0)</f>
        <v>0</v>
      </c>
      <c r="AJ8" s="36">
        <f>IF(AND(AJ$4&gt;Resumen_Sprints!$E$6,AJ$4&lt;=Resumen_Sprints!$E$6+Resumen_Sprints!$D$6),INDEX('Sprint N°1'!$C$8:$I$8,AJ$4-Resumen_Sprints!$E$6),0)</f>
        <v>0</v>
      </c>
      <c r="AK8" s="36">
        <f>IF(AND(AK$4&gt;Resumen_Sprints!$E$6,AK$4&lt;=Resumen_Sprints!$E$6+Resumen_Sprints!$D$6),INDEX('Sprint N°1'!$C$8:$I$8,AK$4-Resumen_Sprints!$E$6),0)</f>
        <v>0</v>
      </c>
      <c r="AL8" s="36">
        <f>IF(AND(AL$4&gt;Resumen_Sprints!$E$6,AL$4&lt;=Resumen_Sprints!$E$6+Resumen_Sprints!$D$6),INDEX('Sprint N°1'!$C$8:$I$8,AL$4-Resumen_Sprints!$E$6),0)</f>
        <v>0</v>
      </c>
      <c r="AM8" s="36">
        <f>IF(AND(AM$4&gt;Resumen_Sprints!$E$6,AM$4&lt;=Resumen_Sprints!$E$6+Resumen_Sprints!$D$6),INDEX('Sprint N°1'!$C$8:$I$8,AM$4-Resumen_Sprints!$E$6),0)</f>
        <v>0</v>
      </c>
      <c r="AN8" s="36">
        <f>IF(AND(AN$4&gt;Resumen_Sprints!$E$6,AN$4&lt;=Resumen_Sprints!$E$6+Resumen_Sprints!$D$6),INDEX('Sprint N°1'!$C$8:$I$8,AN$4-Resumen_Sprints!$E$6),0)</f>
        <v>0</v>
      </c>
      <c r="AO8" s="36">
        <f>IF(AND(AO$4&gt;Resumen_Sprints!$E$6,AO$4&lt;=Resumen_Sprints!$E$6+Resumen_Sprints!$D$6),INDEX('Sprint N°1'!$C$8:$I$8,AO$4-Resumen_Sprints!$E$6),0)</f>
        <v>0</v>
      </c>
      <c r="AP8" s="36">
        <f>IF(AND(AP$4&gt;Resumen_Sprints!$E$6,AP$4&lt;=Resumen_Sprints!$E$6+Resumen_Sprints!$D$6),INDEX('Sprint N°1'!$C$8:$I$8,AP$4-Resumen_Sprints!$E$6),0)</f>
        <v>0</v>
      </c>
      <c r="AQ8" s="36">
        <f>IF(AND(AQ$4&gt;Resumen_Sprints!$E$6,AQ$4&lt;=Resumen_Sprints!$E$6+Resumen_Sprints!$D$6),INDEX('Sprint N°1'!$C$8:$I$8,AQ$4-Resumen_Sprints!$E$6),0)</f>
        <v>0</v>
      </c>
      <c r="AR8" s="36">
        <f>IF(AND(AR$4&gt;Resumen_Sprints!$E$6,AR$4&lt;=Resumen_Sprints!$E$6+Resumen_Sprints!$D$6),INDEX('Sprint N°1'!$C$8:$I$8,AR$4-Resumen_Sprints!$E$6),0)</f>
        <v>0</v>
      </c>
      <c r="AS8" s="36">
        <f>IF(AND(AS$4&gt;Resumen_Sprints!$E$6,AS$4&lt;=Resumen_Sprints!$E$6+Resumen_Sprints!$D$6),INDEX('Sprint N°1'!$C$8:$I$8,AS$4-Resumen_Sprints!$E$6),0)</f>
        <v>0</v>
      </c>
      <c r="AT8" s="36">
        <f>IF(AND(AT$4&gt;Resumen_Sprints!$E$6,AT$4&lt;=Resumen_Sprints!$E$6+Resumen_Sprints!$D$6),INDEX('Sprint N°1'!$C$8:$I$8,AT$4-Resumen_Sprints!$E$6),0)</f>
        <v>0</v>
      </c>
      <c r="AU8" s="36">
        <f>IF(AND(AU$4&gt;Resumen_Sprints!$E$6,AU$4&lt;=Resumen_Sprints!$E$6+Resumen_Sprints!$D$6),INDEX('Sprint N°1'!$C$8:$I$8,AU$4-Resumen_Sprints!$E$6),0)</f>
        <v>0</v>
      </c>
      <c r="AV8" s="36">
        <f>IF(AND(AV$4&gt;Resumen_Sprints!$E$6,AV$4&lt;=Resumen_Sprints!$E$6+Resumen_Sprints!$D$6),INDEX('Sprint N°1'!$C$8:$I$8,AV$4-Resumen_Sprints!$E$6),0)</f>
        <v>0</v>
      </c>
      <c r="AW8" s="36">
        <f>IF(AND(AW$4&gt;Resumen_Sprints!$E$6,AW$4&lt;=Resumen_Sprints!$E$6+Resumen_Sprints!$D$6),INDEX('Sprint N°1'!$C$8:$I$8,AW$4-Resumen_Sprints!$E$6),0)</f>
        <v>0</v>
      </c>
      <c r="AX8" s="36">
        <f>IF(AND(AX$4&gt;Resumen_Sprints!$E$6,AX$4&lt;=Resumen_Sprints!$E$6+Resumen_Sprints!$D$6),INDEX('Sprint N°1'!$C$8:$I$8,AX$4-Resumen_Sprints!$E$6),0)</f>
        <v>0</v>
      </c>
      <c r="AY8" s="36">
        <f>IF(AND(AY$4&gt;Resumen_Sprints!$E$6,AY$4&lt;=Resumen_Sprints!$E$6+Resumen_Sprints!$D$6),INDEX('Sprint N°1'!$C$8:$I$8,AY$4-Resumen_Sprints!$E$6),0)</f>
        <v>0</v>
      </c>
      <c r="AZ8" s="36">
        <f>IF(AND(AZ$4&gt;Resumen_Sprints!$E$6,AZ$4&lt;=Resumen_Sprints!$E$6+Resumen_Sprints!$D$6),INDEX('Sprint N°1'!$C$8:$I$8,AZ$4-Resumen_Sprints!$E$6),0)</f>
        <v>0</v>
      </c>
      <c r="BA8" s="36">
        <f>IF(AND(BA$4&gt;Resumen_Sprints!$E$6,BA$4&lt;=Resumen_Sprints!$E$6+Resumen_Sprints!$D$6),INDEX('Sprint N°1'!$C$8:$I$8,BA$4-Resumen_Sprints!$E$6),0)</f>
        <v>0</v>
      </c>
      <c r="BB8" s="36">
        <f>IF(AND(BB$4&gt;Resumen_Sprints!$E$6,BB$4&lt;=Resumen_Sprints!$E$6+Resumen_Sprints!$D$6),INDEX('Sprint N°1'!$C$8:$I$8,BB$4-Resumen_Sprints!$E$6),0)</f>
        <v>0</v>
      </c>
      <c r="BC8" s="36">
        <f>IF(AND(BC$4&gt;Resumen_Sprints!$E$6,BC$4&lt;=Resumen_Sprints!$E$6+Resumen_Sprints!$D$6),INDEX('Sprint N°1'!$C$8:$I$8,BC$4-Resumen_Sprints!$E$6),0)</f>
        <v>0</v>
      </c>
      <c r="BD8" s="36">
        <f>IF(AND(BD$4&gt;Resumen_Sprints!$E$6,BD$4&lt;=Resumen_Sprints!$E$6+Resumen_Sprints!$D$6),INDEX('Sprint N°1'!$C$8:$I$8,BD$4-Resumen_Sprints!$E$6),0)</f>
        <v>0</v>
      </c>
      <c r="BE8" s="36">
        <f>IF(AND(BE$4&gt;Resumen_Sprints!$E$6,BE$4&lt;=Resumen_Sprints!$E$6+Resumen_Sprints!$D$6),INDEX('Sprint N°1'!$C$8:$I$8,BE$4-Resumen_Sprints!$E$6),0)</f>
        <v>0</v>
      </c>
      <c r="BF8" s="36">
        <f>IF(AND(BF$4&gt;Resumen_Sprints!$E$6,BF$4&lt;=Resumen_Sprints!$E$6+Resumen_Sprints!$D$6),INDEX('Sprint N°1'!$C$8:$I$8,BF$4-Resumen_Sprints!$E$6),0)</f>
        <v>0</v>
      </c>
      <c r="BG8" s="36">
        <f>IF(AND(BG$4&gt;Resumen_Sprints!$E$6,BG$4&lt;=Resumen_Sprints!$E$6+Resumen_Sprints!$D$6),INDEX('Sprint N°1'!$C$8:$I$8,BG$4-Resumen_Sprints!$E$6),0)</f>
        <v>0</v>
      </c>
      <c r="BH8" s="36">
        <f>IF(AND(BH$4&gt;Resumen_Sprints!$E$6,BH$4&lt;=Resumen_Sprints!$E$6+Resumen_Sprints!$D$6),INDEX('Sprint N°1'!$C$8:$I$8,BH$4-Resumen_Sprints!$E$6),0)</f>
        <v>0</v>
      </c>
      <c r="BI8" s="36">
        <f>IF(AND(BI$4&gt;Resumen_Sprints!$E$6,BI$4&lt;=Resumen_Sprints!$E$6+Resumen_Sprints!$D$6),INDEX('Sprint N°1'!$C$8:$I$8,BI$4-Resumen_Sprints!$E$6),0)</f>
        <v>0</v>
      </c>
      <c r="BJ8" s="36">
        <f>IF(AND(BJ$4&gt;Resumen_Sprints!$E$6,BJ$4&lt;=Resumen_Sprints!$E$6+Resumen_Sprints!$D$6),INDEX('Sprint N°1'!$C$8:$I$8,BJ$4-Resumen_Sprints!$E$6),0)</f>
        <v>0</v>
      </c>
      <c r="BK8" s="36">
        <f>IF(AND(BK$4&gt;Resumen_Sprints!$E$6,BK$4&lt;=Resumen_Sprints!$E$6+Resumen_Sprints!$D$6),INDEX('Sprint N°1'!$C$8:$I$8,BK$4-Resumen_Sprints!$E$6),0)</f>
        <v>0</v>
      </c>
      <c r="BL8" s="36">
        <f>IF(AND(BL$4&gt;Resumen_Sprints!$E$6,BL$4&lt;=Resumen_Sprints!$E$6+Resumen_Sprints!$D$6),INDEX('Sprint N°1'!$C$8:$I$8,BL$4-Resumen_Sprints!$E$6),0)</f>
        <v>0</v>
      </c>
      <c r="BM8" s="36">
        <f>IF(AND(BM$4&gt;Resumen_Sprints!$E$6,BM$4&lt;=Resumen_Sprints!$E$6+Resumen_Sprints!$D$6),INDEX('Sprint N°1'!$C$8:$I$8,BM$4-Resumen_Sprints!$E$6),0)</f>
        <v>0</v>
      </c>
      <c r="BN8" s="36">
        <f>IF(AND(BN$4&gt;Resumen_Sprints!$E$6,BN$4&lt;=Resumen_Sprints!$E$6+Resumen_Sprints!$D$6),INDEX('Sprint N°1'!$C$8:$I$8,BN$4-Resumen_Sprints!$E$6),0)</f>
        <v>0</v>
      </c>
      <c r="BO8" s="36">
        <f>IF(AND(BO$4&gt;Resumen_Sprints!$E$6,BO$4&lt;=Resumen_Sprints!$E$6+Resumen_Sprints!$D$6),INDEX('Sprint N°1'!$C$8:$I$8,BO$4-Resumen_Sprints!$E$6),0)</f>
        <v>0</v>
      </c>
      <c r="BP8" s="36">
        <f>IF(AND(BP$4&gt;Resumen_Sprints!$E$6,BP$4&lt;=Resumen_Sprints!$E$6+Resumen_Sprints!$D$6),INDEX('Sprint N°1'!$C$8:$I$8,BP$4-Resumen_Sprints!$E$6),0)</f>
        <v>0</v>
      </c>
      <c r="BQ8" s="36">
        <f>IF(AND(BQ$4&gt;Resumen_Sprints!$E$6,BQ$4&lt;=Resumen_Sprints!$E$6+Resumen_Sprints!$D$6),INDEX('Sprint N°1'!$C$8:$I$8,BQ$4-Resumen_Sprints!$E$6),0)</f>
        <v>0</v>
      </c>
      <c r="BR8" s="36">
        <f>IF(AND(BR$4&gt;Resumen_Sprints!$E$6,BR$4&lt;=Resumen_Sprints!$E$6+Resumen_Sprints!$D$6),INDEX('Sprint N°1'!$C$8:$I$8,BR$4-Resumen_Sprints!$E$6),0)</f>
        <v>0</v>
      </c>
      <c r="BS8" s="36">
        <f>IF(AND(BS$4&gt;Resumen_Sprints!$E$6,BS$4&lt;=Resumen_Sprints!$E$6+Resumen_Sprints!$D$6),INDEX('Sprint N°1'!$C$8:$I$8,BS$4-Resumen_Sprints!$E$6),0)</f>
        <v>0</v>
      </c>
      <c r="BT8" s="36">
        <f>IF(AND(BT$4&gt;Resumen_Sprints!$E$6,BT$4&lt;=Resumen_Sprints!$E$6+Resumen_Sprints!$D$6),INDEX('Sprint N°1'!$C$8:$I$8,BT$4-Resumen_Sprints!$E$6),0)</f>
        <v>0</v>
      </c>
      <c r="BU8" s="36">
        <f>IF(AND(BU$4&gt;Resumen_Sprints!$E$6,BU$4&lt;=Resumen_Sprints!$E$6+Resumen_Sprints!$D$6),INDEX('Sprint N°1'!$C$8:$I$8,BU$4-Resumen_Sprints!$E$6),0)</f>
        <v>0</v>
      </c>
      <c r="BV8" s="36">
        <f>IF(AND(BV$4&gt;Resumen_Sprints!$E$6,BV$4&lt;=Resumen_Sprints!$E$6+Resumen_Sprints!$D$6),INDEX('Sprint N°1'!$C$8:$I$8,BV$4-Resumen_Sprints!$E$6),0)</f>
        <v>0</v>
      </c>
      <c r="BW8" s="36">
        <f>IF(AND(BW$4&gt;Resumen_Sprints!$E$6,BW$4&lt;=Resumen_Sprints!$E$6+Resumen_Sprints!$D$6),INDEX('Sprint N°1'!$C$8:$I$8,BW$4-Resumen_Sprints!$E$6),0)</f>
        <v>0</v>
      </c>
      <c r="BX8" s="36">
        <f>IF(AND(BX$4&gt;Resumen_Sprints!$E$6,BX$4&lt;=Resumen_Sprints!$E$6+Resumen_Sprints!$D$6),INDEX('Sprint N°1'!$C$8:$I$8,BX$4-Resumen_Sprints!$E$6),0)</f>
        <v>0</v>
      </c>
      <c r="BY8" s="36">
        <f>IF(AND(BY$4&gt;Resumen_Sprints!$E$6,BY$4&lt;=Resumen_Sprints!$E$6+Resumen_Sprints!$D$6),INDEX('Sprint N°1'!$C$8:$I$8,BY$4-Resumen_Sprints!$E$6),0)</f>
        <v>0</v>
      </c>
      <c r="BZ8" s="36">
        <f>IF(AND(BZ$4&gt;Resumen_Sprints!$E$6,BZ$4&lt;=Resumen_Sprints!$E$6+Resumen_Sprints!$D$6),INDEX('Sprint N°1'!$C$8:$I$8,BZ$4-Resumen_Sprints!$E$6),0)</f>
        <v>0</v>
      </c>
      <c r="CA8" s="36">
        <f>IF(AND(CA$4&gt;Resumen_Sprints!$E$6,CA$4&lt;=Resumen_Sprints!$E$6+Resumen_Sprints!$D$6),INDEX('Sprint N°1'!$C$8:$I$8,CA$4-Resumen_Sprints!$E$6),0)</f>
        <v>0</v>
      </c>
      <c r="CB8" s="36">
        <f>IF(AND(CB$4&gt;Resumen_Sprints!$E$6,CB$4&lt;=Resumen_Sprints!$E$6+Resumen_Sprints!$D$6),INDEX('Sprint N°1'!$C$8:$I$8,CB$4-Resumen_Sprints!$E$6),0)</f>
        <v>0</v>
      </c>
      <c r="CC8" s="36">
        <f>IF(AND(CC$4&gt;Resumen_Sprints!$E$6,CC$4&lt;=Resumen_Sprints!$E$6+Resumen_Sprints!$D$6),INDEX('Sprint N°1'!$C$8:$I$8,CC$4-Resumen_Sprints!$E$6),0)</f>
        <v>0</v>
      </c>
      <c r="CD8" s="36">
        <f>IF(AND(CD$4&gt;Resumen_Sprints!$E$6,CD$4&lt;=Resumen_Sprints!$E$6+Resumen_Sprints!$D$6),INDEX('Sprint N°1'!$C$8:$I$8,CD$4-Resumen_Sprints!$E$6),0)</f>
        <v>0</v>
      </c>
      <c r="CE8" s="36">
        <f>IF(AND(CE$4&gt;Resumen_Sprints!$E$6,CE$4&lt;=Resumen_Sprints!$E$6+Resumen_Sprints!$D$6),INDEX('Sprint N°1'!$C$8:$I$8,CE$4-Resumen_Sprints!$E$6),0)</f>
        <v>0</v>
      </c>
      <c r="CF8" s="36">
        <f>IF(AND(CF$4&gt;Resumen_Sprints!$E$6,CF$4&lt;=Resumen_Sprints!$E$6+Resumen_Sprints!$D$6),INDEX('Sprint N°1'!$C$8:$I$8,CF$4-Resumen_Sprints!$E$6),0)</f>
        <v>0</v>
      </c>
      <c r="CG8" s="36">
        <f>IF(AND(CG$4&gt;Resumen_Sprints!$E$6,CG$4&lt;=Resumen_Sprints!$E$6+Resumen_Sprints!$D$6),INDEX('Sprint N°1'!$C$8:$I$8,CG$4-Resumen_Sprints!$E$6),0)</f>
        <v>0</v>
      </c>
      <c r="CH8" s="36">
        <f>IF(AND(CH$4&gt;Resumen_Sprints!$E$6,CH$4&lt;=Resumen_Sprints!$E$6+Resumen_Sprints!$D$6),INDEX('Sprint N°1'!$C$8:$I$8,CH$4-Resumen_Sprints!$E$6),0)</f>
        <v>0</v>
      </c>
      <c r="CI8" s="36">
        <f>IF(AND(CI$4&gt;Resumen_Sprints!$E$6,CI$4&lt;=Resumen_Sprints!$E$6+Resumen_Sprints!$D$6),INDEX('Sprint N°1'!$C$8:$I$8,CI$4-Resumen_Sprints!$E$6),0)</f>
        <v>0</v>
      </c>
      <c r="CJ8" s="36">
        <f>IF(AND(CJ$4&gt;Resumen_Sprints!$E$6,CJ$4&lt;=Resumen_Sprints!$E$6+Resumen_Sprints!$D$6),INDEX('Sprint N°1'!$C$8:$I$8,CJ$4-Resumen_Sprints!$E$6),0)</f>
        <v>0</v>
      </c>
      <c r="CK8" s="36">
        <f>IF(AND(CK$4&gt;Resumen_Sprints!$E$6,CK$4&lt;=Resumen_Sprints!$E$6+Resumen_Sprints!$D$6),INDEX('Sprint N°1'!$C$8:$I$8,CK$4-Resumen_Sprints!$E$6),0)</f>
        <v>0</v>
      </c>
      <c r="CL8" s="36">
        <f>IF(AND(CL$4&gt;Resumen_Sprints!$E$6,CL$4&lt;=Resumen_Sprints!$E$6+Resumen_Sprints!$D$6),INDEX('Sprint N°1'!$C$8:$I$8,CL$4-Resumen_Sprints!$E$6),0)</f>
        <v>0</v>
      </c>
      <c r="CM8" s="36">
        <f>IF(AND(CM$4&gt;Resumen_Sprints!$E$6,CM$4&lt;=Resumen_Sprints!$E$6+Resumen_Sprints!$D$6),INDEX('Sprint N°1'!$C$8:$I$8,CM$4-Resumen_Sprints!$E$6),0)</f>
        <v>0</v>
      </c>
      <c r="CN8" s="36">
        <f>IF(AND(CN$4&gt;Resumen_Sprints!$E$6,CN$4&lt;=Resumen_Sprints!$E$6+Resumen_Sprints!$D$6),INDEX('Sprint N°1'!$C$8:$I$8,CN$4-Resumen_Sprints!$E$6),0)</f>
        <v>0</v>
      </c>
      <c r="CO8" s="36">
        <f>IF(AND(CO$4&gt;Resumen_Sprints!$E$6,CO$4&lt;=Resumen_Sprints!$E$6+Resumen_Sprints!$D$6),INDEX('Sprint N°1'!$C$8:$I$8,CO$4-Resumen_Sprints!$E$6),0)</f>
        <v>0</v>
      </c>
      <c r="CP8" s="36">
        <f>IF(AND(CP$4&gt;Resumen_Sprints!$E$6,CP$4&lt;=Resumen_Sprints!$E$6+Resumen_Sprints!$D$6),INDEX('Sprint N°1'!$C$8:$I$8,CP$4-Resumen_Sprints!$E$6),0)</f>
        <v>0</v>
      </c>
      <c r="CQ8" s="36">
        <f>IF(AND(CQ$4&gt;Resumen_Sprints!$E$6,CQ$4&lt;=Resumen_Sprints!$E$6+Resumen_Sprints!$D$6),INDEX('Sprint N°1'!$C$8:$I$8,CQ$4-Resumen_Sprints!$E$6),0)</f>
        <v>0</v>
      </c>
      <c r="CR8" s="36">
        <f>IF(AND(CR$4&gt;Resumen_Sprints!$E$6,CR$4&lt;=Resumen_Sprints!$E$6+Resumen_Sprints!$D$6),INDEX('Sprint N°1'!$C$8:$I$8,CR$4-Resumen_Sprints!$E$6),0)</f>
        <v>0</v>
      </c>
      <c r="CS8" s="36">
        <f>IF(AND(CS$4&gt;Resumen_Sprints!$E$6,CS$4&lt;=Resumen_Sprints!$E$6+Resumen_Sprints!$D$6),INDEX('Sprint N°1'!$C$8:$I$8,CS$4-Resumen_Sprints!$E$6),0)</f>
        <v>0</v>
      </c>
      <c r="CT8" s="36">
        <f>IF(AND(CT$4&gt;Resumen_Sprints!$E$6,CT$4&lt;=Resumen_Sprints!$E$6+Resumen_Sprints!$D$6),INDEX('Sprint N°1'!$C$8:$I$8,CT$4-Resumen_Sprints!$E$6),0)</f>
        <v>0</v>
      </c>
      <c r="CU8" s="10">
        <f>SUM(C8:CT8)</f>
        <v>3</v>
      </c>
    </row>
    <row r="9" spans="1:99" x14ac:dyDescent="0.3">
      <c r="A9" s="22" t="str">
        <f>'Sprint N°1'!A9</f>
        <v>Definición de Requerimientos Generales (Product Backlog inicial)</v>
      </c>
      <c r="B9" s="22">
        <f>'Sprint N°1'!B9</f>
        <v>18</v>
      </c>
      <c r="C9" s="36">
        <f>IF(AND(C$4&gt;Resumen_Sprints!$E$6,C$4&lt;=Resumen_Sprints!$E$6+Resumen_Sprints!$D$6),INDEX('Sprint N°1'!$C$9:$I$9,C$4-Resumen_Sprints!$E$6),0)</f>
        <v>0</v>
      </c>
      <c r="D9" s="36">
        <f>IF(AND(D$4&gt;Resumen_Sprints!$E$6,D$4&lt;=Resumen_Sprints!$E$6+Resumen_Sprints!$D$6),INDEX('Sprint N°1'!$C$9:$I$9,D$4-Resumen_Sprints!$E$6),0)</f>
        <v>0</v>
      </c>
      <c r="E9" s="36">
        <f>IF(AND(E$4&gt;Resumen_Sprints!$E$6,E$4&lt;=Resumen_Sprints!$E$6+Resumen_Sprints!$D$6),INDEX('Sprint N°1'!$C$9:$I$9,E$4-Resumen_Sprints!$E$6),0)</f>
        <v>1</v>
      </c>
      <c r="F9" s="36">
        <f>IF(AND(F$4&gt;Resumen_Sprints!$E$6,F$4&lt;=Resumen_Sprints!$E$6+Resumen_Sprints!$D$6),INDEX('Sprint N°1'!$C$9:$I$9,F$4-Resumen_Sprints!$E$6),0)</f>
        <v>5</v>
      </c>
      <c r="G9" s="36">
        <f>IF(AND(G$4&gt;Resumen_Sprints!$E$6,G$4&lt;=Resumen_Sprints!$E$6+Resumen_Sprints!$D$6),INDEX('Sprint N°1'!$C$9:$I$9,G$4-Resumen_Sprints!$E$6),0)</f>
        <v>7</v>
      </c>
      <c r="H9" s="36">
        <f>IF(AND(H$4&gt;Resumen_Sprints!$E$6,H$4&lt;=Resumen_Sprints!$E$6+Resumen_Sprints!$D$6),INDEX('Sprint N°1'!$C$9:$I$9,H$4-Resumen_Sprints!$E$6),0)</f>
        <v>3</v>
      </c>
      <c r="I9" s="36">
        <f>IF(AND(I$4&gt;Resumen_Sprints!$E$6,I$4&lt;=Resumen_Sprints!$E$6+Resumen_Sprints!$D$6),INDEX('Sprint N°1'!$C$9:$I$9,I$4-Resumen_Sprints!$E$6),0)</f>
        <v>0</v>
      </c>
      <c r="J9" s="36">
        <f>IF(AND(J$4&gt;Resumen_Sprints!$E$6,J$4&lt;=Resumen_Sprints!$E$6+Resumen_Sprints!$D$6),INDEX('Sprint N°1'!$C$9:$I$9,J$4-Resumen_Sprints!$E$6),0)</f>
        <v>0</v>
      </c>
      <c r="K9" s="36">
        <f>IF(AND(K$4&gt;Resumen_Sprints!$E$6,K$4&lt;=Resumen_Sprints!$E$6+Resumen_Sprints!$D$6),INDEX('Sprint N°1'!$C$9:$I$9,K$4-Resumen_Sprints!$E$6),0)</f>
        <v>0</v>
      </c>
      <c r="L9" s="36">
        <f>IF(AND(L$4&gt;Resumen_Sprints!$E$6,L$4&lt;=Resumen_Sprints!$E$6+Resumen_Sprints!$D$6),INDEX('Sprint N°1'!$C$9:$I$9,L$4-Resumen_Sprints!$E$6),0)</f>
        <v>0</v>
      </c>
      <c r="M9" s="36">
        <f>IF(AND(M$4&gt;Resumen_Sprints!$E$6,M$4&lt;=Resumen_Sprints!$E$6+Resumen_Sprints!$D$6),INDEX('Sprint N°1'!$C$9:$I$9,M$4-Resumen_Sprints!$E$6),0)</f>
        <v>0</v>
      </c>
      <c r="N9" s="36">
        <f>IF(AND(N$4&gt;Resumen_Sprints!$E$6,N$4&lt;=Resumen_Sprints!$E$6+Resumen_Sprints!$D$6),INDEX('Sprint N°1'!$C$9:$I$9,N$4-Resumen_Sprints!$E$6),0)</f>
        <v>0</v>
      </c>
      <c r="O9" s="36">
        <f>IF(AND(O$4&gt;Resumen_Sprints!$E$6,O$4&lt;=Resumen_Sprints!$E$6+Resumen_Sprints!$D$6),INDEX('Sprint N°1'!$C$9:$I$9,O$4-Resumen_Sprints!$E$6),0)</f>
        <v>0</v>
      </c>
      <c r="P9" s="36">
        <f>IF(AND(P$4&gt;Resumen_Sprints!$E$6,P$4&lt;=Resumen_Sprints!$E$6+Resumen_Sprints!$D$6),INDEX('Sprint N°1'!$C$9:$I$9,P$4-Resumen_Sprints!$E$6),0)</f>
        <v>0</v>
      </c>
      <c r="Q9" s="36">
        <f>IF(AND(Q$4&gt;Resumen_Sprints!$E$6,Q$4&lt;=Resumen_Sprints!$E$6+Resumen_Sprints!$D$6),INDEX('Sprint N°1'!$C$9:$I$9,Q$4-Resumen_Sprints!$E$6),0)</f>
        <v>0</v>
      </c>
      <c r="R9" s="36">
        <f>IF(AND(R$4&gt;Resumen_Sprints!$E$6,R$4&lt;=Resumen_Sprints!$E$6+Resumen_Sprints!$D$6),INDEX('Sprint N°1'!$C$9:$I$9,R$4-Resumen_Sprints!$E$6),0)</f>
        <v>0</v>
      </c>
      <c r="S9" s="36">
        <f>IF(AND(S$4&gt;Resumen_Sprints!$E$6,S$4&lt;=Resumen_Sprints!$E$6+Resumen_Sprints!$D$6),INDEX('Sprint N°1'!$C$9:$I$9,S$4-Resumen_Sprints!$E$6),0)</f>
        <v>0</v>
      </c>
      <c r="T9" s="36">
        <f>IF(AND(T$4&gt;Resumen_Sprints!$E$6,T$4&lt;=Resumen_Sprints!$E$6+Resumen_Sprints!$D$6),INDEX('Sprint N°1'!$C$9:$I$9,T$4-Resumen_Sprints!$E$6),0)</f>
        <v>0</v>
      </c>
      <c r="U9" s="36">
        <f>IF(AND(U$4&gt;Resumen_Sprints!$E$6,U$4&lt;=Resumen_Sprints!$E$6+Resumen_Sprints!$D$6),INDEX('Sprint N°1'!$C$9:$I$9,U$4-Resumen_Sprints!$E$6),0)</f>
        <v>0</v>
      </c>
      <c r="V9" s="36">
        <f>IF(AND(V$4&gt;Resumen_Sprints!$E$6,V$4&lt;=Resumen_Sprints!$E$6+Resumen_Sprints!$D$6),INDEX('Sprint N°1'!$C$9:$I$9,V$4-Resumen_Sprints!$E$6),0)</f>
        <v>0</v>
      </c>
      <c r="W9" s="36">
        <f>IF(AND(W$4&gt;Resumen_Sprints!$E$6,W$4&lt;=Resumen_Sprints!$E$6+Resumen_Sprints!$D$6),INDEX('Sprint N°1'!$C$9:$I$9,W$4-Resumen_Sprints!$E$6),0)</f>
        <v>0</v>
      </c>
      <c r="X9" s="36">
        <f>IF(AND(X$4&gt;Resumen_Sprints!$E$6,X$4&lt;=Resumen_Sprints!$E$6+Resumen_Sprints!$D$6),INDEX('Sprint N°1'!$C$9:$I$9,X$4-Resumen_Sprints!$E$6),0)</f>
        <v>0</v>
      </c>
      <c r="Y9" s="36">
        <f>IF(AND(Y$4&gt;Resumen_Sprints!$E$6,Y$4&lt;=Resumen_Sprints!$E$6+Resumen_Sprints!$D$6),INDEX('Sprint N°1'!$C$9:$I$9,Y$4-Resumen_Sprints!$E$6),0)</f>
        <v>0</v>
      </c>
      <c r="Z9" s="36">
        <f>IF(AND(Z$4&gt;Resumen_Sprints!$E$6,Z$4&lt;=Resumen_Sprints!$E$6+Resumen_Sprints!$D$6),INDEX('Sprint N°1'!$C$9:$I$9,Z$4-Resumen_Sprints!$E$6),0)</f>
        <v>0</v>
      </c>
      <c r="AA9" s="36">
        <f>IF(AND(AA$4&gt;Resumen_Sprints!$E$6,AA$4&lt;=Resumen_Sprints!$E$6+Resumen_Sprints!$D$6),INDEX('Sprint N°1'!$C$9:$I$9,AA$4-Resumen_Sprints!$E$6),0)</f>
        <v>0</v>
      </c>
      <c r="AB9" s="36">
        <f>IF(AND(AB$4&gt;Resumen_Sprints!$E$6,AB$4&lt;=Resumen_Sprints!$E$6+Resumen_Sprints!$D$6),INDEX('Sprint N°1'!$C$9:$I$9,AB$4-Resumen_Sprints!$E$6),0)</f>
        <v>0</v>
      </c>
      <c r="AC9" s="36">
        <f>IF(AND(AC$4&gt;Resumen_Sprints!$E$6,AC$4&lt;=Resumen_Sprints!$E$6+Resumen_Sprints!$D$6),INDEX('Sprint N°1'!$C$9:$I$9,AC$4-Resumen_Sprints!$E$6),0)</f>
        <v>0</v>
      </c>
      <c r="AD9" s="36">
        <f>IF(AND(AD$4&gt;Resumen_Sprints!$E$6,AD$4&lt;=Resumen_Sprints!$E$6+Resumen_Sprints!$D$6),INDEX('Sprint N°1'!$C$9:$I$9,AD$4-Resumen_Sprints!$E$6),0)</f>
        <v>0</v>
      </c>
      <c r="AE9" s="36">
        <f>IF(AND(AE$4&gt;Resumen_Sprints!$E$6,AE$4&lt;=Resumen_Sprints!$E$6+Resumen_Sprints!$D$6),INDEX('Sprint N°1'!$C$9:$I$9,AE$4-Resumen_Sprints!$E$6),0)</f>
        <v>0</v>
      </c>
      <c r="AF9" s="36">
        <f>IF(AND(AF$4&gt;Resumen_Sprints!$E$6,AF$4&lt;=Resumen_Sprints!$E$6+Resumen_Sprints!$D$6),INDEX('Sprint N°1'!$C$9:$I$9,AF$4-Resumen_Sprints!$E$6),0)</f>
        <v>0</v>
      </c>
      <c r="AG9" s="36">
        <f>IF(AND(AG$4&gt;Resumen_Sprints!$E$6,AG$4&lt;=Resumen_Sprints!$E$6+Resumen_Sprints!$D$6),INDEX('Sprint N°1'!$C$9:$I$9,AG$4-Resumen_Sprints!$E$6),0)</f>
        <v>0</v>
      </c>
      <c r="AH9" s="36">
        <f>IF(AND(AH$4&gt;Resumen_Sprints!$E$6,AH$4&lt;=Resumen_Sprints!$E$6+Resumen_Sprints!$D$6),INDEX('Sprint N°1'!$C$9:$I$9,AH$4-Resumen_Sprints!$E$6),0)</f>
        <v>0</v>
      </c>
      <c r="AI9" s="36">
        <f>IF(AND(AI$4&gt;Resumen_Sprints!$E$6,AI$4&lt;=Resumen_Sprints!$E$6+Resumen_Sprints!$D$6),INDEX('Sprint N°1'!$C$9:$I$9,AI$4-Resumen_Sprints!$E$6),0)</f>
        <v>0</v>
      </c>
      <c r="AJ9" s="36">
        <f>IF(AND(AJ$4&gt;Resumen_Sprints!$E$6,AJ$4&lt;=Resumen_Sprints!$E$6+Resumen_Sprints!$D$6),INDEX('Sprint N°1'!$C$9:$I$9,AJ$4-Resumen_Sprints!$E$6),0)</f>
        <v>0</v>
      </c>
      <c r="AK9" s="36">
        <f>IF(AND(AK$4&gt;Resumen_Sprints!$E$6,AK$4&lt;=Resumen_Sprints!$E$6+Resumen_Sprints!$D$6),INDEX('Sprint N°1'!$C$9:$I$9,AK$4-Resumen_Sprints!$E$6),0)</f>
        <v>0</v>
      </c>
      <c r="AL9" s="36">
        <f>IF(AND(AL$4&gt;Resumen_Sprints!$E$6,AL$4&lt;=Resumen_Sprints!$E$6+Resumen_Sprints!$D$6),INDEX('Sprint N°1'!$C$9:$I$9,AL$4-Resumen_Sprints!$E$6),0)</f>
        <v>0</v>
      </c>
      <c r="AM9" s="36">
        <f>IF(AND(AM$4&gt;Resumen_Sprints!$E$6,AM$4&lt;=Resumen_Sprints!$E$6+Resumen_Sprints!$D$6),INDEX('Sprint N°1'!$C$9:$I$9,AM$4-Resumen_Sprints!$E$6),0)</f>
        <v>0</v>
      </c>
      <c r="AN9" s="36">
        <f>IF(AND(AN$4&gt;Resumen_Sprints!$E$6,AN$4&lt;=Resumen_Sprints!$E$6+Resumen_Sprints!$D$6),INDEX('Sprint N°1'!$C$9:$I$9,AN$4-Resumen_Sprints!$E$6),0)</f>
        <v>0</v>
      </c>
      <c r="AO9" s="36">
        <f>IF(AND(AO$4&gt;Resumen_Sprints!$E$6,AO$4&lt;=Resumen_Sprints!$E$6+Resumen_Sprints!$D$6),INDEX('Sprint N°1'!$C$9:$I$9,AO$4-Resumen_Sprints!$E$6),0)</f>
        <v>0</v>
      </c>
      <c r="AP9" s="36">
        <f>IF(AND(AP$4&gt;Resumen_Sprints!$E$6,AP$4&lt;=Resumen_Sprints!$E$6+Resumen_Sprints!$D$6),INDEX('Sprint N°1'!$C$9:$I$9,AP$4-Resumen_Sprints!$E$6),0)</f>
        <v>0</v>
      </c>
      <c r="AQ9" s="36">
        <f>IF(AND(AQ$4&gt;Resumen_Sprints!$E$6,AQ$4&lt;=Resumen_Sprints!$E$6+Resumen_Sprints!$D$6),INDEX('Sprint N°1'!$C$9:$I$9,AQ$4-Resumen_Sprints!$E$6),0)</f>
        <v>0</v>
      </c>
      <c r="AR9" s="36">
        <f>IF(AND(AR$4&gt;Resumen_Sprints!$E$6,AR$4&lt;=Resumen_Sprints!$E$6+Resumen_Sprints!$D$6),INDEX('Sprint N°1'!$C$9:$I$9,AR$4-Resumen_Sprints!$E$6),0)</f>
        <v>0</v>
      </c>
      <c r="AS9" s="36">
        <f>IF(AND(AS$4&gt;Resumen_Sprints!$E$6,AS$4&lt;=Resumen_Sprints!$E$6+Resumen_Sprints!$D$6),INDEX('Sprint N°1'!$C$9:$I$9,AS$4-Resumen_Sprints!$E$6),0)</f>
        <v>0</v>
      </c>
      <c r="AT9" s="36">
        <f>IF(AND(AT$4&gt;Resumen_Sprints!$E$6,AT$4&lt;=Resumen_Sprints!$E$6+Resumen_Sprints!$D$6),INDEX('Sprint N°1'!$C$9:$I$9,AT$4-Resumen_Sprints!$E$6),0)</f>
        <v>0</v>
      </c>
      <c r="AU9" s="36">
        <f>IF(AND(AU$4&gt;Resumen_Sprints!$E$6,AU$4&lt;=Resumen_Sprints!$E$6+Resumen_Sprints!$D$6),INDEX('Sprint N°1'!$C$9:$I$9,AU$4-Resumen_Sprints!$E$6),0)</f>
        <v>0</v>
      </c>
      <c r="AV9" s="36">
        <f>IF(AND(AV$4&gt;Resumen_Sprints!$E$6,AV$4&lt;=Resumen_Sprints!$E$6+Resumen_Sprints!$D$6),INDEX('Sprint N°1'!$C$9:$I$9,AV$4-Resumen_Sprints!$E$6),0)</f>
        <v>0</v>
      </c>
      <c r="AW9" s="36">
        <f>IF(AND(AW$4&gt;Resumen_Sprints!$E$6,AW$4&lt;=Resumen_Sprints!$E$6+Resumen_Sprints!$D$6),INDEX('Sprint N°1'!$C$9:$I$9,AW$4-Resumen_Sprints!$E$6),0)</f>
        <v>0</v>
      </c>
      <c r="AX9" s="36">
        <f>IF(AND(AX$4&gt;Resumen_Sprints!$E$6,AX$4&lt;=Resumen_Sprints!$E$6+Resumen_Sprints!$D$6),INDEX('Sprint N°1'!$C$9:$I$9,AX$4-Resumen_Sprints!$E$6),0)</f>
        <v>0</v>
      </c>
      <c r="AY9" s="36">
        <f>IF(AND(AY$4&gt;Resumen_Sprints!$E$6,AY$4&lt;=Resumen_Sprints!$E$6+Resumen_Sprints!$D$6),INDEX('Sprint N°1'!$C$9:$I$9,AY$4-Resumen_Sprints!$E$6),0)</f>
        <v>0</v>
      </c>
      <c r="AZ9" s="36">
        <f>IF(AND(AZ$4&gt;Resumen_Sprints!$E$6,AZ$4&lt;=Resumen_Sprints!$E$6+Resumen_Sprints!$D$6),INDEX('Sprint N°1'!$C$9:$I$9,AZ$4-Resumen_Sprints!$E$6),0)</f>
        <v>0</v>
      </c>
      <c r="BA9" s="36">
        <f>IF(AND(BA$4&gt;Resumen_Sprints!$E$6,BA$4&lt;=Resumen_Sprints!$E$6+Resumen_Sprints!$D$6),INDEX('Sprint N°1'!$C$9:$I$9,BA$4-Resumen_Sprints!$E$6),0)</f>
        <v>0</v>
      </c>
      <c r="BB9" s="36">
        <f>IF(AND(BB$4&gt;Resumen_Sprints!$E$6,BB$4&lt;=Resumen_Sprints!$E$6+Resumen_Sprints!$D$6),INDEX('Sprint N°1'!$C$9:$I$9,BB$4-Resumen_Sprints!$E$6),0)</f>
        <v>0</v>
      </c>
      <c r="BC9" s="36">
        <f>IF(AND(BC$4&gt;Resumen_Sprints!$E$6,BC$4&lt;=Resumen_Sprints!$E$6+Resumen_Sprints!$D$6),INDEX('Sprint N°1'!$C$9:$I$9,BC$4-Resumen_Sprints!$E$6),0)</f>
        <v>0</v>
      </c>
      <c r="BD9" s="36">
        <f>IF(AND(BD$4&gt;Resumen_Sprints!$E$6,BD$4&lt;=Resumen_Sprints!$E$6+Resumen_Sprints!$D$6),INDEX('Sprint N°1'!$C$9:$I$9,BD$4-Resumen_Sprints!$E$6),0)</f>
        <v>0</v>
      </c>
      <c r="BE9" s="36">
        <f>IF(AND(BE$4&gt;Resumen_Sprints!$E$6,BE$4&lt;=Resumen_Sprints!$E$6+Resumen_Sprints!$D$6),INDEX('Sprint N°1'!$C$9:$I$9,BE$4-Resumen_Sprints!$E$6),0)</f>
        <v>0</v>
      </c>
      <c r="BF9" s="36">
        <f>IF(AND(BF$4&gt;Resumen_Sprints!$E$6,BF$4&lt;=Resumen_Sprints!$E$6+Resumen_Sprints!$D$6),INDEX('Sprint N°1'!$C$9:$I$9,BF$4-Resumen_Sprints!$E$6),0)</f>
        <v>0</v>
      </c>
      <c r="BG9" s="36">
        <f>IF(AND(BG$4&gt;Resumen_Sprints!$E$6,BG$4&lt;=Resumen_Sprints!$E$6+Resumen_Sprints!$D$6),INDEX('Sprint N°1'!$C$9:$I$9,BG$4-Resumen_Sprints!$E$6),0)</f>
        <v>0</v>
      </c>
      <c r="BH9" s="36">
        <f>IF(AND(BH$4&gt;Resumen_Sprints!$E$6,BH$4&lt;=Resumen_Sprints!$E$6+Resumen_Sprints!$D$6),INDEX('Sprint N°1'!$C$9:$I$9,BH$4-Resumen_Sprints!$E$6),0)</f>
        <v>0</v>
      </c>
      <c r="BI9" s="36">
        <f>IF(AND(BI$4&gt;Resumen_Sprints!$E$6,BI$4&lt;=Resumen_Sprints!$E$6+Resumen_Sprints!$D$6),INDEX('Sprint N°1'!$C$9:$I$9,BI$4-Resumen_Sprints!$E$6),0)</f>
        <v>0</v>
      </c>
      <c r="BJ9" s="36">
        <f>IF(AND(BJ$4&gt;Resumen_Sprints!$E$6,BJ$4&lt;=Resumen_Sprints!$E$6+Resumen_Sprints!$D$6),INDEX('Sprint N°1'!$C$9:$I$9,BJ$4-Resumen_Sprints!$E$6),0)</f>
        <v>0</v>
      </c>
      <c r="BK9" s="36">
        <f>IF(AND(BK$4&gt;Resumen_Sprints!$E$6,BK$4&lt;=Resumen_Sprints!$E$6+Resumen_Sprints!$D$6),INDEX('Sprint N°1'!$C$9:$I$9,BK$4-Resumen_Sprints!$E$6),0)</f>
        <v>0</v>
      </c>
      <c r="BL9" s="36">
        <f>IF(AND(BL$4&gt;Resumen_Sprints!$E$6,BL$4&lt;=Resumen_Sprints!$E$6+Resumen_Sprints!$D$6),INDEX('Sprint N°1'!$C$9:$I$9,BL$4-Resumen_Sprints!$E$6),0)</f>
        <v>0</v>
      </c>
      <c r="BM9" s="36">
        <f>IF(AND(BM$4&gt;Resumen_Sprints!$E$6,BM$4&lt;=Resumen_Sprints!$E$6+Resumen_Sprints!$D$6),INDEX('Sprint N°1'!$C$9:$I$9,BM$4-Resumen_Sprints!$E$6),0)</f>
        <v>0</v>
      </c>
      <c r="BN9" s="36">
        <f>IF(AND(BN$4&gt;Resumen_Sprints!$E$6,BN$4&lt;=Resumen_Sprints!$E$6+Resumen_Sprints!$D$6),INDEX('Sprint N°1'!$C$9:$I$9,BN$4-Resumen_Sprints!$E$6),0)</f>
        <v>0</v>
      </c>
      <c r="BO9" s="36">
        <f>IF(AND(BO$4&gt;Resumen_Sprints!$E$6,BO$4&lt;=Resumen_Sprints!$E$6+Resumen_Sprints!$D$6),INDEX('Sprint N°1'!$C$9:$I$9,BO$4-Resumen_Sprints!$E$6),0)</f>
        <v>0</v>
      </c>
      <c r="BP9" s="36">
        <f>IF(AND(BP$4&gt;Resumen_Sprints!$E$6,BP$4&lt;=Resumen_Sprints!$E$6+Resumen_Sprints!$D$6),INDEX('Sprint N°1'!$C$9:$I$9,BP$4-Resumen_Sprints!$E$6),0)</f>
        <v>0</v>
      </c>
      <c r="BQ9" s="36">
        <f>IF(AND(BQ$4&gt;Resumen_Sprints!$E$6,BQ$4&lt;=Resumen_Sprints!$E$6+Resumen_Sprints!$D$6),INDEX('Sprint N°1'!$C$9:$I$9,BQ$4-Resumen_Sprints!$E$6),0)</f>
        <v>0</v>
      </c>
      <c r="BR9" s="36">
        <f>IF(AND(BR$4&gt;Resumen_Sprints!$E$6,BR$4&lt;=Resumen_Sprints!$E$6+Resumen_Sprints!$D$6),INDEX('Sprint N°1'!$C$9:$I$9,BR$4-Resumen_Sprints!$E$6),0)</f>
        <v>0</v>
      </c>
      <c r="BS9" s="36">
        <f>IF(AND(BS$4&gt;Resumen_Sprints!$E$6,BS$4&lt;=Resumen_Sprints!$E$6+Resumen_Sprints!$D$6),INDEX('Sprint N°1'!$C$9:$I$9,BS$4-Resumen_Sprints!$E$6),0)</f>
        <v>0</v>
      </c>
      <c r="BT9" s="36">
        <f>IF(AND(BT$4&gt;Resumen_Sprints!$E$6,BT$4&lt;=Resumen_Sprints!$E$6+Resumen_Sprints!$D$6),INDEX('Sprint N°1'!$C$9:$I$9,BT$4-Resumen_Sprints!$E$6),0)</f>
        <v>0</v>
      </c>
      <c r="BU9" s="36">
        <f>IF(AND(BU$4&gt;Resumen_Sprints!$E$6,BU$4&lt;=Resumen_Sprints!$E$6+Resumen_Sprints!$D$6),INDEX('Sprint N°1'!$C$9:$I$9,BU$4-Resumen_Sprints!$E$6),0)</f>
        <v>0</v>
      </c>
      <c r="BV9" s="36">
        <f>IF(AND(BV$4&gt;Resumen_Sprints!$E$6,BV$4&lt;=Resumen_Sprints!$E$6+Resumen_Sprints!$D$6),INDEX('Sprint N°1'!$C$9:$I$9,BV$4-Resumen_Sprints!$E$6),0)</f>
        <v>0</v>
      </c>
      <c r="BW9" s="36">
        <f>IF(AND(BW$4&gt;Resumen_Sprints!$E$6,BW$4&lt;=Resumen_Sprints!$E$6+Resumen_Sprints!$D$6),INDEX('Sprint N°1'!$C$9:$I$9,BW$4-Resumen_Sprints!$E$6),0)</f>
        <v>0</v>
      </c>
      <c r="BX9" s="36">
        <f>IF(AND(BX$4&gt;Resumen_Sprints!$E$6,BX$4&lt;=Resumen_Sprints!$E$6+Resumen_Sprints!$D$6),INDEX('Sprint N°1'!$C$9:$I$9,BX$4-Resumen_Sprints!$E$6),0)</f>
        <v>0</v>
      </c>
      <c r="BY9" s="36">
        <f>IF(AND(BY$4&gt;Resumen_Sprints!$E$6,BY$4&lt;=Resumen_Sprints!$E$6+Resumen_Sprints!$D$6),INDEX('Sprint N°1'!$C$9:$I$9,BY$4-Resumen_Sprints!$E$6),0)</f>
        <v>0</v>
      </c>
      <c r="BZ9" s="36">
        <f>IF(AND(BZ$4&gt;Resumen_Sprints!$E$6,BZ$4&lt;=Resumen_Sprints!$E$6+Resumen_Sprints!$D$6),INDEX('Sprint N°1'!$C$9:$I$9,BZ$4-Resumen_Sprints!$E$6),0)</f>
        <v>0</v>
      </c>
      <c r="CA9" s="36">
        <f>IF(AND(CA$4&gt;Resumen_Sprints!$E$6,CA$4&lt;=Resumen_Sprints!$E$6+Resumen_Sprints!$D$6),INDEX('Sprint N°1'!$C$9:$I$9,CA$4-Resumen_Sprints!$E$6),0)</f>
        <v>0</v>
      </c>
      <c r="CB9" s="36">
        <f>IF(AND(CB$4&gt;Resumen_Sprints!$E$6,CB$4&lt;=Resumen_Sprints!$E$6+Resumen_Sprints!$D$6),INDEX('Sprint N°1'!$C$9:$I$9,CB$4-Resumen_Sprints!$E$6),0)</f>
        <v>0</v>
      </c>
      <c r="CC9" s="36">
        <f>IF(AND(CC$4&gt;Resumen_Sprints!$E$6,CC$4&lt;=Resumen_Sprints!$E$6+Resumen_Sprints!$D$6),INDEX('Sprint N°1'!$C$9:$I$9,CC$4-Resumen_Sprints!$E$6),0)</f>
        <v>0</v>
      </c>
      <c r="CD9" s="36">
        <f>IF(AND(CD$4&gt;Resumen_Sprints!$E$6,CD$4&lt;=Resumen_Sprints!$E$6+Resumen_Sprints!$D$6),INDEX('Sprint N°1'!$C$9:$I$9,CD$4-Resumen_Sprints!$E$6),0)</f>
        <v>0</v>
      </c>
      <c r="CE9" s="36">
        <f>IF(AND(CE$4&gt;Resumen_Sprints!$E$6,CE$4&lt;=Resumen_Sprints!$E$6+Resumen_Sprints!$D$6),INDEX('Sprint N°1'!$C$9:$I$9,CE$4-Resumen_Sprints!$E$6),0)</f>
        <v>0</v>
      </c>
      <c r="CF9" s="36">
        <f>IF(AND(CF$4&gt;Resumen_Sprints!$E$6,CF$4&lt;=Resumen_Sprints!$E$6+Resumen_Sprints!$D$6),INDEX('Sprint N°1'!$C$9:$I$9,CF$4-Resumen_Sprints!$E$6),0)</f>
        <v>0</v>
      </c>
      <c r="CG9" s="36">
        <f>IF(AND(CG$4&gt;Resumen_Sprints!$E$6,CG$4&lt;=Resumen_Sprints!$E$6+Resumen_Sprints!$D$6),INDEX('Sprint N°1'!$C$9:$I$9,CG$4-Resumen_Sprints!$E$6),0)</f>
        <v>0</v>
      </c>
      <c r="CH9" s="36">
        <f>IF(AND(CH$4&gt;Resumen_Sprints!$E$6,CH$4&lt;=Resumen_Sprints!$E$6+Resumen_Sprints!$D$6),INDEX('Sprint N°1'!$C$9:$I$9,CH$4-Resumen_Sprints!$E$6),0)</f>
        <v>0</v>
      </c>
      <c r="CI9" s="36">
        <f>IF(AND(CI$4&gt;Resumen_Sprints!$E$6,CI$4&lt;=Resumen_Sprints!$E$6+Resumen_Sprints!$D$6),INDEX('Sprint N°1'!$C$9:$I$9,CI$4-Resumen_Sprints!$E$6),0)</f>
        <v>0</v>
      </c>
      <c r="CJ9" s="36">
        <f>IF(AND(CJ$4&gt;Resumen_Sprints!$E$6,CJ$4&lt;=Resumen_Sprints!$E$6+Resumen_Sprints!$D$6),INDEX('Sprint N°1'!$C$9:$I$9,CJ$4-Resumen_Sprints!$E$6),0)</f>
        <v>0</v>
      </c>
      <c r="CK9" s="36">
        <f>IF(AND(CK$4&gt;Resumen_Sprints!$E$6,CK$4&lt;=Resumen_Sprints!$E$6+Resumen_Sprints!$D$6),INDEX('Sprint N°1'!$C$9:$I$9,CK$4-Resumen_Sprints!$E$6),0)</f>
        <v>0</v>
      </c>
      <c r="CL9" s="36">
        <f>IF(AND(CL$4&gt;Resumen_Sprints!$E$6,CL$4&lt;=Resumen_Sprints!$E$6+Resumen_Sprints!$D$6),INDEX('Sprint N°1'!$C$9:$I$9,CL$4-Resumen_Sprints!$E$6),0)</f>
        <v>0</v>
      </c>
      <c r="CM9" s="36">
        <f>IF(AND(CM$4&gt;Resumen_Sprints!$E$6,CM$4&lt;=Resumen_Sprints!$E$6+Resumen_Sprints!$D$6),INDEX('Sprint N°1'!$C$9:$I$9,CM$4-Resumen_Sprints!$E$6),0)</f>
        <v>0</v>
      </c>
      <c r="CN9" s="36">
        <f>IF(AND(CN$4&gt;Resumen_Sprints!$E$6,CN$4&lt;=Resumen_Sprints!$E$6+Resumen_Sprints!$D$6),INDEX('Sprint N°1'!$C$9:$I$9,CN$4-Resumen_Sprints!$E$6),0)</f>
        <v>0</v>
      </c>
      <c r="CO9" s="36">
        <f>IF(AND(CO$4&gt;Resumen_Sprints!$E$6,CO$4&lt;=Resumen_Sprints!$E$6+Resumen_Sprints!$D$6),INDEX('Sprint N°1'!$C$9:$I$9,CO$4-Resumen_Sprints!$E$6),0)</f>
        <v>0</v>
      </c>
      <c r="CP9" s="36">
        <f>IF(AND(CP$4&gt;Resumen_Sprints!$E$6,CP$4&lt;=Resumen_Sprints!$E$6+Resumen_Sprints!$D$6),INDEX('Sprint N°1'!$C$9:$I$9,CP$4-Resumen_Sprints!$E$6),0)</f>
        <v>0</v>
      </c>
      <c r="CQ9" s="36">
        <f>IF(AND(CQ$4&gt;Resumen_Sprints!$E$6,CQ$4&lt;=Resumen_Sprints!$E$6+Resumen_Sprints!$D$6),INDEX('Sprint N°1'!$C$9:$I$9,CQ$4-Resumen_Sprints!$E$6),0)</f>
        <v>0</v>
      </c>
      <c r="CR9" s="36">
        <f>IF(AND(CR$4&gt;Resumen_Sprints!$E$6,CR$4&lt;=Resumen_Sprints!$E$6+Resumen_Sprints!$D$6),INDEX('Sprint N°1'!$C$9:$I$9,CR$4-Resumen_Sprints!$E$6),0)</f>
        <v>0</v>
      </c>
      <c r="CS9" s="36">
        <f>IF(AND(CS$4&gt;Resumen_Sprints!$E$6,CS$4&lt;=Resumen_Sprints!$E$6+Resumen_Sprints!$D$6),INDEX('Sprint N°1'!$C$9:$I$9,CS$4-Resumen_Sprints!$E$6),0)</f>
        <v>0</v>
      </c>
      <c r="CT9" s="36">
        <f>IF(AND(CT$4&gt;Resumen_Sprints!$E$6,CT$4&lt;=Resumen_Sprints!$E$6+Resumen_Sprints!$D$6),INDEX('Sprint N°1'!$C$9:$I$9,CT$4-Resumen_Sprints!$E$6),0)</f>
        <v>0</v>
      </c>
      <c r="CU9" s="10">
        <f>SUM(C9:CT9)</f>
        <v>16</v>
      </c>
    </row>
    <row r="10" spans="1:99" x14ac:dyDescent="0.3">
      <c r="A10" s="22" t="str">
        <f>'Sprint N°1'!A10</f>
        <v>Organización del Equipo y Herramientas (repositorio, tablero)</v>
      </c>
      <c r="B10" s="22">
        <f>'Sprint N°1'!B10</f>
        <v>8</v>
      </c>
      <c r="C10" s="36">
        <f>IF(AND(C$4&gt;Resumen_Sprints!$E$6,C$4&lt;=Resumen_Sprints!$E$6+Resumen_Sprints!$D$6),INDEX('Sprint N°1'!$C$10:$I$10,C$4-Resumen_Sprints!$E$6),0)</f>
        <v>0</v>
      </c>
      <c r="D10" s="36">
        <f>IF(AND(D$4&gt;Resumen_Sprints!$E$6,D$4&lt;=Resumen_Sprints!$E$6+Resumen_Sprints!$D$6),INDEX('Sprint N°1'!$C$10:$I$10,D$4-Resumen_Sprints!$E$6),0)</f>
        <v>0</v>
      </c>
      <c r="E10" s="36">
        <f>IF(AND(E$4&gt;Resumen_Sprints!$E$6,E$4&lt;=Resumen_Sprints!$E$6+Resumen_Sprints!$D$6),INDEX('Sprint N°1'!$C$10:$I$10,E$4-Resumen_Sprints!$E$6),0)</f>
        <v>0</v>
      </c>
      <c r="F10" s="36">
        <f>IF(AND(F$4&gt;Resumen_Sprints!$E$6,F$4&lt;=Resumen_Sprints!$E$6+Resumen_Sprints!$D$6),INDEX('Sprint N°1'!$C$10:$I$10,F$4-Resumen_Sprints!$E$6),0)</f>
        <v>0</v>
      </c>
      <c r="G10" s="36">
        <f>IF(AND(G$4&gt;Resumen_Sprints!$E$6,G$4&lt;=Resumen_Sprints!$E$6+Resumen_Sprints!$D$6),INDEX('Sprint N°1'!$C$10:$I$10,G$4-Resumen_Sprints!$E$6),0)</f>
        <v>0</v>
      </c>
      <c r="H10" s="36">
        <f>IF(AND(H$4&gt;Resumen_Sprints!$E$6,H$4&lt;=Resumen_Sprints!$E$6+Resumen_Sprints!$D$6),INDEX('Sprint N°1'!$C$10:$I$10,H$4-Resumen_Sprints!$E$6),0)</f>
        <v>3</v>
      </c>
      <c r="I10" s="36">
        <f>IF(AND(I$4&gt;Resumen_Sprints!$E$6,I$4&lt;=Resumen_Sprints!$E$6+Resumen_Sprints!$D$6),INDEX('Sprint N°1'!$C$10:$I$10,I$4-Resumen_Sprints!$E$6),0)</f>
        <v>5</v>
      </c>
      <c r="J10" s="36">
        <f>IF(AND(J$4&gt;Resumen_Sprints!$E$6,J$4&lt;=Resumen_Sprints!$E$6+Resumen_Sprints!$D$6),INDEX('Sprint N°1'!$C$10:$I$10,J$4-Resumen_Sprints!$E$6),0)</f>
        <v>0</v>
      </c>
      <c r="K10" s="36">
        <f>IF(AND(K$4&gt;Resumen_Sprints!$E$6,K$4&lt;=Resumen_Sprints!$E$6+Resumen_Sprints!$D$6),INDEX('Sprint N°1'!$C$10:$I$10,K$4-Resumen_Sprints!$E$6),0)</f>
        <v>0</v>
      </c>
      <c r="L10" s="36">
        <f>IF(AND(L$4&gt;Resumen_Sprints!$E$6,L$4&lt;=Resumen_Sprints!$E$6+Resumen_Sprints!$D$6),INDEX('Sprint N°1'!$C$10:$I$10,L$4-Resumen_Sprints!$E$6),0)</f>
        <v>0</v>
      </c>
      <c r="M10" s="36">
        <f>IF(AND(M$4&gt;Resumen_Sprints!$E$6,M$4&lt;=Resumen_Sprints!$E$6+Resumen_Sprints!$D$6),INDEX('Sprint N°1'!$C$10:$I$10,M$4-Resumen_Sprints!$E$6),0)</f>
        <v>0</v>
      </c>
      <c r="N10" s="36">
        <f>IF(AND(N$4&gt;Resumen_Sprints!$E$6,N$4&lt;=Resumen_Sprints!$E$6+Resumen_Sprints!$D$6),INDEX('Sprint N°1'!$C$10:$I$10,N$4-Resumen_Sprints!$E$6),0)</f>
        <v>0</v>
      </c>
      <c r="O10" s="36">
        <f>IF(AND(O$4&gt;Resumen_Sprints!$E$6,O$4&lt;=Resumen_Sprints!$E$6+Resumen_Sprints!$D$6),INDEX('Sprint N°1'!$C$10:$I$10,O$4-Resumen_Sprints!$E$6),0)</f>
        <v>0</v>
      </c>
      <c r="P10" s="36">
        <f>IF(AND(P$4&gt;Resumen_Sprints!$E$6,P$4&lt;=Resumen_Sprints!$E$6+Resumen_Sprints!$D$6),INDEX('Sprint N°1'!$C$10:$I$10,P$4-Resumen_Sprints!$E$6),0)</f>
        <v>0</v>
      </c>
      <c r="Q10" s="36">
        <f>IF(AND(Q$4&gt;Resumen_Sprints!$E$6,Q$4&lt;=Resumen_Sprints!$E$6+Resumen_Sprints!$D$6),INDEX('Sprint N°1'!$C$10:$I$10,Q$4-Resumen_Sprints!$E$6),0)</f>
        <v>0</v>
      </c>
      <c r="R10" s="36">
        <f>IF(AND(R$4&gt;Resumen_Sprints!$E$6,R$4&lt;=Resumen_Sprints!$E$6+Resumen_Sprints!$D$6),INDEX('Sprint N°1'!$C$10:$I$10,R$4-Resumen_Sprints!$E$6),0)</f>
        <v>0</v>
      </c>
      <c r="S10" s="36">
        <f>IF(AND(S$4&gt;Resumen_Sprints!$E$6,S$4&lt;=Resumen_Sprints!$E$6+Resumen_Sprints!$D$6),INDEX('Sprint N°1'!$C$10:$I$10,S$4-Resumen_Sprints!$E$6),0)</f>
        <v>0</v>
      </c>
      <c r="T10" s="36">
        <f>IF(AND(T$4&gt;Resumen_Sprints!$E$6,T$4&lt;=Resumen_Sprints!$E$6+Resumen_Sprints!$D$6),INDEX('Sprint N°1'!$C$10:$I$10,T$4-Resumen_Sprints!$E$6),0)</f>
        <v>0</v>
      </c>
      <c r="U10" s="36">
        <f>IF(AND(U$4&gt;Resumen_Sprints!$E$6,U$4&lt;=Resumen_Sprints!$E$6+Resumen_Sprints!$D$6),INDEX('Sprint N°1'!$C$10:$I$10,U$4-Resumen_Sprints!$E$6),0)</f>
        <v>0</v>
      </c>
      <c r="V10" s="36">
        <f>IF(AND(V$4&gt;Resumen_Sprints!$E$6,V$4&lt;=Resumen_Sprints!$E$6+Resumen_Sprints!$D$6),INDEX('Sprint N°1'!$C$10:$I$10,V$4-Resumen_Sprints!$E$6),0)</f>
        <v>0</v>
      </c>
      <c r="W10" s="36">
        <f>IF(AND(W$4&gt;Resumen_Sprints!$E$6,W$4&lt;=Resumen_Sprints!$E$6+Resumen_Sprints!$D$6),INDEX('Sprint N°1'!$C$10:$I$10,W$4-Resumen_Sprints!$E$6),0)</f>
        <v>0</v>
      </c>
      <c r="X10" s="36">
        <f>IF(AND(X$4&gt;Resumen_Sprints!$E$6,X$4&lt;=Resumen_Sprints!$E$6+Resumen_Sprints!$D$6),INDEX('Sprint N°1'!$C$10:$I$10,X$4-Resumen_Sprints!$E$6),0)</f>
        <v>0</v>
      </c>
      <c r="Y10" s="36">
        <f>IF(AND(Y$4&gt;Resumen_Sprints!$E$6,Y$4&lt;=Resumen_Sprints!$E$6+Resumen_Sprints!$D$6),INDEX('Sprint N°1'!$C$10:$I$10,Y$4-Resumen_Sprints!$E$6),0)</f>
        <v>0</v>
      </c>
      <c r="Z10" s="36">
        <f>IF(AND(Z$4&gt;Resumen_Sprints!$E$6,Z$4&lt;=Resumen_Sprints!$E$6+Resumen_Sprints!$D$6),INDEX('Sprint N°1'!$C$10:$I$10,Z$4-Resumen_Sprints!$E$6),0)</f>
        <v>0</v>
      </c>
      <c r="AA10" s="36">
        <f>IF(AND(AA$4&gt;Resumen_Sprints!$E$6,AA$4&lt;=Resumen_Sprints!$E$6+Resumen_Sprints!$D$6),INDEX('Sprint N°1'!$C$10:$I$10,AA$4-Resumen_Sprints!$E$6),0)</f>
        <v>0</v>
      </c>
      <c r="AB10" s="36">
        <f>IF(AND(AB$4&gt;Resumen_Sprints!$E$6,AB$4&lt;=Resumen_Sprints!$E$6+Resumen_Sprints!$D$6),INDEX('Sprint N°1'!$C$10:$I$10,AB$4-Resumen_Sprints!$E$6),0)</f>
        <v>0</v>
      </c>
      <c r="AC10" s="36">
        <f>IF(AND(AC$4&gt;Resumen_Sprints!$E$6,AC$4&lt;=Resumen_Sprints!$E$6+Resumen_Sprints!$D$6),INDEX('Sprint N°1'!$C$10:$I$10,AC$4-Resumen_Sprints!$E$6),0)</f>
        <v>0</v>
      </c>
      <c r="AD10" s="36">
        <f>IF(AND(AD$4&gt;Resumen_Sprints!$E$6,AD$4&lt;=Resumen_Sprints!$E$6+Resumen_Sprints!$D$6),INDEX('Sprint N°1'!$C$10:$I$10,AD$4-Resumen_Sprints!$E$6),0)</f>
        <v>0</v>
      </c>
      <c r="AE10" s="36">
        <f>IF(AND(AE$4&gt;Resumen_Sprints!$E$6,AE$4&lt;=Resumen_Sprints!$E$6+Resumen_Sprints!$D$6),INDEX('Sprint N°1'!$C$10:$I$10,AE$4-Resumen_Sprints!$E$6),0)</f>
        <v>0</v>
      </c>
      <c r="AF10" s="36">
        <f>IF(AND(AF$4&gt;Resumen_Sprints!$E$6,AF$4&lt;=Resumen_Sprints!$E$6+Resumen_Sprints!$D$6),INDEX('Sprint N°1'!$C$10:$I$10,AF$4-Resumen_Sprints!$E$6),0)</f>
        <v>0</v>
      </c>
      <c r="AG10" s="36">
        <f>IF(AND(AG$4&gt;Resumen_Sprints!$E$6,AG$4&lt;=Resumen_Sprints!$E$6+Resumen_Sprints!$D$6),INDEX('Sprint N°1'!$C$10:$I$10,AG$4-Resumen_Sprints!$E$6),0)</f>
        <v>0</v>
      </c>
      <c r="AH10" s="36">
        <f>IF(AND(AH$4&gt;Resumen_Sprints!$E$6,AH$4&lt;=Resumen_Sprints!$E$6+Resumen_Sprints!$D$6),INDEX('Sprint N°1'!$C$10:$I$10,AH$4-Resumen_Sprints!$E$6),0)</f>
        <v>0</v>
      </c>
      <c r="AI10" s="36">
        <f>IF(AND(AI$4&gt;Resumen_Sprints!$E$6,AI$4&lt;=Resumen_Sprints!$E$6+Resumen_Sprints!$D$6),INDEX('Sprint N°1'!$C$10:$I$10,AI$4-Resumen_Sprints!$E$6),0)</f>
        <v>0</v>
      </c>
      <c r="AJ10" s="36">
        <f>IF(AND(AJ$4&gt;Resumen_Sprints!$E$6,AJ$4&lt;=Resumen_Sprints!$E$6+Resumen_Sprints!$D$6),INDEX('Sprint N°1'!$C$10:$I$10,AJ$4-Resumen_Sprints!$E$6),0)</f>
        <v>0</v>
      </c>
      <c r="AK10" s="36">
        <f>IF(AND(AK$4&gt;Resumen_Sprints!$E$6,AK$4&lt;=Resumen_Sprints!$E$6+Resumen_Sprints!$D$6),INDEX('Sprint N°1'!$C$10:$I$10,AK$4-Resumen_Sprints!$E$6),0)</f>
        <v>0</v>
      </c>
      <c r="AL10" s="36">
        <f>IF(AND(AL$4&gt;Resumen_Sprints!$E$6,AL$4&lt;=Resumen_Sprints!$E$6+Resumen_Sprints!$D$6),INDEX('Sprint N°1'!$C$10:$I$10,AL$4-Resumen_Sprints!$E$6),0)</f>
        <v>0</v>
      </c>
      <c r="AM10" s="36">
        <f>IF(AND(AM$4&gt;Resumen_Sprints!$E$6,AM$4&lt;=Resumen_Sprints!$E$6+Resumen_Sprints!$D$6),INDEX('Sprint N°1'!$C$10:$I$10,AM$4-Resumen_Sprints!$E$6),0)</f>
        <v>0</v>
      </c>
      <c r="AN10" s="36">
        <f>IF(AND(AN$4&gt;Resumen_Sprints!$E$6,AN$4&lt;=Resumen_Sprints!$E$6+Resumen_Sprints!$D$6),INDEX('Sprint N°1'!$C$10:$I$10,AN$4-Resumen_Sprints!$E$6),0)</f>
        <v>0</v>
      </c>
      <c r="AO10" s="36">
        <f>IF(AND(AO$4&gt;Resumen_Sprints!$E$6,AO$4&lt;=Resumen_Sprints!$E$6+Resumen_Sprints!$D$6),INDEX('Sprint N°1'!$C$10:$I$10,AO$4-Resumen_Sprints!$E$6),0)</f>
        <v>0</v>
      </c>
      <c r="AP10" s="36">
        <f>IF(AND(AP$4&gt;Resumen_Sprints!$E$6,AP$4&lt;=Resumen_Sprints!$E$6+Resumen_Sprints!$D$6),INDEX('Sprint N°1'!$C$10:$I$10,AP$4-Resumen_Sprints!$E$6),0)</f>
        <v>0</v>
      </c>
      <c r="AQ10" s="36">
        <f>IF(AND(AQ$4&gt;Resumen_Sprints!$E$6,AQ$4&lt;=Resumen_Sprints!$E$6+Resumen_Sprints!$D$6),INDEX('Sprint N°1'!$C$10:$I$10,AQ$4-Resumen_Sprints!$E$6),0)</f>
        <v>0</v>
      </c>
      <c r="AR10" s="36">
        <f>IF(AND(AR$4&gt;Resumen_Sprints!$E$6,AR$4&lt;=Resumen_Sprints!$E$6+Resumen_Sprints!$D$6),INDEX('Sprint N°1'!$C$10:$I$10,AR$4-Resumen_Sprints!$E$6),0)</f>
        <v>0</v>
      </c>
      <c r="AS10" s="36">
        <f>IF(AND(AS$4&gt;Resumen_Sprints!$E$6,AS$4&lt;=Resumen_Sprints!$E$6+Resumen_Sprints!$D$6),INDEX('Sprint N°1'!$C$10:$I$10,AS$4-Resumen_Sprints!$E$6),0)</f>
        <v>0</v>
      </c>
      <c r="AT10" s="36">
        <f>IF(AND(AT$4&gt;Resumen_Sprints!$E$6,AT$4&lt;=Resumen_Sprints!$E$6+Resumen_Sprints!$D$6),INDEX('Sprint N°1'!$C$10:$I$10,AT$4-Resumen_Sprints!$E$6),0)</f>
        <v>0</v>
      </c>
      <c r="AU10" s="36">
        <f>IF(AND(AU$4&gt;Resumen_Sprints!$E$6,AU$4&lt;=Resumen_Sprints!$E$6+Resumen_Sprints!$D$6),INDEX('Sprint N°1'!$C$10:$I$10,AU$4-Resumen_Sprints!$E$6),0)</f>
        <v>0</v>
      </c>
      <c r="AV10" s="36">
        <f>IF(AND(AV$4&gt;Resumen_Sprints!$E$6,AV$4&lt;=Resumen_Sprints!$E$6+Resumen_Sprints!$D$6),INDEX('Sprint N°1'!$C$10:$I$10,AV$4-Resumen_Sprints!$E$6),0)</f>
        <v>0</v>
      </c>
      <c r="AW10" s="36">
        <f>IF(AND(AW$4&gt;Resumen_Sprints!$E$6,AW$4&lt;=Resumen_Sprints!$E$6+Resumen_Sprints!$D$6),INDEX('Sprint N°1'!$C$10:$I$10,AW$4-Resumen_Sprints!$E$6),0)</f>
        <v>0</v>
      </c>
      <c r="AX10" s="36">
        <f>IF(AND(AX$4&gt;Resumen_Sprints!$E$6,AX$4&lt;=Resumen_Sprints!$E$6+Resumen_Sprints!$D$6),INDEX('Sprint N°1'!$C$10:$I$10,AX$4-Resumen_Sprints!$E$6),0)</f>
        <v>0</v>
      </c>
      <c r="AY10" s="36">
        <f>IF(AND(AY$4&gt;Resumen_Sprints!$E$6,AY$4&lt;=Resumen_Sprints!$E$6+Resumen_Sprints!$D$6),INDEX('Sprint N°1'!$C$10:$I$10,AY$4-Resumen_Sprints!$E$6),0)</f>
        <v>0</v>
      </c>
      <c r="AZ10" s="36">
        <f>IF(AND(AZ$4&gt;Resumen_Sprints!$E$6,AZ$4&lt;=Resumen_Sprints!$E$6+Resumen_Sprints!$D$6),INDEX('Sprint N°1'!$C$10:$I$10,AZ$4-Resumen_Sprints!$E$6),0)</f>
        <v>0</v>
      </c>
      <c r="BA10" s="36">
        <f>IF(AND(BA$4&gt;Resumen_Sprints!$E$6,BA$4&lt;=Resumen_Sprints!$E$6+Resumen_Sprints!$D$6),INDEX('Sprint N°1'!$C$10:$I$10,BA$4-Resumen_Sprints!$E$6),0)</f>
        <v>0</v>
      </c>
      <c r="BB10" s="36">
        <f>IF(AND(BB$4&gt;Resumen_Sprints!$E$6,BB$4&lt;=Resumen_Sprints!$E$6+Resumen_Sprints!$D$6),INDEX('Sprint N°1'!$C$10:$I$10,BB$4-Resumen_Sprints!$E$6),0)</f>
        <v>0</v>
      </c>
      <c r="BC10" s="36">
        <f>IF(AND(BC$4&gt;Resumen_Sprints!$E$6,BC$4&lt;=Resumen_Sprints!$E$6+Resumen_Sprints!$D$6),INDEX('Sprint N°1'!$C$10:$I$10,BC$4-Resumen_Sprints!$E$6),0)</f>
        <v>0</v>
      </c>
      <c r="BD10" s="36">
        <f>IF(AND(BD$4&gt;Resumen_Sprints!$E$6,BD$4&lt;=Resumen_Sprints!$E$6+Resumen_Sprints!$D$6),INDEX('Sprint N°1'!$C$10:$I$10,BD$4-Resumen_Sprints!$E$6),0)</f>
        <v>0</v>
      </c>
      <c r="BE10" s="36">
        <f>IF(AND(BE$4&gt;Resumen_Sprints!$E$6,BE$4&lt;=Resumen_Sprints!$E$6+Resumen_Sprints!$D$6),INDEX('Sprint N°1'!$C$10:$I$10,BE$4-Resumen_Sprints!$E$6),0)</f>
        <v>0</v>
      </c>
      <c r="BF10" s="36">
        <f>IF(AND(BF$4&gt;Resumen_Sprints!$E$6,BF$4&lt;=Resumen_Sprints!$E$6+Resumen_Sprints!$D$6),INDEX('Sprint N°1'!$C$10:$I$10,BF$4-Resumen_Sprints!$E$6),0)</f>
        <v>0</v>
      </c>
      <c r="BG10" s="36">
        <f>IF(AND(BG$4&gt;Resumen_Sprints!$E$6,BG$4&lt;=Resumen_Sprints!$E$6+Resumen_Sprints!$D$6),INDEX('Sprint N°1'!$C$10:$I$10,BG$4-Resumen_Sprints!$E$6),0)</f>
        <v>0</v>
      </c>
      <c r="BH10" s="36">
        <f>IF(AND(BH$4&gt;Resumen_Sprints!$E$6,BH$4&lt;=Resumen_Sprints!$E$6+Resumen_Sprints!$D$6),INDEX('Sprint N°1'!$C$10:$I$10,BH$4-Resumen_Sprints!$E$6),0)</f>
        <v>0</v>
      </c>
      <c r="BI10" s="36">
        <f>IF(AND(BI$4&gt;Resumen_Sprints!$E$6,BI$4&lt;=Resumen_Sprints!$E$6+Resumen_Sprints!$D$6),INDEX('Sprint N°1'!$C$10:$I$10,BI$4-Resumen_Sprints!$E$6),0)</f>
        <v>0</v>
      </c>
      <c r="BJ10" s="36">
        <f>IF(AND(BJ$4&gt;Resumen_Sprints!$E$6,BJ$4&lt;=Resumen_Sprints!$E$6+Resumen_Sprints!$D$6),INDEX('Sprint N°1'!$C$10:$I$10,BJ$4-Resumen_Sprints!$E$6),0)</f>
        <v>0</v>
      </c>
      <c r="BK10" s="36">
        <f>IF(AND(BK$4&gt;Resumen_Sprints!$E$6,BK$4&lt;=Resumen_Sprints!$E$6+Resumen_Sprints!$D$6),INDEX('Sprint N°1'!$C$10:$I$10,BK$4-Resumen_Sprints!$E$6),0)</f>
        <v>0</v>
      </c>
      <c r="BL10" s="36">
        <f>IF(AND(BL$4&gt;Resumen_Sprints!$E$6,BL$4&lt;=Resumen_Sprints!$E$6+Resumen_Sprints!$D$6),INDEX('Sprint N°1'!$C$10:$I$10,BL$4-Resumen_Sprints!$E$6),0)</f>
        <v>0</v>
      </c>
      <c r="BM10" s="36">
        <f>IF(AND(BM$4&gt;Resumen_Sprints!$E$6,BM$4&lt;=Resumen_Sprints!$E$6+Resumen_Sprints!$D$6),INDEX('Sprint N°1'!$C$10:$I$10,BM$4-Resumen_Sprints!$E$6),0)</f>
        <v>0</v>
      </c>
      <c r="BN10" s="36">
        <f>IF(AND(BN$4&gt;Resumen_Sprints!$E$6,BN$4&lt;=Resumen_Sprints!$E$6+Resumen_Sprints!$D$6),INDEX('Sprint N°1'!$C$10:$I$10,BN$4-Resumen_Sprints!$E$6),0)</f>
        <v>0</v>
      </c>
      <c r="BO10" s="36">
        <f>IF(AND(BO$4&gt;Resumen_Sprints!$E$6,BO$4&lt;=Resumen_Sprints!$E$6+Resumen_Sprints!$D$6),INDEX('Sprint N°1'!$C$10:$I$10,BO$4-Resumen_Sprints!$E$6),0)</f>
        <v>0</v>
      </c>
      <c r="BP10" s="36">
        <f>IF(AND(BP$4&gt;Resumen_Sprints!$E$6,BP$4&lt;=Resumen_Sprints!$E$6+Resumen_Sprints!$D$6),INDEX('Sprint N°1'!$C$10:$I$10,BP$4-Resumen_Sprints!$E$6),0)</f>
        <v>0</v>
      </c>
      <c r="BQ10" s="36">
        <f>IF(AND(BQ$4&gt;Resumen_Sprints!$E$6,BQ$4&lt;=Resumen_Sprints!$E$6+Resumen_Sprints!$D$6),INDEX('Sprint N°1'!$C$10:$I$10,BQ$4-Resumen_Sprints!$E$6),0)</f>
        <v>0</v>
      </c>
      <c r="BR10" s="36">
        <f>IF(AND(BR$4&gt;Resumen_Sprints!$E$6,BR$4&lt;=Resumen_Sprints!$E$6+Resumen_Sprints!$D$6),INDEX('Sprint N°1'!$C$10:$I$10,BR$4-Resumen_Sprints!$E$6),0)</f>
        <v>0</v>
      </c>
      <c r="BS10" s="36">
        <f>IF(AND(BS$4&gt;Resumen_Sprints!$E$6,BS$4&lt;=Resumen_Sprints!$E$6+Resumen_Sprints!$D$6),INDEX('Sprint N°1'!$C$10:$I$10,BS$4-Resumen_Sprints!$E$6),0)</f>
        <v>0</v>
      </c>
      <c r="BT10" s="36">
        <f>IF(AND(BT$4&gt;Resumen_Sprints!$E$6,BT$4&lt;=Resumen_Sprints!$E$6+Resumen_Sprints!$D$6),INDEX('Sprint N°1'!$C$10:$I$10,BT$4-Resumen_Sprints!$E$6),0)</f>
        <v>0</v>
      </c>
      <c r="BU10" s="36">
        <f>IF(AND(BU$4&gt;Resumen_Sprints!$E$6,BU$4&lt;=Resumen_Sprints!$E$6+Resumen_Sprints!$D$6),INDEX('Sprint N°1'!$C$10:$I$10,BU$4-Resumen_Sprints!$E$6),0)</f>
        <v>0</v>
      </c>
      <c r="BV10" s="36">
        <f>IF(AND(BV$4&gt;Resumen_Sprints!$E$6,BV$4&lt;=Resumen_Sprints!$E$6+Resumen_Sprints!$D$6),INDEX('Sprint N°1'!$C$10:$I$10,BV$4-Resumen_Sprints!$E$6),0)</f>
        <v>0</v>
      </c>
      <c r="BW10" s="36">
        <f>IF(AND(BW$4&gt;Resumen_Sprints!$E$6,BW$4&lt;=Resumen_Sprints!$E$6+Resumen_Sprints!$D$6),INDEX('Sprint N°1'!$C$10:$I$10,BW$4-Resumen_Sprints!$E$6),0)</f>
        <v>0</v>
      </c>
      <c r="BX10" s="36">
        <f>IF(AND(BX$4&gt;Resumen_Sprints!$E$6,BX$4&lt;=Resumen_Sprints!$E$6+Resumen_Sprints!$D$6),INDEX('Sprint N°1'!$C$10:$I$10,BX$4-Resumen_Sprints!$E$6),0)</f>
        <v>0</v>
      </c>
      <c r="BY10" s="36">
        <f>IF(AND(BY$4&gt;Resumen_Sprints!$E$6,BY$4&lt;=Resumen_Sprints!$E$6+Resumen_Sprints!$D$6),INDEX('Sprint N°1'!$C$10:$I$10,BY$4-Resumen_Sprints!$E$6),0)</f>
        <v>0</v>
      </c>
      <c r="BZ10" s="36">
        <f>IF(AND(BZ$4&gt;Resumen_Sprints!$E$6,BZ$4&lt;=Resumen_Sprints!$E$6+Resumen_Sprints!$D$6),INDEX('Sprint N°1'!$C$10:$I$10,BZ$4-Resumen_Sprints!$E$6),0)</f>
        <v>0</v>
      </c>
      <c r="CA10" s="36">
        <f>IF(AND(CA$4&gt;Resumen_Sprints!$E$6,CA$4&lt;=Resumen_Sprints!$E$6+Resumen_Sprints!$D$6),INDEX('Sprint N°1'!$C$10:$I$10,CA$4-Resumen_Sprints!$E$6),0)</f>
        <v>0</v>
      </c>
      <c r="CB10" s="36">
        <f>IF(AND(CB$4&gt;Resumen_Sprints!$E$6,CB$4&lt;=Resumen_Sprints!$E$6+Resumen_Sprints!$D$6),INDEX('Sprint N°1'!$C$10:$I$10,CB$4-Resumen_Sprints!$E$6),0)</f>
        <v>0</v>
      </c>
      <c r="CC10" s="36">
        <f>IF(AND(CC$4&gt;Resumen_Sprints!$E$6,CC$4&lt;=Resumen_Sprints!$E$6+Resumen_Sprints!$D$6),INDEX('Sprint N°1'!$C$10:$I$10,CC$4-Resumen_Sprints!$E$6),0)</f>
        <v>0</v>
      </c>
      <c r="CD10" s="36">
        <f>IF(AND(CD$4&gt;Resumen_Sprints!$E$6,CD$4&lt;=Resumen_Sprints!$E$6+Resumen_Sprints!$D$6),INDEX('Sprint N°1'!$C$10:$I$10,CD$4-Resumen_Sprints!$E$6),0)</f>
        <v>0</v>
      </c>
      <c r="CE10" s="36">
        <f>IF(AND(CE$4&gt;Resumen_Sprints!$E$6,CE$4&lt;=Resumen_Sprints!$E$6+Resumen_Sprints!$D$6),INDEX('Sprint N°1'!$C$10:$I$10,CE$4-Resumen_Sprints!$E$6),0)</f>
        <v>0</v>
      </c>
      <c r="CF10" s="36">
        <f>IF(AND(CF$4&gt;Resumen_Sprints!$E$6,CF$4&lt;=Resumen_Sprints!$E$6+Resumen_Sprints!$D$6),INDEX('Sprint N°1'!$C$10:$I$10,CF$4-Resumen_Sprints!$E$6),0)</f>
        <v>0</v>
      </c>
      <c r="CG10" s="36">
        <f>IF(AND(CG$4&gt;Resumen_Sprints!$E$6,CG$4&lt;=Resumen_Sprints!$E$6+Resumen_Sprints!$D$6),INDEX('Sprint N°1'!$C$10:$I$10,CG$4-Resumen_Sprints!$E$6),0)</f>
        <v>0</v>
      </c>
      <c r="CH10" s="36">
        <f>IF(AND(CH$4&gt;Resumen_Sprints!$E$6,CH$4&lt;=Resumen_Sprints!$E$6+Resumen_Sprints!$D$6),INDEX('Sprint N°1'!$C$10:$I$10,CH$4-Resumen_Sprints!$E$6),0)</f>
        <v>0</v>
      </c>
      <c r="CI10" s="36">
        <f>IF(AND(CI$4&gt;Resumen_Sprints!$E$6,CI$4&lt;=Resumen_Sprints!$E$6+Resumen_Sprints!$D$6),INDEX('Sprint N°1'!$C$10:$I$10,CI$4-Resumen_Sprints!$E$6),0)</f>
        <v>0</v>
      </c>
      <c r="CJ10" s="36">
        <f>IF(AND(CJ$4&gt;Resumen_Sprints!$E$6,CJ$4&lt;=Resumen_Sprints!$E$6+Resumen_Sprints!$D$6),INDEX('Sprint N°1'!$C$10:$I$10,CJ$4-Resumen_Sprints!$E$6),0)</f>
        <v>0</v>
      </c>
      <c r="CK10" s="36">
        <f>IF(AND(CK$4&gt;Resumen_Sprints!$E$6,CK$4&lt;=Resumen_Sprints!$E$6+Resumen_Sprints!$D$6),INDEX('Sprint N°1'!$C$10:$I$10,CK$4-Resumen_Sprints!$E$6),0)</f>
        <v>0</v>
      </c>
      <c r="CL10" s="36">
        <f>IF(AND(CL$4&gt;Resumen_Sprints!$E$6,CL$4&lt;=Resumen_Sprints!$E$6+Resumen_Sprints!$D$6),INDEX('Sprint N°1'!$C$10:$I$10,CL$4-Resumen_Sprints!$E$6),0)</f>
        <v>0</v>
      </c>
      <c r="CM10" s="36">
        <f>IF(AND(CM$4&gt;Resumen_Sprints!$E$6,CM$4&lt;=Resumen_Sprints!$E$6+Resumen_Sprints!$D$6),INDEX('Sprint N°1'!$C$10:$I$10,CM$4-Resumen_Sprints!$E$6),0)</f>
        <v>0</v>
      </c>
      <c r="CN10" s="36">
        <f>IF(AND(CN$4&gt;Resumen_Sprints!$E$6,CN$4&lt;=Resumen_Sprints!$E$6+Resumen_Sprints!$D$6),INDEX('Sprint N°1'!$C$10:$I$10,CN$4-Resumen_Sprints!$E$6),0)</f>
        <v>0</v>
      </c>
      <c r="CO10" s="36">
        <f>IF(AND(CO$4&gt;Resumen_Sprints!$E$6,CO$4&lt;=Resumen_Sprints!$E$6+Resumen_Sprints!$D$6),INDEX('Sprint N°1'!$C$10:$I$10,CO$4-Resumen_Sprints!$E$6),0)</f>
        <v>0</v>
      </c>
      <c r="CP10" s="36">
        <f>IF(AND(CP$4&gt;Resumen_Sprints!$E$6,CP$4&lt;=Resumen_Sprints!$E$6+Resumen_Sprints!$D$6),INDEX('Sprint N°1'!$C$10:$I$10,CP$4-Resumen_Sprints!$E$6),0)</f>
        <v>0</v>
      </c>
      <c r="CQ10" s="36">
        <f>IF(AND(CQ$4&gt;Resumen_Sprints!$E$6,CQ$4&lt;=Resumen_Sprints!$E$6+Resumen_Sprints!$D$6),INDEX('Sprint N°1'!$C$10:$I$10,CQ$4-Resumen_Sprints!$E$6),0)</f>
        <v>0</v>
      </c>
      <c r="CR10" s="36">
        <f>IF(AND(CR$4&gt;Resumen_Sprints!$E$6,CR$4&lt;=Resumen_Sprints!$E$6+Resumen_Sprints!$D$6),INDEX('Sprint N°1'!$C$10:$I$10,CR$4-Resumen_Sprints!$E$6),0)</f>
        <v>0</v>
      </c>
      <c r="CS10" s="36">
        <f>IF(AND(CS$4&gt;Resumen_Sprints!$E$6,CS$4&lt;=Resumen_Sprints!$E$6+Resumen_Sprints!$D$6),INDEX('Sprint N°1'!$C$10:$I$10,CS$4-Resumen_Sprints!$E$6),0)</f>
        <v>0</v>
      </c>
      <c r="CT10" s="36">
        <f>IF(AND(CT$4&gt;Resumen_Sprints!$E$6,CT$4&lt;=Resumen_Sprints!$E$6+Resumen_Sprints!$D$6),INDEX('Sprint N°1'!$C$10:$I$10,CT$4-Resumen_Sprints!$E$6),0)</f>
        <v>0</v>
      </c>
      <c r="CU10" s="10">
        <f>SUM(C10:CT10)</f>
        <v>8</v>
      </c>
    </row>
    <row r="11" spans="1:99" x14ac:dyDescent="0.3">
      <c r="A11" s="17" t="str">
        <f>"Sprint N°"&amp;Resumen_Sprints!A7&amp;" – "&amp;Resumen_Sprints!B7</f>
        <v>Sprint N°2 – Fase Diseño</v>
      </c>
      <c r="B11" s="26">
        <f>SUM(B12:B17)</f>
        <v>98</v>
      </c>
      <c r="C11" s="46"/>
      <c r="CU11" s="55"/>
    </row>
    <row r="12" spans="1:99" x14ac:dyDescent="0.3">
      <c r="A12" s="22" t="str">
        <f>'Sprint N°2'!A6</f>
        <v>Captura de Requerimientos Específicos (Historias de Usuario)</v>
      </c>
      <c r="B12" s="22">
        <f>'Sprint N°2'!B6</f>
        <v>16</v>
      </c>
      <c r="C12" s="36">
        <f>IF(AND(C$4&gt;Resumen_Sprints!$E$7,C$4&lt;=Resumen_Sprints!$E$7+Resumen_Sprints!$D$7),INDEX('Sprint N°2'!$C$6:$O$6,C$4-Resumen_Sprints!$E$7),0)</f>
        <v>0</v>
      </c>
      <c r="D12" s="36">
        <f>IF(AND(D$4&gt;Resumen_Sprints!$E$7,D$4&lt;=Resumen_Sprints!$E$7+Resumen_Sprints!$D$7),INDEX('Sprint N°2'!$C$6:$O$6,D$4-Resumen_Sprints!$E$7),0)</f>
        <v>0</v>
      </c>
      <c r="E12" s="36">
        <f>IF(AND(E$4&gt;Resumen_Sprints!$E$7,E$4&lt;=Resumen_Sprints!$E$7+Resumen_Sprints!$D$7),INDEX('Sprint N°2'!$C$6:$O$6,E$4-Resumen_Sprints!$E$7),0)</f>
        <v>0</v>
      </c>
      <c r="F12" s="36">
        <f>IF(AND(F$4&gt;Resumen_Sprints!$E$7,F$4&lt;=Resumen_Sprints!$E$7+Resumen_Sprints!$D$7),INDEX('Sprint N°2'!$C$6:$O$6,F$4-Resumen_Sprints!$E$7),0)</f>
        <v>0</v>
      </c>
      <c r="G12" s="36">
        <f>IF(AND(G$4&gt;Resumen_Sprints!$E$7,G$4&lt;=Resumen_Sprints!$E$7+Resumen_Sprints!$D$7),INDEX('Sprint N°2'!$C$6:$O$6,G$4-Resumen_Sprints!$E$7),0)</f>
        <v>0</v>
      </c>
      <c r="H12" s="36">
        <f>IF(AND(H$4&gt;Resumen_Sprints!$E$7,H$4&lt;=Resumen_Sprints!$E$7+Resumen_Sprints!$D$7),INDEX('Sprint N°2'!$C$6:$O$6,H$4-Resumen_Sprints!$E$7),0)</f>
        <v>0</v>
      </c>
      <c r="I12" s="36">
        <f>IF(AND(I$4&gt;Resumen_Sprints!$E$7,I$4&lt;=Resumen_Sprints!$E$7+Resumen_Sprints!$D$7),INDEX('Sprint N°2'!$C$6:$O$6,I$4-Resumen_Sprints!$E$7),0)</f>
        <v>0</v>
      </c>
      <c r="J12" s="36">
        <f>IF(AND(J$4&gt;Resumen_Sprints!$E$7,J$4&lt;=Resumen_Sprints!$E$7+Resumen_Sprints!$D$7),INDEX('Sprint N°2'!$C$6:$O$6,J$4-Resumen_Sprints!$E$7),0)</f>
        <v>7</v>
      </c>
      <c r="K12" s="36">
        <f>IF(AND(K$4&gt;Resumen_Sprints!$E$7,K$4&lt;=Resumen_Sprints!$E$7+Resumen_Sprints!$D$7),INDEX('Sprint N°2'!$C$6:$O$6,K$4-Resumen_Sprints!$E$7),0)</f>
        <v>6</v>
      </c>
      <c r="L12" s="36">
        <f>IF(AND(L$4&gt;Resumen_Sprints!$E$7,L$4&lt;=Resumen_Sprints!$E$7+Resumen_Sprints!$D$7),INDEX('Sprint N°2'!$C$6:$O$6,L$4-Resumen_Sprints!$E$7),0)</f>
        <v>3</v>
      </c>
      <c r="M12" s="36">
        <f>IF(AND(M$4&gt;Resumen_Sprints!$E$7,M$4&lt;=Resumen_Sprints!$E$7+Resumen_Sprints!$D$7),INDEX('Sprint N°2'!$C$6:$O$6,M$4-Resumen_Sprints!$E$7),0)</f>
        <v>0</v>
      </c>
      <c r="N12" s="36">
        <f>IF(AND(N$4&gt;Resumen_Sprints!$E$7,N$4&lt;=Resumen_Sprints!$E$7+Resumen_Sprints!$D$7),INDEX('Sprint N°2'!$C$6:$O$6,N$4-Resumen_Sprints!$E$7),0)</f>
        <v>0</v>
      </c>
      <c r="O12" s="36">
        <f>IF(AND(O$4&gt;Resumen_Sprints!$E$7,O$4&lt;=Resumen_Sprints!$E$7+Resumen_Sprints!$D$7),INDEX('Sprint N°2'!$C$6:$O$6,O$4-Resumen_Sprints!$E$7),0)</f>
        <v>0</v>
      </c>
      <c r="P12" s="36">
        <f>IF(AND(P$4&gt;Resumen_Sprints!$E$7,P$4&lt;=Resumen_Sprints!$E$7+Resumen_Sprints!$D$7),INDEX('Sprint N°2'!$C$6:$O$6,P$4-Resumen_Sprints!$E$7),0)</f>
        <v>0</v>
      </c>
      <c r="Q12" s="36">
        <f>IF(AND(Q$4&gt;Resumen_Sprints!$E$7,Q$4&lt;=Resumen_Sprints!$E$7+Resumen_Sprints!$D$7),INDEX('Sprint N°2'!$C$6:$O$6,Q$4-Resumen_Sprints!$E$7),0)</f>
        <v>0</v>
      </c>
      <c r="R12" s="36">
        <f>IF(AND(R$4&gt;Resumen_Sprints!$E$7,R$4&lt;=Resumen_Sprints!$E$7+Resumen_Sprints!$D$7),INDEX('Sprint N°2'!$C$6:$O$6,R$4-Resumen_Sprints!$E$7),0)</f>
        <v>0</v>
      </c>
      <c r="S12" s="36">
        <f>IF(AND(S$4&gt;Resumen_Sprints!$E$7,S$4&lt;=Resumen_Sprints!$E$7+Resumen_Sprints!$D$7),INDEX('Sprint N°2'!$C$6:$O$6,S$4-Resumen_Sprints!$E$7),0)</f>
        <v>0</v>
      </c>
      <c r="T12" s="36">
        <f>IF(AND(T$4&gt;Resumen_Sprints!$E$7,T$4&lt;=Resumen_Sprints!$E$7+Resumen_Sprints!$D$7),INDEX('Sprint N°2'!$C$6:$O$6,T$4-Resumen_Sprints!$E$7),0)</f>
        <v>0</v>
      </c>
      <c r="U12" s="36">
        <f>IF(AND(U$4&gt;Resumen_Sprints!$E$7,U$4&lt;=Resumen_Sprints!$E$7+Resumen_Sprints!$D$7),INDEX('Sprint N°2'!$C$6:$O$6,U$4-Resumen_Sprints!$E$7),0)</f>
        <v>0</v>
      </c>
      <c r="V12" s="36">
        <f>IF(AND(V$4&gt;Resumen_Sprints!$E$7,V$4&lt;=Resumen_Sprints!$E$7+Resumen_Sprints!$D$7),INDEX('Sprint N°2'!$C$6:$O$6,V$4-Resumen_Sprints!$E$7),0)</f>
        <v>0</v>
      </c>
      <c r="W12" s="36">
        <f>IF(AND(W$4&gt;Resumen_Sprints!$E$7,W$4&lt;=Resumen_Sprints!$E$7+Resumen_Sprints!$D$7),INDEX('Sprint N°2'!$C$6:$O$6,W$4-Resumen_Sprints!$E$7),0)</f>
        <v>0</v>
      </c>
      <c r="X12" s="36">
        <f>IF(AND(X$4&gt;Resumen_Sprints!$E$7,X$4&lt;=Resumen_Sprints!$E$7+Resumen_Sprints!$D$7),INDEX('Sprint N°2'!$C$6:$O$6,X$4-Resumen_Sprints!$E$7),0)</f>
        <v>0</v>
      </c>
      <c r="Y12" s="36">
        <f>IF(AND(Y$4&gt;Resumen_Sprints!$E$7,Y$4&lt;=Resumen_Sprints!$E$7+Resumen_Sprints!$D$7),INDEX('Sprint N°2'!$C$6:$O$6,Y$4-Resumen_Sprints!$E$7),0)</f>
        <v>0</v>
      </c>
      <c r="Z12" s="36">
        <f>IF(AND(Z$4&gt;Resumen_Sprints!$E$7,Z$4&lt;=Resumen_Sprints!$E$7+Resumen_Sprints!$D$7),INDEX('Sprint N°2'!$C$6:$O$6,Z$4-Resumen_Sprints!$E$7),0)</f>
        <v>0</v>
      </c>
      <c r="AA12" s="36">
        <f>IF(AND(AA$4&gt;Resumen_Sprints!$E$7,AA$4&lt;=Resumen_Sprints!$E$7+Resumen_Sprints!$D$7),INDEX('Sprint N°2'!$C$6:$O$6,AA$4-Resumen_Sprints!$E$7),0)</f>
        <v>0</v>
      </c>
      <c r="AB12" s="36">
        <f>IF(AND(AB$4&gt;Resumen_Sprints!$E$7,AB$4&lt;=Resumen_Sprints!$E$7+Resumen_Sprints!$D$7),INDEX('Sprint N°2'!$C$6:$O$6,AB$4-Resumen_Sprints!$E$7),0)</f>
        <v>0</v>
      </c>
      <c r="AC12" s="36">
        <f>IF(AND(AC$4&gt;Resumen_Sprints!$E$7,AC$4&lt;=Resumen_Sprints!$E$7+Resumen_Sprints!$D$7),INDEX('Sprint N°2'!$C$6:$O$6,AC$4-Resumen_Sprints!$E$7),0)</f>
        <v>0</v>
      </c>
      <c r="AD12" s="36">
        <f>IF(AND(AD$4&gt;Resumen_Sprints!$E$7,AD$4&lt;=Resumen_Sprints!$E$7+Resumen_Sprints!$D$7),INDEX('Sprint N°2'!$C$6:$O$6,AD$4-Resumen_Sprints!$E$7),0)</f>
        <v>0</v>
      </c>
      <c r="AE12" s="36">
        <f>IF(AND(AE$4&gt;Resumen_Sprints!$E$7,AE$4&lt;=Resumen_Sprints!$E$7+Resumen_Sprints!$D$7),INDEX('Sprint N°2'!$C$6:$O$6,AE$4-Resumen_Sprints!$E$7),0)</f>
        <v>0</v>
      </c>
      <c r="AF12" s="36">
        <f>IF(AND(AF$4&gt;Resumen_Sprints!$E$7,AF$4&lt;=Resumen_Sprints!$E$7+Resumen_Sprints!$D$7),INDEX('Sprint N°2'!$C$6:$O$6,AF$4-Resumen_Sprints!$E$7),0)</f>
        <v>0</v>
      </c>
      <c r="AG12" s="36">
        <f>IF(AND(AG$4&gt;Resumen_Sprints!$E$7,AG$4&lt;=Resumen_Sprints!$E$7+Resumen_Sprints!$D$7),INDEX('Sprint N°2'!$C$6:$O$6,AG$4-Resumen_Sprints!$E$7),0)</f>
        <v>0</v>
      </c>
      <c r="AH12" s="36">
        <f>IF(AND(AH$4&gt;Resumen_Sprints!$E$7,AH$4&lt;=Resumen_Sprints!$E$7+Resumen_Sprints!$D$7),INDEX('Sprint N°2'!$C$6:$O$6,AH$4-Resumen_Sprints!$E$7),0)</f>
        <v>0</v>
      </c>
      <c r="AI12" s="36">
        <f>IF(AND(AI$4&gt;Resumen_Sprints!$E$7,AI$4&lt;=Resumen_Sprints!$E$7+Resumen_Sprints!$D$7),INDEX('Sprint N°2'!$C$6:$O$6,AI$4-Resumen_Sprints!$E$7),0)</f>
        <v>0</v>
      </c>
      <c r="AJ12" s="36">
        <f>IF(AND(AJ$4&gt;Resumen_Sprints!$E$7,AJ$4&lt;=Resumen_Sprints!$E$7+Resumen_Sprints!$D$7),INDEX('Sprint N°2'!$C$6:$O$6,AJ$4-Resumen_Sprints!$E$7),0)</f>
        <v>0</v>
      </c>
      <c r="AK12" s="36">
        <f>IF(AND(AK$4&gt;Resumen_Sprints!$E$7,AK$4&lt;=Resumen_Sprints!$E$7+Resumen_Sprints!$D$7),INDEX('Sprint N°2'!$C$6:$O$6,AK$4-Resumen_Sprints!$E$7),0)</f>
        <v>0</v>
      </c>
      <c r="AL12" s="36">
        <f>IF(AND(AL$4&gt;Resumen_Sprints!$E$7,AL$4&lt;=Resumen_Sprints!$E$7+Resumen_Sprints!$D$7),INDEX('Sprint N°2'!$C$6:$O$6,AL$4-Resumen_Sprints!$E$7),0)</f>
        <v>0</v>
      </c>
      <c r="AM12" s="36">
        <f>IF(AND(AM$4&gt;Resumen_Sprints!$E$7,AM$4&lt;=Resumen_Sprints!$E$7+Resumen_Sprints!$D$7),INDEX('Sprint N°2'!$C$6:$O$6,AM$4-Resumen_Sprints!$E$7),0)</f>
        <v>0</v>
      </c>
      <c r="AN12" s="36">
        <f>IF(AND(AN$4&gt;Resumen_Sprints!$E$7,AN$4&lt;=Resumen_Sprints!$E$7+Resumen_Sprints!$D$7),INDEX('Sprint N°2'!$C$6:$O$6,AN$4-Resumen_Sprints!$E$7),0)</f>
        <v>0</v>
      </c>
      <c r="AO12" s="36">
        <f>IF(AND(AO$4&gt;Resumen_Sprints!$E$7,AO$4&lt;=Resumen_Sprints!$E$7+Resumen_Sprints!$D$7),INDEX('Sprint N°2'!$C$6:$O$6,AO$4-Resumen_Sprints!$E$7),0)</f>
        <v>0</v>
      </c>
      <c r="AP12" s="36">
        <f>IF(AND(AP$4&gt;Resumen_Sprints!$E$7,AP$4&lt;=Resumen_Sprints!$E$7+Resumen_Sprints!$D$7),INDEX('Sprint N°2'!$C$6:$O$6,AP$4-Resumen_Sprints!$E$7),0)</f>
        <v>0</v>
      </c>
      <c r="AQ12" s="36">
        <f>IF(AND(AQ$4&gt;Resumen_Sprints!$E$7,AQ$4&lt;=Resumen_Sprints!$E$7+Resumen_Sprints!$D$7),INDEX('Sprint N°2'!$C$6:$O$6,AQ$4-Resumen_Sprints!$E$7),0)</f>
        <v>0</v>
      </c>
      <c r="AR12" s="36">
        <f>IF(AND(AR$4&gt;Resumen_Sprints!$E$7,AR$4&lt;=Resumen_Sprints!$E$7+Resumen_Sprints!$D$7),INDEX('Sprint N°2'!$C$6:$O$6,AR$4-Resumen_Sprints!$E$7),0)</f>
        <v>0</v>
      </c>
      <c r="AS12" s="36">
        <f>IF(AND(AS$4&gt;Resumen_Sprints!$E$7,AS$4&lt;=Resumen_Sprints!$E$7+Resumen_Sprints!$D$7),INDEX('Sprint N°2'!$C$6:$O$6,AS$4-Resumen_Sprints!$E$7),0)</f>
        <v>0</v>
      </c>
      <c r="AT12" s="36">
        <f>IF(AND(AT$4&gt;Resumen_Sprints!$E$7,AT$4&lt;=Resumen_Sprints!$E$7+Resumen_Sprints!$D$7),INDEX('Sprint N°2'!$C$6:$O$6,AT$4-Resumen_Sprints!$E$7),0)</f>
        <v>0</v>
      </c>
      <c r="AU12" s="36">
        <f>IF(AND(AU$4&gt;Resumen_Sprints!$E$7,AU$4&lt;=Resumen_Sprints!$E$7+Resumen_Sprints!$D$7),INDEX('Sprint N°2'!$C$6:$O$6,AU$4-Resumen_Sprints!$E$7),0)</f>
        <v>0</v>
      </c>
      <c r="AV12" s="36">
        <f>IF(AND(AV$4&gt;Resumen_Sprints!$E$7,AV$4&lt;=Resumen_Sprints!$E$7+Resumen_Sprints!$D$7),INDEX('Sprint N°2'!$C$6:$O$6,AV$4-Resumen_Sprints!$E$7),0)</f>
        <v>0</v>
      </c>
      <c r="AW12" s="36">
        <f>IF(AND(AW$4&gt;Resumen_Sprints!$E$7,AW$4&lt;=Resumen_Sprints!$E$7+Resumen_Sprints!$D$7),INDEX('Sprint N°2'!$C$6:$O$6,AW$4-Resumen_Sprints!$E$7),0)</f>
        <v>0</v>
      </c>
      <c r="AX12" s="36">
        <f>IF(AND(AX$4&gt;Resumen_Sprints!$E$7,AX$4&lt;=Resumen_Sprints!$E$7+Resumen_Sprints!$D$7),INDEX('Sprint N°2'!$C$6:$O$6,AX$4-Resumen_Sprints!$E$7),0)</f>
        <v>0</v>
      </c>
      <c r="AY12" s="36">
        <f>IF(AND(AY$4&gt;Resumen_Sprints!$E$7,AY$4&lt;=Resumen_Sprints!$E$7+Resumen_Sprints!$D$7),INDEX('Sprint N°2'!$C$6:$O$6,AY$4-Resumen_Sprints!$E$7),0)</f>
        <v>0</v>
      </c>
      <c r="AZ12" s="36">
        <f>IF(AND(AZ$4&gt;Resumen_Sprints!$E$7,AZ$4&lt;=Resumen_Sprints!$E$7+Resumen_Sprints!$D$7),INDEX('Sprint N°2'!$C$6:$O$6,AZ$4-Resumen_Sprints!$E$7),0)</f>
        <v>0</v>
      </c>
      <c r="BA12" s="36">
        <f>IF(AND(BA$4&gt;Resumen_Sprints!$E$7,BA$4&lt;=Resumen_Sprints!$E$7+Resumen_Sprints!$D$7),INDEX('Sprint N°2'!$C$6:$O$6,BA$4-Resumen_Sprints!$E$7),0)</f>
        <v>0</v>
      </c>
      <c r="BB12" s="36">
        <f>IF(AND(BB$4&gt;Resumen_Sprints!$E$7,BB$4&lt;=Resumen_Sprints!$E$7+Resumen_Sprints!$D$7),INDEX('Sprint N°2'!$C$6:$O$6,BB$4-Resumen_Sprints!$E$7),0)</f>
        <v>0</v>
      </c>
      <c r="BC12" s="36">
        <f>IF(AND(BC$4&gt;Resumen_Sprints!$E$7,BC$4&lt;=Resumen_Sprints!$E$7+Resumen_Sprints!$D$7),INDEX('Sprint N°2'!$C$6:$O$6,BC$4-Resumen_Sprints!$E$7),0)</f>
        <v>0</v>
      </c>
      <c r="BD12" s="36">
        <f>IF(AND(BD$4&gt;Resumen_Sprints!$E$7,BD$4&lt;=Resumen_Sprints!$E$7+Resumen_Sprints!$D$7),INDEX('Sprint N°2'!$C$6:$O$6,BD$4-Resumen_Sprints!$E$7),0)</f>
        <v>0</v>
      </c>
      <c r="BE12" s="36">
        <f>IF(AND(BE$4&gt;Resumen_Sprints!$E$7,BE$4&lt;=Resumen_Sprints!$E$7+Resumen_Sprints!$D$7),INDEX('Sprint N°2'!$C$6:$O$6,BE$4-Resumen_Sprints!$E$7),0)</f>
        <v>0</v>
      </c>
      <c r="BF12" s="36">
        <f>IF(AND(BF$4&gt;Resumen_Sprints!$E$7,BF$4&lt;=Resumen_Sprints!$E$7+Resumen_Sprints!$D$7),INDEX('Sprint N°2'!$C$6:$O$6,BF$4-Resumen_Sprints!$E$7),0)</f>
        <v>0</v>
      </c>
      <c r="BG12" s="36">
        <f>IF(AND(BG$4&gt;Resumen_Sprints!$E$7,BG$4&lt;=Resumen_Sprints!$E$7+Resumen_Sprints!$D$7),INDEX('Sprint N°2'!$C$6:$O$6,BG$4-Resumen_Sprints!$E$7),0)</f>
        <v>0</v>
      </c>
      <c r="BH12" s="36">
        <f>IF(AND(BH$4&gt;Resumen_Sprints!$E$7,BH$4&lt;=Resumen_Sprints!$E$7+Resumen_Sprints!$D$7),INDEX('Sprint N°2'!$C$6:$O$6,BH$4-Resumen_Sprints!$E$7),0)</f>
        <v>0</v>
      </c>
      <c r="BI12" s="36">
        <f>IF(AND(BI$4&gt;Resumen_Sprints!$E$7,BI$4&lt;=Resumen_Sprints!$E$7+Resumen_Sprints!$D$7),INDEX('Sprint N°2'!$C$6:$O$6,BI$4-Resumen_Sprints!$E$7),0)</f>
        <v>0</v>
      </c>
      <c r="BJ12" s="36">
        <f>IF(AND(BJ$4&gt;Resumen_Sprints!$E$7,BJ$4&lt;=Resumen_Sprints!$E$7+Resumen_Sprints!$D$7),INDEX('Sprint N°2'!$C$6:$O$6,BJ$4-Resumen_Sprints!$E$7),0)</f>
        <v>0</v>
      </c>
      <c r="BK12" s="36">
        <f>IF(AND(BK$4&gt;Resumen_Sprints!$E$7,BK$4&lt;=Resumen_Sprints!$E$7+Resumen_Sprints!$D$7),INDEX('Sprint N°2'!$C$6:$O$6,BK$4-Resumen_Sprints!$E$7),0)</f>
        <v>0</v>
      </c>
      <c r="BL12" s="36">
        <f>IF(AND(BL$4&gt;Resumen_Sprints!$E$7,BL$4&lt;=Resumen_Sprints!$E$7+Resumen_Sprints!$D$7),INDEX('Sprint N°2'!$C$6:$O$6,BL$4-Resumen_Sprints!$E$7),0)</f>
        <v>0</v>
      </c>
      <c r="BM12" s="36">
        <f>IF(AND(BM$4&gt;Resumen_Sprints!$E$7,BM$4&lt;=Resumen_Sprints!$E$7+Resumen_Sprints!$D$7),INDEX('Sprint N°2'!$C$6:$O$6,BM$4-Resumen_Sprints!$E$7),0)</f>
        <v>0</v>
      </c>
      <c r="BN12" s="36">
        <f>IF(AND(BN$4&gt;Resumen_Sprints!$E$7,BN$4&lt;=Resumen_Sprints!$E$7+Resumen_Sprints!$D$7),INDEX('Sprint N°2'!$C$6:$O$6,BN$4-Resumen_Sprints!$E$7),0)</f>
        <v>0</v>
      </c>
      <c r="BO12" s="36">
        <f>IF(AND(BO$4&gt;Resumen_Sprints!$E$7,BO$4&lt;=Resumen_Sprints!$E$7+Resumen_Sprints!$D$7),INDEX('Sprint N°2'!$C$6:$O$6,BO$4-Resumen_Sprints!$E$7),0)</f>
        <v>0</v>
      </c>
      <c r="BP12" s="36">
        <f>IF(AND(BP$4&gt;Resumen_Sprints!$E$7,BP$4&lt;=Resumen_Sprints!$E$7+Resumen_Sprints!$D$7),INDEX('Sprint N°2'!$C$6:$O$6,BP$4-Resumen_Sprints!$E$7),0)</f>
        <v>0</v>
      </c>
      <c r="BQ12" s="36">
        <f>IF(AND(BQ$4&gt;Resumen_Sprints!$E$7,BQ$4&lt;=Resumen_Sprints!$E$7+Resumen_Sprints!$D$7),INDEX('Sprint N°2'!$C$6:$O$6,BQ$4-Resumen_Sprints!$E$7),0)</f>
        <v>0</v>
      </c>
      <c r="BR12" s="36">
        <f>IF(AND(BR$4&gt;Resumen_Sprints!$E$7,BR$4&lt;=Resumen_Sprints!$E$7+Resumen_Sprints!$D$7),INDEX('Sprint N°2'!$C$6:$O$6,BR$4-Resumen_Sprints!$E$7),0)</f>
        <v>0</v>
      </c>
      <c r="BS12" s="36">
        <f>IF(AND(BS$4&gt;Resumen_Sprints!$E$7,BS$4&lt;=Resumen_Sprints!$E$7+Resumen_Sprints!$D$7),INDEX('Sprint N°2'!$C$6:$O$6,BS$4-Resumen_Sprints!$E$7),0)</f>
        <v>0</v>
      </c>
      <c r="BT12" s="36">
        <f>IF(AND(BT$4&gt;Resumen_Sprints!$E$7,BT$4&lt;=Resumen_Sprints!$E$7+Resumen_Sprints!$D$7),INDEX('Sprint N°2'!$C$6:$O$6,BT$4-Resumen_Sprints!$E$7),0)</f>
        <v>0</v>
      </c>
      <c r="BU12" s="36">
        <f>IF(AND(BU$4&gt;Resumen_Sprints!$E$7,BU$4&lt;=Resumen_Sprints!$E$7+Resumen_Sprints!$D$7),INDEX('Sprint N°2'!$C$6:$O$6,BU$4-Resumen_Sprints!$E$7),0)</f>
        <v>0</v>
      </c>
      <c r="BV12" s="36">
        <f>IF(AND(BV$4&gt;Resumen_Sprints!$E$7,BV$4&lt;=Resumen_Sprints!$E$7+Resumen_Sprints!$D$7),INDEX('Sprint N°2'!$C$6:$O$6,BV$4-Resumen_Sprints!$E$7),0)</f>
        <v>0</v>
      </c>
      <c r="BW12" s="36">
        <f>IF(AND(BW$4&gt;Resumen_Sprints!$E$7,BW$4&lt;=Resumen_Sprints!$E$7+Resumen_Sprints!$D$7),INDEX('Sprint N°2'!$C$6:$O$6,BW$4-Resumen_Sprints!$E$7),0)</f>
        <v>0</v>
      </c>
      <c r="BX12" s="36">
        <f>IF(AND(BX$4&gt;Resumen_Sprints!$E$7,BX$4&lt;=Resumen_Sprints!$E$7+Resumen_Sprints!$D$7),INDEX('Sprint N°2'!$C$6:$O$6,BX$4-Resumen_Sprints!$E$7),0)</f>
        <v>0</v>
      </c>
      <c r="BY12" s="36">
        <f>IF(AND(BY$4&gt;Resumen_Sprints!$E$7,BY$4&lt;=Resumen_Sprints!$E$7+Resumen_Sprints!$D$7),INDEX('Sprint N°2'!$C$6:$O$6,BY$4-Resumen_Sprints!$E$7),0)</f>
        <v>0</v>
      </c>
      <c r="BZ12" s="36">
        <f>IF(AND(BZ$4&gt;Resumen_Sprints!$E$7,BZ$4&lt;=Resumen_Sprints!$E$7+Resumen_Sprints!$D$7),INDEX('Sprint N°2'!$C$6:$O$6,BZ$4-Resumen_Sprints!$E$7),0)</f>
        <v>0</v>
      </c>
      <c r="CA12" s="36">
        <f>IF(AND(CA$4&gt;Resumen_Sprints!$E$7,CA$4&lt;=Resumen_Sprints!$E$7+Resumen_Sprints!$D$7),INDEX('Sprint N°2'!$C$6:$O$6,CA$4-Resumen_Sprints!$E$7),0)</f>
        <v>0</v>
      </c>
      <c r="CB12" s="36">
        <f>IF(AND(CB$4&gt;Resumen_Sprints!$E$7,CB$4&lt;=Resumen_Sprints!$E$7+Resumen_Sprints!$D$7),INDEX('Sprint N°2'!$C$6:$O$6,CB$4-Resumen_Sprints!$E$7),0)</f>
        <v>0</v>
      </c>
      <c r="CC12" s="36">
        <f>IF(AND(CC$4&gt;Resumen_Sprints!$E$7,CC$4&lt;=Resumen_Sprints!$E$7+Resumen_Sprints!$D$7),INDEX('Sprint N°2'!$C$6:$O$6,CC$4-Resumen_Sprints!$E$7),0)</f>
        <v>0</v>
      </c>
      <c r="CD12" s="36">
        <f>IF(AND(CD$4&gt;Resumen_Sprints!$E$7,CD$4&lt;=Resumen_Sprints!$E$7+Resumen_Sprints!$D$7),INDEX('Sprint N°2'!$C$6:$O$6,CD$4-Resumen_Sprints!$E$7),0)</f>
        <v>0</v>
      </c>
      <c r="CE12" s="36">
        <f>IF(AND(CE$4&gt;Resumen_Sprints!$E$7,CE$4&lt;=Resumen_Sprints!$E$7+Resumen_Sprints!$D$7),INDEX('Sprint N°2'!$C$6:$O$6,CE$4-Resumen_Sprints!$E$7),0)</f>
        <v>0</v>
      </c>
      <c r="CF12" s="36">
        <f>IF(AND(CF$4&gt;Resumen_Sprints!$E$7,CF$4&lt;=Resumen_Sprints!$E$7+Resumen_Sprints!$D$7),INDEX('Sprint N°2'!$C$6:$O$6,CF$4-Resumen_Sprints!$E$7),0)</f>
        <v>0</v>
      </c>
      <c r="CG12" s="36">
        <f>IF(AND(CG$4&gt;Resumen_Sprints!$E$7,CG$4&lt;=Resumen_Sprints!$E$7+Resumen_Sprints!$D$7),INDEX('Sprint N°2'!$C$6:$O$6,CG$4-Resumen_Sprints!$E$7),0)</f>
        <v>0</v>
      </c>
      <c r="CH12" s="36">
        <f>IF(AND(CH$4&gt;Resumen_Sprints!$E$7,CH$4&lt;=Resumen_Sprints!$E$7+Resumen_Sprints!$D$7),INDEX('Sprint N°2'!$C$6:$O$6,CH$4-Resumen_Sprints!$E$7),0)</f>
        <v>0</v>
      </c>
      <c r="CI12" s="36">
        <f>IF(AND(CI$4&gt;Resumen_Sprints!$E$7,CI$4&lt;=Resumen_Sprints!$E$7+Resumen_Sprints!$D$7),INDEX('Sprint N°2'!$C$6:$O$6,CI$4-Resumen_Sprints!$E$7),0)</f>
        <v>0</v>
      </c>
      <c r="CJ12" s="36">
        <f>IF(AND(CJ$4&gt;Resumen_Sprints!$E$7,CJ$4&lt;=Resumen_Sprints!$E$7+Resumen_Sprints!$D$7),INDEX('Sprint N°2'!$C$6:$O$6,CJ$4-Resumen_Sprints!$E$7),0)</f>
        <v>0</v>
      </c>
      <c r="CK12" s="36">
        <f>IF(AND(CK$4&gt;Resumen_Sprints!$E$7,CK$4&lt;=Resumen_Sprints!$E$7+Resumen_Sprints!$D$7),INDEX('Sprint N°2'!$C$6:$O$6,CK$4-Resumen_Sprints!$E$7),0)</f>
        <v>0</v>
      </c>
      <c r="CL12" s="36">
        <f>IF(AND(CL$4&gt;Resumen_Sprints!$E$7,CL$4&lt;=Resumen_Sprints!$E$7+Resumen_Sprints!$D$7),INDEX('Sprint N°2'!$C$6:$O$6,CL$4-Resumen_Sprints!$E$7),0)</f>
        <v>0</v>
      </c>
      <c r="CM12" s="36">
        <f>IF(AND(CM$4&gt;Resumen_Sprints!$E$7,CM$4&lt;=Resumen_Sprints!$E$7+Resumen_Sprints!$D$7),INDEX('Sprint N°2'!$C$6:$O$6,CM$4-Resumen_Sprints!$E$7),0)</f>
        <v>0</v>
      </c>
      <c r="CN12" s="36">
        <f>IF(AND(CN$4&gt;Resumen_Sprints!$E$7,CN$4&lt;=Resumen_Sprints!$E$7+Resumen_Sprints!$D$7),INDEX('Sprint N°2'!$C$6:$O$6,CN$4-Resumen_Sprints!$E$7),0)</f>
        <v>0</v>
      </c>
      <c r="CO12" s="36">
        <f>IF(AND(CO$4&gt;Resumen_Sprints!$E$7,CO$4&lt;=Resumen_Sprints!$E$7+Resumen_Sprints!$D$7),INDEX('Sprint N°2'!$C$6:$O$6,CO$4-Resumen_Sprints!$E$7),0)</f>
        <v>0</v>
      </c>
      <c r="CP12" s="36">
        <f>IF(AND(CP$4&gt;Resumen_Sprints!$E$7,CP$4&lt;=Resumen_Sprints!$E$7+Resumen_Sprints!$D$7),INDEX('Sprint N°2'!$C$6:$O$6,CP$4-Resumen_Sprints!$E$7),0)</f>
        <v>0</v>
      </c>
      <c r="CQ12" s="36">
        <f>IF(AND(CQ$4&gt;Resumen_Sprints!$E$7,CQ$4&lt;=Resumen_Sprints!$E$7+Resumen_Sprints!$D$7),INDEX('Sprint N°2'!$C$6:$O$6,CQ$4-Resumen_Sprints!$E$7),0)</f>
        <v>0</v>
      </c>
      <c r="CR12" s="36">
        <f>IF(AND(CR$4&gt;Resumen_Sprints!$E$7,CR$4&lt;=Resumen_Sprints!$E$7+Resumen_Sprints!$D$7),INDEX('Sprint N°2'!$C$6:$O$6,CR$4-Resumen_Sprints!$E$7),0)</f>
        <v>0</v>
      </c>
      <c r="CS12" s="36">
        <f>IF(AND(CS$4&gt;Resumen_Sprints!$E$7,CS$4&lt;=Resumen_Sprints!$E$7+Resumen_Sprints!$D$7),INDEX('Sprint N°2'!$C$6:$O$6,CS$4-Resumen_Sprints!$E$7),0)</f>
        <v>0</v>
      </c>
      <c r="CT12" s="36">
        <f>IF(AND(CT$4&gt;Resumen_Sprints!$E$7,CT$4&lt;=Resumen_Sprints!$E$7+Resumen_Sprints!$D$7),INDEX('Sprint N°2'!$C$6:$O$6,CT$4-Resumen_Sprints!$E$7),0)</f>
        <v>0</v>
      </c>
      <c r="CU12" s="10">
        <f t="shared" ref="CU12:CU17" si="0">SUM(C12:CT12)</f>
        <v>16</v>
      </c>
    </row>
    <row r="13" spans="1:99" x14ac:dyDescent="0.3">
      <c r="A13" s="22" t="str">
        <f>'Sprint N°2'!A7</f>
        <v>Análisis de Requerimientos y Criterios de Aceptación</v>
      </c>
      <c r="B13" s="22">
        <f>'Sprint N°2'!B7</f>
        <v>14</v>
      </c>
      <c r="C13" s="36">
        <f>IF(AND(C$4&gt;Resumen_Sprints!$E$7,C$4&lt;=Resumen_Sprints!$E$7+Resumen_Sprints!$D$7),INDEX('Sprint N°2'!$C$7:$O$7,C$4-Resumen_Sprints!$E$7),0)</f>
        <v>0</v>
      </c>
      <c r="D13" s="36">
        <f>IF(AND(D$4&gt;Resumen_Sprints!$E$7,D$4&lt;=Resumen_Sprints!$E$7+Resumen_Sprints!$D$7),INDEX('Sprint N°2'!$C$7:$O$7,D$4-Resumen_Sprints!$E$7),0)</f>
        <v>0</v>
      </c>
      <c r="E13" s="36">
        <f>IF(AND(E$4&gt;Resumen_Sprints!$E$7,E$4&lt;=Resumen_Sprints!$E$7+Resumen_Sprints!$D$7),INDEX('Sprint N°2'!$C$7:$O$7,E$4-Resumen_Sprints!$E$7),0)</f>
        <v>0</v>
      </c>
      <c r="F13" s="36">
        <f>IF(AND(F$4&gt;Resumen_Sprints!$E$7,F$4&lt;=Resumen_Sprints!$E$7+Resumen_Sprints!$D$7),INDEX('Sprint N°2'!$C$7:$O$7,F$4-Resumen_Sprints!$E$7),0)</f>
        <v>0</v>
      </c>
      <c r="G13" s="36">
        <f>IF(AND(G$4&gt;Resumen_Sprints!$E$7,G$4&lt;=Resumen_Sprints!$E$7+Resumen_Sprints!$D$7),INDEX('Sprint N°2'!$C$7:$O$7,G$4-Resumen_Sprints!$E$7),0)</f>
        <v>0</v>
      </c>
      <c r="H13" s="36">
        <f>IF(AND(H$4&gt;Resumen_Sprints!$E$7,H$4&lt;=Resumen_Sprints!$E$7+Resumen_Sprints!$D$7),INDEX('Sprint N°2'!$C$7:$O$7,H$4-Resumen_Sprints!$E$7),0)</f>
        <v>0</v>
      </c>
      <c r="I13" s="36">
        <f>IF(AND(I$4&gt;Resumen_Sprints!$E$7,I$4&lt;=Resumen_Sprints!$E$7+Resumen_Sprints!$D$7),INDEX('Sprint N°2'!$C$7:$O$7,I$4-Resumen_Sprints!$E$7),0)</f>
        <v>0</v>
      </c>
      <c r="J13" s="36">
        <f>IF(AND(J$4&gt;Resumen_Sprints!$E$7,J$4&lt;=Resumen_Sprints!$E$7+Resumen_Sprints!$D$7),INDEX('Sprint N°2'!$C$7:$O$7,J$4-Resumen_Sprints!$E$7),0)</f>
        <v>0</v>
      </c>
      <c r="K13" s="36">
        <f>IF(AND(K$4&gt;Resumen_Sprints!$E$7,K$4&lt;=Resumen_Sprints!$E$7+Resumen_Sprints!$D$7),INDEX('Sprint N°2'!$C$7:$O$7,K$4-Resumen_Sprints!$E$7),0)</f>
        <v>0</v>
      </c>
      <c r="L13" s="36">
        <f>IF(AND(L$4&gt;Resumen_Sprints!$E$7,L$4&lt;=Resumen_Sprints!$E$7+Resumen_Sprints!$D$7),INDEX('Sprint N°2'!$C$7:$O$7,L$4-Resumen_Sprints!$E$7),0)</f>
        <v>4</v>
      </c>
      <c r="M13" s="36">
        <f>IF(AND(M$4&gt;Resumen_Sprints!$E$7,M$4&lt;=Resumen_Sprints!$E$7+Resumen_Sprints!$D$7),INDEX('Sprint N°2'!$C$7:$O$7,M$4-Resumen_Sprints!$E$7),0)</f>
        <v>7</v>
      </c>
      <c r="N13" s="36">
        <f>IF(AND(N$4&gt;Resumen_Sprints!$E$7,N$4&lt;=Resumen_Sprints!$E$7+Resumen_Sprints!$D$7),INDEX('Sprint N°2'!$C$7:$O$7,N$4-Resumen_Sprints!$E$7),0)</f>
        <v>3</v>
      </c>
      <c r="O13" s="36">
        <f>IF(AND(O$4&gt;Resumen_Sprints!$E$7,O$4&lt;=Resumen_Sprints!$E$7+Resumen_Sprints!$D$7),INDEX('Sprint N°2'!$C$7:$O$7,O$4-Resumen_Sprints!$E$7),0)</f>
        <v>0</v>
      </c>
      <c r="P13" s="36">
        <f>IF(AND(P$4&gt;Resumen_Sprints!$E$7,P$4&lt;=Resumen_Sprints!$E$7+Resumen_Sprints!$D$7),INDEX('Sprint N°2'!$C$7:$O$7,P$4-Resumen_Sprints!$E$7),0)</f>
        <v>0</v>
      </c>
      <c r="Q13" s="36">
        <f>IF(AND(Q$4&gt;Resumen_Sprints!$E$7,Q$4&lt;=Resumen_Sprints!$E$7+Resumen_Sprints!$D$7),INDEX('Sprint N°2'!$C$7:$O$7,Q$4-Resumen_Sprints!$E$7),0)</f>
        <v>0</v>
      </c>
      <c r="R13" s="36">
        <f>IF(AND(R$4&gt;Resumen_Sprints!$E$7,R$4&lt;=Resumen_Sprints!$E$7+Resumen_Sprints!$D$7),INDEX('Sprint N°2'!$C$7:$O$7,R$4-Resumen_Sprints!$E$7),0)</f>
        <v>0</v>
      </c>
      <c r="S13" s="36">
        <f>IF(AND(S$4&gt;Resumen_Sprints!$E$7,S$4&lt;=Resumen_Sprints!$E$7+Resumen_Sprints!$D$7),INDEX('Sprint N°2'!$C$7:$O$7,S$4-Resumen_Sprints!$E$7),0)</f>
        <v>0</v>
      </c>
      <c r="T13" s="36">
        <f>IF(AND(T$4&gt;Resumen_Sprints!$E$7,T$4&lt;=Resumen_Sprints!$E$7+Resumen_Sprints!$D$7),INDEX('Sprint N°2'!$C$7:$O$7,T$4-Resumen_Sprints!$E$7),0)</f>
        <v>0</v>
      </c>
      <c r="U13" s="36">
        <f>IF(AND(U$4&gt;Resumen_Sprints!$E$7,U$4&lt;=Resumen_Sprints!$E$7+Resumen_Sprints!$D$7),INDEX('Sprint N°2'!$C$7:$O$7,U$4-Resumen_Sprints!$E$7),0)</f>
        <v>0</v>
      </c>
      <c r="V13" s="36">
        <f>IF(AND(V$4&gt;Resumen_Sprints!$E$7,V$4&lt;=Resumen_Sprints!$E$7+Resumen_Sprints!$D$7),INDEX('Sprint N°2'!$C$7:$O$7,V$4-Resumen_Sprints!$E$7),0)</f>
        <v>0</v>
      </c>
      <c r="W13" s="36">
        <f>IF(AND(W$4&gt;Resumen_Sprints!$E$7,W$4&lt;=Resumen_Sprints!$E$7+Resumen_Sprints!$D$7),INDEX('Sprint N°2'!$C$7:$O$7,W$4-Resumen_Sprints!$E$7),0)</f>
        <v>0</v>
      </c>
      <c r="X13" s="36">
        <f>IF(AND(X$4&gt;Resumen_Sprints!$E$7,X$4&lt;=Resumen_Sprints!$E$7+Resumen_Sprints!$D$7),INDEX('Sprint N°2'!$C$7:$O$7,X$4-Resumen_Sprints!$E$7),0)</f>
        <v>0</v>
      </c>
      <c r="Y13" s="36">
        <f>IF(AND(Y$4&gt;Resumen_Sprints!$E$7,Y$4&lt;=Resumen_Sprints!$E$7+Resumen_Sprints!$D$7),INDEX('Sprint N°2'!$C$7:$O$7,Y$4-Resumen_Sprints!$E$7),0)</f>
        <v>0</v>
      </c>
      <c r="Z13" s="36">
        <f>IF(AND(Z$4&gt;Resumen_Sprints!$E$7,Z$4&lt;=Resumen_Sprints!$E$7+Resumen_Sprints!$D$7),INDEX('Sprint N°2'!$C$7:$O$7,Z$4-Resumen_Sprints!$E$7),0)</f>
        <v>0</v>
      </c>
      <c r="AA13" s="36">
        <f>IF(AND(AA$4&gt;Resumen_Sprints!$E$7,AA$4&lt;=Resumen_Sprints!$E$7+Resumen_Sprints!$D$7),INDEX('Sprint N°2'!$C$7:$O$7,AA$4-Resumen_Sprints!$E$7),0)</f>
        <v>0</v>
      </c>
      <c r="AB13" s="36">
        <f>IF(AND(AB$4&gt;Resumen_Sprints!$E$7,AB$4&lt;=Resumen_Sprints!$E$7+Resumen_Sprints!$D$7),INDEX('Sprint N°2'!$C$7:$O$7,AB$4-Resumen_Sprints!$E$7),0)</f>
        <v>0</v>
      </c>
      <c r="AC13" s="36">
        <f>IF(AND(AC$4&gt;Resumen_Sprints!$E$7,AC$4&lt;=Resumen_Sprints!$E$7+Resumen_Sprints!$D$7),INDEX('Sprint N°2'!$C$7:$O$7,AC$4-Resumen_Sprints!$E$7),0)</f>
        <v>0</v>
      </c>
      <c r="AD13" s="36">
        <f>IF(AND(AD$4&gt;Resumen_Sprints!$E$7,AD$4&lt;=Resumen_Sprints!$E$7+Resumen_Sprints!$D$7),INDEX('Sprint N°2'!$C$7:$O$7,AD$4-Resumen_Sprints!$E$7),0)</f>
        <v>0</v>
      </c>
      <c r="AE13" s="36">
        <f>IF(AND(AE$4&gt;Resumen_Sprints!$E$7,AE$4&lt;=Resumen_Sprints!$E$7+Resumen_Sprints!$D$7),INDEX('Sprint N°2'!$C$7:$O$7,AE$4-Resumen_Sprints!$E$7),0)</f>
        <v>0</v>
      </c>
      <c r="AF13" s="36">
        <f>IF(AND(AF$4&gt;Resumen_Sprints!$E$7,AF$4&lt;=Resumen_Sprints!$E$7+Resumen_Sprints!$D$7),INDEX('Sprint N°2'!$C$7:$O$7,AF$4-Resumen_Sprints!$E$7),0)</f>
        <v>0</v>
      </c>
      <c r="AG13" s="36">
        <f>IF(AND(AG$4&gt;Resumen_Sprints!$E$7,AG$4&lt;=Resumen_Sprints!$E$7+Resumen_Sprints!$D$7),INDEX('Sprint N°2'!$C$7:$O$7,AG$4-Resumen_Sprints!$E$7),0)</f>
        <v>0</v>
      </c>
      <c r="AH13" s="36">
        <f>IF(AND(AH$4&gt;Resumen_Sprints!$E$7,AH$4&lt;=Resumen_Sprints!$E$7+Resumen_Sprints!$D$7),INDEX('Sprint N°2'!$C$7:$O$7,AH$4-Resumen_Sprints!$E$7),0)</f>
        <v>0</v>
      </c>
      <c r="AI13" s="36">
        <f>IF(AND(AI$4&gt;Resumen_Sprints!$E$7,AI$4&lt;=Resumen_Sprints!$E$7+Resumen_Sprints!$D$7),INDEX('Sprint N°2'!$C$7:$O$7,AI$4-Resumen_Sprints!$E$7),0)</f>
        <v>0</v>
      </c>
      <c r="AJ13" s="36">
        <f>IF(AND(AJ$4&gt;Resumen_Sprints!$E$7,AJ$4&lt;=Resumen_Sprints!$E$7+Resumen_Sprints!$D$7),INDEX('Sprint N°2'!$C$7:$O$7,AJ$4-Resumen_Sprints!$E$7),0)</f>
        <v>0</v>
      </c>
      <c r="AK13" s="36">
        <f>IF(AND(AK$4&gt;Resumen_Sprints!$E$7,AK$4&lt;=Resumen_Sprints!$E$7+Resumen_Sprints!$D$7),INDEX('Sprint N°2'!$C$7:$O$7,AK$4-Resumen_Sprints!$E$7),0)</f>
        <v>0</v>
      </c>
      <c r="AL13" s="36">
        <f>IF(AND(AL$4&gt;Resumen_Sprints!$E$7,AL$4&lt;=Resumen_Sprints!$E$7+Resumen_Sprints!$D$7),INDEX('Sprint N°2'!$C$7:$O$7,AL$4-Resumen_Sprints!$E$7),0)</f>
        <v>0</v>
      </c>
      <c r="AM13" s="36">
        <f>IF(AND(AM$4&gt;Resumen_Sprints!$E$7,AM$4&lt;=Resumen_Sprints!$E$7+Resumen_Sprints!$D$7),INDEX('Sprint N°2'!$C$7:$O$7,AM$4-Resumen_Sprints!$E$7),0)</f>
        <v>0</v>
      </c>
      <c r="AN13" s="36">
        <f>IF(AND(AN$4&gt;Resumen_Sprints!$E$7,AN$4&lt;=Resumen_Sprints!$E$7+Resumen_Sprints!$D$7),INDEX('Sprint N°2'!$C$7:$O$7,AN$4-Resumen_Sprints!$E$7),0)</f>
        <v>0</v>
      </c>
      <c r="AO13" s="36">
        <f>IF(AND(AO$4&gt;Resumen_Sprints!$E$7,AO$4&lt;=Resumen_Sprints!$E$7+Resumen_Sprints!$D$7),INDEX('Sprint N°2'!$C$7:$O$7,AO$4-Resumen_Sprints!$E$7),0)</f>
        <v>0</v>
      </c>
      <c r="AP13" s="36">
        <f>IF(AND(AP$4&gt;Resumen_Sprints!$E$7,AP$4&lt;=Resumen_Sprints!$E$7+Resumen_Sprints!$D$7),INDEX('Sprint N°2'!$C$7:$O$7,AP$4-Resumen_Sprints!$E$7),0)</f>
        <v>0</v>
      </c>
      <c r="AQ13" s="36">
        <f>IF(AND(AQ$4&gt;Resumen_Sprints!$E$7,AQ$4&lt;=Resumen_Sprints!$E$7+Resumen_Sprints!$D$7),INDEX('Sprint N°2'!$C$7:$O$7,AQ$4-Resumen_Sprints!$E$7),0)</f>
        <v>0</v>
      </c>
      <c r="AR13" s="36">
        <f>IF(AND(AR$4&gt;Resumen_Sprints!$E$7,AR$4&lt;=Resumen_Sprints!$E$7+Resumen_Sprints!$D$7),INDEX('Sprint N°2'!$C$7:$O$7,AR$4-Resumen_Sprints!$E$7),0)</f>
        <v>0</v>
      </c>
      <c r="AS13" s="36">
        <f>IF(AND(AS$4&gt;Resumen_Sprints!$E$7,AS$4&lt;=Resumen_Sprints!$E$7+Resumen_Sprints!$D$7),INDEX('Sprint N°2'!$C$7:$O$7,AS$4-Resumen_Sprints!$E$7),0)</f>
        <v>0</v>
      </c>
      <c r="AT13" s="36">
        <f>IF(AND(AT$4&gt;Resumen_Sprints!$E$7,AT$4&lt;=Resumen_Sprints!$E$7+Resumen_Sprints!$D$7),INDEX('Sprint N°2'!$C$7:$O$7,AT$4-Resumen_Sprints!$E$7),0)</f>
        <v>0</v>
      </c>
      <c r="AU13" s="36">
        <f>IF(AND(AU$4&gt;Resumen_Sprints!$E$7,AU$4&lt;=Resumen_Sprints!$E$7+Resumen_Sprints!$D$7),INDEX('Sprint N°2'!$C$7:$O$7,AU$4-Resumen_Sprints!$E$7),0)</f>
        <v>0</v>
      </c>
      <c r="AV13" s="36">
        <f>IF(AND(AV$4&gt;Resumen_Sprints!$E$7,AV$4&lt;=Resumen_Sprints!$E$7+Resumen_Sprints!$D$7),INDEX('Sprint N°2'!$C$7:$O$7,AV$4-Resumen_Sprints!$E$7),0)</f>
        <v>0</v>
      </c>
      <c r="AW13" s="36">
        <f>IF(AND(AW$4&gt;Resumen_Sprints!$E$7,AW$4&lt;=Resumen_Sprints!$E$7+Resumen_Sprints!$D$7),INDEX('Sprint N°2'!$C$7:$O$7,AW$4-Resumen_Sprints!$E$7),0)</f>
        <v>0</v>
      </c>
      <c r="AX13" s="36">
        <f>IF(AND(AX$4&gt;Resumen_Sprints!$E$7,AX$4&lt;=Resumen_Sprints!$E$7+Resumen_Sprints!$D$7),INDEX('Sprint N°2'!$C$7:$O$7,AX$4-Resumen_Sprints!$E$7),0)</f>
        <v>0</v>
      </c>
      <c r="AY13" s="36">
        <f>IF(AND(AY$4&gt;Resumen_Sprints!$E$7,AY$4&lt;=Resumen_Sprints!$E$7+Resumen_Sprints!$D$7),INDEX('Sprint N°2'!$C$7:$O$7,AY$4-Resumen_Sprints!$E$7),0)</f>
        <v>0</v>
      </c>
      <c r="AZ13" s="36">
        <f>IF(AND(AZ$4&gt;Resumen_Sprints!$E$7,AZ$4&lt;=Resumen_Sprints!$E$7+Resumen_Sprints!$D$7),INDEX('Sprint N°2'!$C$7:$O$7,AZ$4-Resumen_Sprints!$E$7),0)</f>
        <v>0</v>
      </c>
      <c r="BA13" s="36">
        <f>IF(AND(BA$4&gt;Resumen_Sprints!$E$7,BA$4&lt;=Resumen_Sprints!$E$7+Resumen_Sprints!$D$7),INDEX('Sprint N°2'!$C$7:$O$7,BA$4-Resumen_Sprints!$E$7),0)</f>
        <v>0</v>
      </c>
      <c r="BB13" s="36">
        <f>IF(AND(BB$4&gt;Resumen_Sprints!$E$7,BB$4&lt;=Resumen_Sprints!$E$7+Resumen_Sprints!$D$7),INDEX('Sprint N°2'!$C$7:$O$7,BB$4-Resumen_Sprints!$E$7),0)</f>
        <v>0</v>
      </c>
      <c r="BC13" s="36">
        <f>IF(AND(BC$4&gt;Resumen_Sprints!$E$7,BC$4&lt;=Resumen_Sprints!$E$7+Resumen_Sprints!$D$7),INDEX('Sprint N°2'!$C$7:$O$7,BC$4-Resumen_Sprints!$E$7),0)</f>
        <v>0</v>
      </c>
      <c r="BD13" s="36">
        <f>IF(AND(BD$4&gt;Resumen_Sprints!$E$7,BD$4&lt;=Resumen_Sprints!$E$7+Resumen_Sprints!$D$7),INDEX('Sprint N°2'!$C$7:$O$7,BD$4-Resumen_Sprints!$E$7),0)</f>
        <v>0</v>
      </c>
      <c r="BE13" s="36">
        <f>IF(AND(BE$4&gt;Resumen_Sprints!$E$7,BE$4&lt;=Resumen_Sprints!$E$7+Resumen_Sprints!$D$7),INDEX('Sprint N°2'!$C$7:$O$7,BE$4-Resumen_Sprints!$E$7),0)</f>
        <v>0</v>
      </c>
      <c r="BF13" s="36">
        <f>IF(AND(BF$4&gt;Resumen_Sprints!$E$7,BF$4&lt;=Resumen_Sprints!$E$7+Resumen_Sprints!$D$7),INDEX('Sprint N°2'!$C$7:$O$7,BF$4-Resumen_Sprints!$E$7),0)</f>
        <v>0</v>
      </c>
      <c r="BG13" s="36">
        <f>IF(AND(BG$4&gt;Resumen_Sprints!$E$7,BG$4&lt;=Resumen_Sprints!$E$7+Resumen_Sprints!$D$7),INDEX('Sprint N°2'!$C$7:$O$7,BG$4-Resumen_Sprints!$E$7),0)</f>
        <v>0</v>
      </c>
      <c r="BH13" s="36">
        <f>IF(AND(BH$4&gt;Resumen_Sprints!$E$7,BH$4&lt;=Resumen_Sprints!$E$7+Resumen_Sprints!$D$7),INDEX('Sprint N°2'!$C$7:$O$7,BH$4-Resumen_Sprints!$E$7),0)</f>
        <v>0</v>
      </c>
      <c r="BI13" s="36">
        <f>IF(AND(BI$4&gt;Resumen_Sprints!$E$7,BI$4&lt;=Resumen_Sprints!$E$7+Resumen_Sprints!$D$7),INDEX('Sprint N°2'!$C$7:$O$7,BI$4-Resumen_Sprints!$E$7),0)</f>
        <v>0</v>
      </c>
      <c r="BJ13" s="36">
        <f>IF(AND(BJ$4&gt;Resumen_Sprints!$E$7,BJ$4&lt;=Resumen_Sprints!$E$7+Resumen_Sprints!$D$7),INDEX('Sprint N°2'!$C$7:$O$7,BJ$4-Resumen_Sprints!$E$7),0)</f>
        <v>0</v>
      </c>
      <c r="BK13" s="36">
        <f>IF(AND(BK$4&gt;Resumen_Sprints!$E$7,BK$4&lt;=Resumen_Sprints!$E$7+Resumen_Sprints!$D$7),INDEX('Sprint N°2'!$C$7:$O$7,BK$4-Resumen_Sprints!$E$7),0)</f>
        <v>0</v>
      </c>
      <c r="BL13" s="36">
        <f>IF(AND(BL$4&gt;Resumen_Sprints!$E$7,BL$4&lt;=Resumen_Sprints!$E$7+Resumen_Sprints!$D$7),INDEX('Sprint N°2'!$C$7:$O$7,BL$4-Resumen_Sprints!$E$7),0)</f>
        <v>0</v>
      </c>
      <c r="BM13" s="36">
        <f>IF(AND(BM$4&gt;Resumen_Sprints!$E$7,BM$4&lt;=Resumen_Sprints!$E$7+Resumen_Sprints!$D$7),INDEX('Sprint N°2'!$C$7:$O$7,BM$4-Resumen_Sprints!$E$7),0)</f>
        <v>0</v>
      </c>
      <c r="BN13" s="36">
        <f>IF(AND(BN$4&gt;Resumen_Sprints!$E$7,BN$4&lt;=Resumen_Sprints!$E$7+Resumen_Sprints!$D$7),INDEX('Sprint N°2'!$C$7:$O$7,BN$4-Resumen_Sprints!$E$7),0)</f>
        <v>0</v>
      </c>
      <c r="BO13" s="36">
        <f>IF(AND(BO$4&gt;Resumen_Sprints!$E$7,BO$4&lt;=Resumen_Sprints!$E$7+Resumen_Sprints!$D$7),INDEX('Sprint N°2'!$C$7:$O$7,BO$4-Resumen_Sprints!$E$7),0)</f>
        <v>0</v>
      </c>
      <c r="BP13" s="36">
        <f>IF(AND(BP$4&gt;Resumen_Sprints!$E$7,BP$4&lt;=Resumen_Sprints!$E$7+Resumen_Sprints!$D$7),INDEX('Sprint N°2'!$C$7:$O$7,BP$4-Resumen_Sprints!$E$7),0)</f>
        <v>0</v>
      </c>
      <c r="BQ13" s="36">
        <f>IF(AND(BQ$4&gt;Resumen_Sprints!$E$7,BQ$4&lt;=Resumen_Sprints!$E$7+Resumen_Sprints!$D$7),INDEX('Sprint N°2'!$C$7:$O$7,BQ$4-Resumen_Sprints!$E$7),0)</f>
        <v>0</v>
      </c>
      <c r="BR13" s="36">
        <f>IF(AND(BR$4&gt;Resumen_Sprints!$E$7,BR$4&lt;=Resumen_Sprints!$E$7+Resumen_Sprints!$D$7),INDEX('Sprint N°2'!$C$7:$O$7,BR$4-Resumen_Sprints!$E$7),0)</f>
        <v>0</v>
      </c>
      <c r="BS13" s="36">
        <f>IF(AND(BS$4&gt;Resumen_Sprints!$E$7,BS$4&lt;=Resumen_Sprints!$E$7+Resumen_Sprints!$D$7),INDEX('Sprint N°2'!$C$7:$O$7,BS$4-Resumen_Sprints!$E$7),0)</f>
        <v>0</v>
      </c>
      <c r="BT13" s="36">
        <f>IF(AND(BT$4&gt;Resumen_Sprints!$E$7,BT$4&lt;=Resumen_Sprints!$E$7+Resumen_Sprints!$D$7),INDEX('Sprint N°2'!$C$7:$O$7,BT$4-Resumen_Sprints!$E$7),0)</f>
        <v>0</v>
      </c>
      <c r="BU13" s="36">
        <f>IF(AND(BU$4&gt;Resumen_Sprints!$E$7,BU$4&lt;=Resumen_Sprints!$E$7+Resumen_Sprints!$D$7),INDEX('Sprint N°2'!$C$7:$O$7,BU$4-Resumen_Sprints!$E$7),0)</f>
        <v>0</v>
      </c>
      <c r="BV13" s="36">
        <f>IF(AND(BV$4&gt;Resumen_Sprints!$E$7,BV$4&lt;=Resumen_Sprints!$E$7+Resumen_Sprints!$D$7),INDEX('Sprint N°2'!$C$7:$O$7,BV$4-Resumen_Sprints!$E$7),0)</f>
        <v>0</v>
      </c>
      <c r="BW13" s="36">
        <f>IF(AND(BW$4&gt;Resumen_Sprints!$E$7,BW$4&lt;=Resumen_Sprints!$E$7+Resumen_Sprints!$D$7),INDEX('Sprint N°2'!$C$7:$O$7,BW$4-Resumen_Sprints!$E$7),0)</f>
        <v>0</v>
      </c>
      <c r="BX13" s="36">
        <f>IF(AND(BX$4&gt;Resumen_Sprints!$E$7,BX$4&lt;=Resumen_Sprints!$E$7+Resumen_Sprints!$D$7),INDEX('Sprint N°2'!$C$7:$O$7,BX$4-Resumen_Sprints!$E$7),0)</f>
        <v>0</v>
      </c>
      <c r="BY13" s="36">
        <f>IF(AND(BY$4&gt;Resumen_Sprints!$E$7,BY$4&lt;=Resumen_Sprints!$E$7+Resumen_Sprints!$D$7),INDEX('Sprint N°2'!$C$7:$O$7,BY$4-Resumen_Sprints!$E$7),0)</f>
        <v>0</v>
      </c>
      <c r="BZ13" s="36">
        <f>IF(AND(BZ$4&gt;Resumen_Sprints!$E$7,BZ$4&lt;=Resumen_Sprints!$E$7+Resumen_Sprints!$D$7),INDEX('Sprint N°2'!$C$7:$O$7,BZ$4-Resumen_Sprints!$E$7),0)</f>
        <v>0</v>
      </c>
      <c r="CA13" s="36">
        <f>IF(AND(CA$4&gt;Resumen_Sprints!$E$7,CA$4&lt;=Resumen_Sprints!$E$7+Resumen_Sprints!$D$7),INDEX('Sprint N°2'!$C$7:$O$7,CA$4-Resumen_Sprints!$E$7),0)</f>
        <v>0</v>
      </c>
      <c r="CB13" s="36">
        <f>IF(AND(CB$4&gt;Resumen_Sprints!$E$7,CB$4&lt;=Resumen_Sprints!$E$7+Resumen_Sprints!$D$7),INDEX('Sprint N°2'!$C$7:$O$7,CB$4-Resumen_Sprints!$E$7),0)</f>
        <v>0</v>
      </c>
      <c r="CC13" s="36">
        <f>IF(AND(CC$4&gt;Resumen_Sprints!$E$7,CC$4&lt;=Resumen_Sprints!$E$7+Resumen_Sprints!$D$7),INDEX('Sprint N°2'!$C$7:$O$7,CC$4-Resumen_Sprints!$E$7),0)</f>
        <v>0</v>
      </c>
      <c r="CD13" s="36">
        <f>IF(AND(CD$4&gt;Resumen_Sprints!$E$7,CD$4&lt;=Resumen_Sprints!$E$7+Resumen_Sprints!$D$7),INDEX('Sprint N°2'!$C$7:$O$7,CD$4-Resumen_Sprints!$E$7),0)</f>
        <v>0</v>
      </c>
      <c r="CE13" s="36">
        <f>IF(AND(CE$4&gt;Resumen_Sprints!$E$7,CE$4&lt;=Resumen_Sprints!$E$7+Resumen_Sprints!$D$7),INDEX('Sprint N°2'!$C$7:$O$7,CE$4-Resumen_Sprints!$E$7),0)</f>
        <v>0</v>
      </c>
      <c r="CF13" s="36">
        <f>IF(AND(CF$4&gt;Resumen_Sprints!$E$7,CF$4&lt;=Resumen_Sprints!$E$7+Resumen_Sprints!$D$7),INDEX('Sprint N°2'!$C$7:$O$7,CF$4-Resumen_Sprints!$E$7),0)</f>
        <v>0</v>
      </c>
      <c r="CG13" s="36">
        <f>IF(AND(CG$4&gt;Resumen_Sprints!$E$7,CG$4&lt;=Resumen_Sprints!$E$7+Resumen_Sprints!$D$7),INDEX('Sprint N°2'!$C$7:$O$7,CG$4-Resumen_Sprints!$E$7),0)</f>
        <v>0</v>
      </c>
      <c r="CH13" s="36">
        <f>IF(AND(CH$4&gt;Resumen_Sprints!$E$7,CH$4&lt;=Resumen_Sprints!$E$7+Resumen_Sprints!$D$7),INDEX('Sprint N°2'!$C$7:$O$7,CH$4-Resumen_Sprints!$E$7),0)</f>
        <v>0</v>
      </c>
      <c r="CI13" s="36">
        <f>IF(AND(CI$4&gt;Resumen_Sprints!$E$7,CI$4&lt;=Resumen_Sprints!$E$7+Resumen_Sprints!$D$7),INDEX('Sprint N°2'!$C$7:$O$7,CI$4-Resumen_Sprints!$E$7),0)</f>
        <v>0</v>
      </c>
      <c r="CJ13" s="36">
        <f>IF(AND(CJ$4&gt;Resumen_Sprints!$E$7,CJ$4&lt;=Resumen_Sprints!$E$7+Resumen_Sprints!$D$7),INDEX('Sprint N°2'!$C$7:$O$7,CJ$4-Resumen_Sprints!$E$7),0)</f>
        <v>0</v>
      </c>
      <c r="CK13" s="36">
        <f>IF(AND(CK$4&gt;Resumen_Sprints!$E$7,CK$4&lt;=Resumen_Sprints!$E$7+Resumen_Sprints!$D$7),INDEX('Sprint N°2'!$C$7:$O$7,CK$4-Resumen_Sprints!$E$7),0)</f>
        <v>0</v>
      </c>
      <c r="CL13" s="36">
        <f>IF(AND(CL$4&gt;Resumen_Sprints!$E$7,CL$4&lt;=Resumen_Sprints!$E$7+Resumen_Sprints!$D$7),INDEX('Sprint N°2'!$C$7:$O$7,CL$4-Resumen_Sprints!$E$7),0)</f>
        <v>0</v>
      </c>
      <c r="CM13" s="36">
        <f>IF(AND(CM$4&gt;Resumen_Sprints!$E$7,CM$4&lt;=Resumen_Sprints!$E$7+Resumen_Sprints!$D$7),INDEX('Sprint N°2'!$C$7:$O$7,CM$4-Resumen_Sprints!$E$7),0)</f>
        <v>0</v>
      </c>
      <c r="CN13" s="36">
        <f>IF(AND(CN$4&gt;Resumen_Sprints!$E$7,CN$4&lt;=Resumen_Sprints!$E$7+Resumen_Sprints!$D$7),INDEX('Sprint N°2'!$C$7:$O$7,CN$4-Resumen_Sprints!$E$7),0)</f>
        <v>0</v>
      </c>
      <c r="CO13" s="36">
        <f>IF(AND(CO$4&gt;Resumen_Sprints!$E$7,CO$4&lt;=Resumen_Sprints!$E$7+Resumen_Sprints!$D$7),INDEX('Sprint N°2'!$C$7:$O$7,CO$4-Resumen_Sprints!$E$7),0)</f>
        <v>0</v>
      </c>
      <c r="CP13" s="36">
        <f>IF(AND(CP$4&gt;Resumen_Sprints!$E$7,CP$4&lt;=Resumen_Sprints!$E$7+Resumen_Sprints!$D$7),INDEX('Sprint N°2'!$C$7:$O$7,CP$4-Resumen_Sprints!$E$7),0)</f>
        <v>0</v>
      </c>
      <c r="CQ13" s="36">
        <f>IF(AND(CQ$4&gt;Resumen_Sprints!$E$7,CQ$4&lt;=Resumen_Sprints!$E$7+Resumen_Sprints!$D$7),INDEX('Sprint N°2'!$C$7:$O$7,CQ$4-Resumen_Sprints!$E$7),0)</f>
        <v>0</v>
      </c>
      <c r="CR13" s="36">
        <f>IF(AND(CR$4&gt;Resumen_Sprints!$E$7,CR$4&lt;=Resumen_Sprints!$E$7+Resumen_Sprints!$D$7),INDEX('Sprint N°2'!$C$7:$O$7,CR$4-Resumen_Sprints!$E$7),0)</f>
        <v>0</v>
      </c>
      <c r="CS13" s="36">
        <f>IF(AND(CS$4&gt;Resumen_Sprints!$E$7,CS$4&lt;=Resumen_Sprints!$E$7+Resumen_Sprints!$D$7),INDEX('Sprint N°2'!$C$7:$O$7,CS$4-Resumen_Sprints!$E$7),0)</f>
        <v>0</v>
      </c>
      <c r="CT13" s="36">
        <f>IF(AND(CT$4&gt;Resumen_Sprints!$E$7,CT$4&lt;=Resumen_Sprints!$E$7+Resumen_Sprints!$D$7),INDEX('Sprint N°2'!$C$7:$O$7,CT$4-Resumen_Sprints!$E$7),0)</f>
        <v>0</v>
      </c>
      <c r="CU13" s="10">
        <f t="shared" si="0"/>
        <v>14</v>
      </c>
    </row>
    <row r="14" spans="1:99" x14ac:dyDescent="0.3">
      <c r="A14" s="22" t="str">
        <f>'Sprint N°2'!A8</f>
        <v>Diseño de la Solución. Modelo de Datos y UML</v>
      </c>
      <c r="B14" s="22">
        <f>'Sprint N°2'!B8</f>
        <v>23</v>
      </c>
      <c r="C14" s="36">
        <f>IF(AND(C$4&gt;Resumen_Sprints!$E$7,C$4&lt;=Resumen_Sprints!$E$7+Resumen_Sprints!$D$7),INDEX('Sprint N°2'!$C$8:$O$8,C$4-Resumen_Sprints!$E$7),0)</f>
        <v>0</v>
      </c>
      <c r="D14" s="36">
        <f>IF(AND(D$4&gt;Resumen_Sprints!$E$7,D$4&lt;=Resumen_Sprints!$E$7+Resumen_Sprints!$D$7),INDEX('Sprint N°2'!$C$8:$O$8,D$4-Resumen_Sprints!$E$7),0)</f>
        <v>0</v>
      </c>
      <c r="E14" s="36">
        <f>IF(AND(E$4&gt;Resumen_Sprints!$E$7,E$4&lt;=Resumen_Sprints!$E$7+Resumen_Sprints!$D$7),INDEX('Sprint N°2'!$C$8:$O$8,E$4-Resumen_Sprints!$E$7),0)</f>
        <v>0</v>
      </c>
      <c r="F14" s="36">
        <f>IF(AND(F$4&gt;Resumen_Sprints!$E$7,F$4&lt;=Resumen_Sprints!$E$7+Resumen_Sprints!$D$7),INDEX('Sprint N°2'!$C$8:$O$8,F$4-Resumen_Sprints!$E$7),0)</f>
        <v>0</v>
      </c>
      <c r="G14" s="36">
        <f>IF(AND(G$4&gt;Resumen_Sprints!$E$7,G$4&lt;=Resumen_Sprints!$E$7+Resumen_Sprints!$D$7),INDEX('Sprint N°2'!$C$8:$O$8,G$4-Resumen_Sprints!$E$7),0)</f>
        <v>0</v>
      </c>
      <c r="H14" s="36">
        <f>IF(AND(H$4&gt;Resumen_Sprints!$E$7,H$4&lt;=Resumen_Sprints!$E$7+Resumen_Sprints!$D$7),INDEX('Sprint N°2'!$C$8:$O$8,H$4-Resumen_Sprints!$E$7),0)</f>
        <v>0</v>
      </c>
      <c r="I14" s="36">
        <f>IF(AND(I$4&gt;Resumen_Sprints!$E$7,I$4&lt;=Resumen_Sprints!$E$7+Resumen_Sprints!$D$7),INDEX('Sprint N°2'!$C$8:$O$8,I$4-Resumen_Sprints!$E$7),0)</f>
        <v>0</v>
      </c>
      <c r="J14" s="36">
        <f>IF(AND(J$4&gt;Resumen_Sprints!$E$7,J$4&lt;=Resumen_Sprints!$E$7+Resumen_Sprints!$D$7),INDEX('Sprint N°2'!$C$8:$O$8,J$4-Resumen_Sprints!$E$7),0)</f>
        <v>0</v>
      </c>
      <c r="K14" s="36">
        <f>IF(AND(K$4&gt;Resumen_Sprints!$E$7,K$4&lt;=Resumen_Sprints!$E$7+Resumen_Sprints!$D$7),INDEX('Sprint N°2'!$C$8:$O$8,K$4-Resumen_Sprints!$E$7),0)</f>
        <v>0</v>
      </c>
      <c r="L14" s="36">
        <f>IF(AND(L$4&gt;Resumen_Sprints!$E$7,L$4&lt;=Resumen_Sprints!$E$7+Resumen_Sprints!$D$7),INDEX('Sprint N°2'!$C$8:$O$8,L$4-Resumen_Sprints!$E$7),0)</f>
        <v>0</v>
      </c>
      <c r="M14" s="36">
        <f>IF(AND(M$4&gt;Resumen_Sprints!$E$7,M$4&lt;=Resumen_Sprints!$E$7+Resumen_Sprints!$D$7),INDEX('Sprint N°2'!$C$8:$O$8,M$4-Resumen_Sprints!$E$7),0)</f>
        <v>0</v>
      </c>
      <c r="N14" s="36">
        <f>IF(AND(N$4&gt;Resumen_Sprints!$E$7,N$4&lt;=Resumen_Sprints!$E$7+Resumen_Sprints!$D$7),INDEX('Sprint N°2'!$C$8:$O$8,N$4-Resumen_Sprints!$E$7),0)</f>
        <v>7</v>
      </c>
      <c r="O14" s="36">
        <f>IF(AND(O$4&gt;Resumen_Sprints!$E$7,O$4&lt;=Resumen_Sprints!$E$7+Resumen_Sprints!$D$7),INDEX('Sprint N°2'!$C$8:$O$8,O$4-Resumen_Sprints!$E$7),0)</f>
        <v>6</v>
      </c>
      <c r="P14" s="36">
        <f>IF(AND(P$4&gt;Resumen_Sprints!$E$7,P$4&lt;=Resumen_Sprints!$E$7+Resumen_Sprints!$D$7),INDEX('Sprint N°2'!$C$8:$O$8,P$4-Resumen_Sprints!$E$7),0)</f>
        <v>7</v>
      </c>
      <c r="Q14" s="36">
        <f>IF(AND(Q$4&gt;Resumen_Sprints!$E$7,Q$4&lt;=Resumen_Sprints!$E$7+Resumen_Sprints!$D$7),INDEX('Sprint N°2'!$C$8:$O$8,Q$4-Resumen_Sprints!$E$7),0)</f>
        <v>2</v>
      </c>
      <c r="R14" s="36">
        <f>IF(AND(R$4&gt;Resumen_Sprints!$E$7,R$4&lt;=Resumen_Sprints!$E$7+Resumen_Sprints!$D$7),INDEX('Sprint N°2'!$C$8:$O$8,R$4-Resumen_Sprints!$E$7),0)</f>
        <v>0</v>
      </c>
      <c r="S14" s="36">
        <f>IF(AND(S$4&gt;Resumen_Sprints!$E$7,S$4&lt;=Resumen_Sprints!$E$7+Resumen_Sprints!$D$7),INDEX('Sprint N°2'!$C$8:$O$8,S$4-Resumen_Sprints!$E$7),0)</f>
        <v>0</v>
      </c>
      <c r="T14" s="36">
        <f>IF(AND(T$4&gt;Resumen_Sprints!$E$7,T$4&lt;=Resumen_Sprints!$E$7+Resumen_Sprints!$D$7),INDEX('Sprint N°2'!$C$8:$O$8,T$4-Resumen_Sprints!$E$7),0)</f>
        <v>0</v>
      </c>
      <c r="U14" s="36">
        <f>IF(AND(U$4&gt;Resumen_Sprints!$E$7,U$4&lt;=Resumen_Sprints!$E$7+Resumen_Sprints!$D$7),INDEX('Sprint N°2'!$C$8:$O$8,U$4-Resumen_Sprints!$E$7),0)</f>
        <v>0</v>
      </c>
      <c r="V14" s="36">
        <f>IF(AND(V$4&gt;Resumen_Sprints!$E$7,V$4&lt;=Resumen_Sprints!$E$7+Resumen_Sprints!$D$7),INDEX('Sprint N°2'!$C$8:$O$8,V$4-Resumen_Sprints!$E$7),0)</f>
        <v>0</v>
      </c>
      <c r="W14" s="36">
        <f>IF(AND(W$4&gt;Resumen_Sprints!$E$7,W$4&lt;=Resumen_Sprints!$E$7+Resumen_Sprints!$D$7),INDEX('Sprint N°2'!$C$8:$O$8,W$4-Resumen_Sprints!$E$7),0)</f>
        <v>0</v>
      </c>
      <c r="X14" s="36">
        <f>IF(AND(X$4&gt;Resumen_Sprints!$E$7,X$4&lt;=Resumen_Sprints!$E$7+Resumen_Sprints!$D$7),INDEX('Sprint N°2'!$C$8:$O$8,X$4-Resumen_Sprints!$E$7),0)</f>
        <v>0</v>
      </c>
      <c r="Y14" s="36">
        <f>IF(AND(Y$4&gt;Resumen_Sprints!$E$7,Y$4&lt;=Resumen_Sprints!$E$7+Resumen_Sprints!$D$7),INDEX('Sprint N°2'!$C$8:$O$8,Y$4-Resumen_Sprints!$E$7),0)</f>
        <v>0</v>
      </c>
      <c r="Z14" s="36">
        <f>IF(AND(Z$4&gt;Resumen_Sprints!$E$7,Z$4&lt;=Resumen_Sprints!$E$7+Resumen_Sprints!$D$7),INDEX('Sprint N°2'!$C$8:$O$8,Z$4-Resumen_Sprints!$E$7),0)</f>
        <v>0</v>
      </c>
      <c r="AA14" s="36">
        <f>IF(AND(AA$4&gt;Resumen_Sprints!$E$7,AA$4&lt;=Resumen_Sprints!$E$7+Resumen_Sprints!$D$7),INDEX('Sprint N°2'!$C$8:$O$8,AA$4-Resumen_Sprints!$E$7),0)</f>
        <v>0</v>
      </c>
      <c r="AB14" s="36">
        <f>IF(AND(AB$4&gt;Resumen_Sprints!$E$7,AB$4&lt;=Resumen_Sprints!$E$7+Resumen_Sprints!$D$7),INDEX('Sprint N°2'!$C$8:$O$8,AB$4-Resumen_Sprints!$E$7),0)</f>
        <v>0</v>
      </c>
      <c r="AC14" s="36">
        <f>IF(AND(AC$4&gt;Resumen_Sprints!$E$7,AC$4&lt;=Resumen_Sprints!$E$7+Resumen_Sprints!$D$7),INDEX('Sprint N°2'!$C$8:$O$8,AC$4-Resumen_Sprints!$E$7),0)</f>
        <v>0</v>
      </c>
      <c r="AD14" s="36">
        <f>IF(AND(AD$4&gt;Resumen_Sprints!$E$7,AD$4&lt;=Resumen_Sprints!$E$7+Resumen_Sprints!$D$7),INDEX('Sprint N°2'!$C$8:$O$8,AD$4-Resumen_Sprints!$E$7),0)</f>
        <v>0</v>
      </c>
      <c r="AE14" s="36">
        <f>IF(AND(AE$4&gt;Resumen_Sprints!$E$7,AE$4&lt;=Resumen_Sprints!$E$7+Resumen_Sprints!$D$7),INDEX('Sprint N°2'!$C$8:$O$8,AE$4-Resumen_Sprints!$E$7),0)</f>
        <v>0</v>
      </c>
      <c r="AF14" s="36">
        <f>IF(AND(AF$4&gt;Resumen_Sprints!$E$7,AF$4&lt;=Resumen_Sprints!$E$7+Resumen_Sprints!$D$7),INDEX('Sprint N°2'!$C$8:$O$8,AF$4-Resumen_Sprints!$E$7),0)</f>
        <v>0</v>
      </c>
      <c r="AG14" s="36">
        <f>IF(AND(AG$4&gt;Resumen_Sprints!$E$7,AG$4&lt;=Resumen_Sprints!$E$7+Resumen_Sprints!$D$7),INDEX('Sprint N°2'!$C$8:$O$8,AG$4-Resumen_Sprints!$E$7),0)</f>
        <v>0</v>
      </c>
      <c r="AH14" s="36">
        <f>IF(AND(AH$4&gt;Resumen_Sprints!$E$7,AH$4&lt;=Resumen_Sprints!$E$7+Resumen_Sprints!$D$7),INDEX('Sprint N°2'!$C$8:$O$8,AH$4-Resumen_Sprints!$E$7),0)</f>
        <v>0</v>
      </c>
      <c r="AI14" s="36">
        <f>IF(AND(AI$4&gt;Resumen_Sprints!$E$7,AI$4&lt;=Resumen_Sprints!$E$7+Resumen_Sprints!$D$7),INDEX('Sprint N°2'!$C$8:$O$8,AI$4-Resumen_Sprints!$E$7),0)</f>
        <v>0</v>
      </c>
      <c r="AJ14" s="36">
        <f>IF(AND(AJ$4&gt;Resumen_Sprints!$E$7,AJ$4&lt;=Resumen_Sprints!$E$7+Resumen_Sprints!$D$7),INDEX('Sprint N°2'!$C$8:$O$8,AJ$4-Resumen_Sprints!$E$7),0)</f>
        <v>0</v>
      </c>
      <c r="AK14" s="36">
        <f>IF(AND(AK$4&gt;Resumen_Sprints!$E$7,AK$4&lt;=Resumen_Sprints!$E$7+Resumen_Sprints!$D$7),INDEX('Sprint N°2'!$C$8:$O$8,AK$4-Resumen_Sprints!$E$7),0)</f>
        <v>0</v>
      </c>
      <c r="AL14" s="36">
        <f>IF(AND(AL$4&gt;Resumen_Sprints!$E$7,AL$4&lt;=Resumen_Sprints!$E$7+Resumen_Sprints!$D$7),INDEX('Sprint N°2'!$C$8:$O$8,AL$4-Resumen_Sprints!$E$7),0)</f>
        <v>0</v>
      </c>
      <c r="AM14" s="36">
        <f>IF(AND(AM$4&gt;Resumen_Sprints!$E$7,AM$4&lt;=Resumen_Sprints!$E$7+Resumen_Sprints!$D$7),INDEX('Sprint N°2'!$C$8:$O$8,AM$4-Resumen_Sprints!$E$7),0)</f>
        <v>0</v>
      </c>
      <c r="AN14" s="36">
        <f>IF(AND(AN$4&gt;Resumen_Sprints!$E$7,AN$4&lt;=Resumen_Sprints!$E$7+Resumen_Sprints!$D$7),INDEX('Sprint N°2'!$C$8:$O$8,AN$4-Resumen_Sprints!$E$7),0)</f>
        <v>0</v>
      </c>
      <c r="AO14" s="36">
        <f>IF(AND(AO$4&gt;Resumen_Sprints!$E$7,AO$4&lt;=Resumen_Sprints!$E$7+Resumen_Sprints!$D$7),INDEX('Sprint N°2'!$C$8:$O$8,AO$4-Resumen_Sprints!$E$7),0)</f>
        <v>0</v>
      </c>
      <c r="AP14" s="36">
        <f>IF(AND(AP$4&gt;Resumen_Sprints!$E$7,AP$4&lt;=Resumen_Sprints!$E$7+Resumen_Sprints!$D$7),INDEX('Sprint N°2'!$C$8:$O$8,AP$4-Resumen_Sprints!$E$7),0)</f>
        <v>0</v>
      </c>
      <c r="AQ14" s="36">
        <f>IF(AND(AQ$4&gt;Resumen_Sprints!$E$7,AQ$4&lt;=Resumen_Sprints!$E$7+Resumen_Sprints!$D$7),INDEX('Sprint N°2'!$C$8:$O$8,AQ$4-Resumen_Sprints!$E$7),0)</f>
        <v>0</v>
      </c>
      <c r="AR14" s="36">
        <f>IF(AND(AR$4&gt;Resumen_Sprints!$E$7,AR$4&lt;=Resumen_Sprints!$E$7+Resumen_Sprints!$D$7),INDEX('Sprint N°2'!$C$8:$O$8,AR$4-Resumen_Sprints!$E$7),0)</f>
        <v>0</v>
      </c>
      <c r="AS14" s="36">
        <f>IF(AND(AS$4&gt;Resumen_Sprints!$E$7,AS$4&lt;=Resumen_Sprints!$E$7+Resumen_Sprints!$D$7),INDEX('Sprint N°2'!$C$8:$O$8,AS$4-Resumen_Sprints!$E$7),0)</f>
        <v>0</v>
      </c>
      <c r="AT14" s="36">
        <f>IF(AND(AT$4&gt;Resumen_Sprints!$E$7,AT$4&lt;=Resumen_Sprints!$E$7+Resumen_Sprints!$D$7),INDEX('Sprint N°2'!$C$8:$O$8,AT$4-Resumen_Sprints!$E$7),0)</f>
        <v>0</v>
      </c>
      <c r="AU14" s="36">
        <f>IF(AND(AU$4&gt;Resumen_Sprints!$E$7,AU$4&lt;=Resumen_Sprints!$E$7+Resumen_Sprints!$D$7),INDEX('Sprint N°2'!$C$8:$O$8,AU$4-Resumen_Sprints!$E$7),0)</f>
        <v>0</v>
      </c>
      <c r="AV14" s="36">
        <f>IF(AND(AV$4&gt;Resumen_Sprints!$E$7,AV$4&lt;=Resumen_Sprints!$E$7+Resumen_Sprints!$D$7),INDEX('Sprint N°2'!$C$8:$O$8,AV$4-Resumen_Sprints!$E$7),0)</f>
        <v>0</v>
      </c>
      <c r="AW14" s="36">
        <f>IF(AND(AW$4&gt;Resumen_Sprints!$E$7,AW$4&lt;=Resumen_Sprints!$E$7+Resumen_Sprints!$D$7),INDEX('Sprint N°2'!$C$8:$O$8,AW$4-Resumen_Sprints!$E$7),0)</f>
        <v>0</v>
      </c>
      <c r="AX14" s="36">
        <f>IF(AND(AX$4&gt;Resumen_Sprints!$E$7,AX$4&lt;=Resumen_Sprints!$E$7+Resumen_Sprints!$D$7),INDEX('Sprint N°2'!$C$8:$O$8,AX$4-Resumen_Sprints!$E$7),0)</f>
        <v>0</v>
      </c>
      <c r="AY14" s="36">
        <f>IF(AND(AY$4&gt;Resumen_Sprints!$E$7,AY$4&lt;=Resumen_Sprints!$E$7+Resumen_Sprints!$D$7),INDEX('Sprint N°2'!$C$8:$O$8,AY$4-Resumen_Sprints!$E$7),0)</f>
        <v>0</v>
      </c>
      <c r="AZ14" s="36">
        <f>IF(AND(AZ$4&gt;Resumen_Sprints!$E$7,AZ$4&lt;=Resumen_Sprints!$E$7+Resumen_Sprints!$D$7),INDEX('Sprint N°2'!$C$8:$O$8,AZ$4-Resumen_Sprints!$E$7),0)</f>
        <v>0</v>
      </c>
      <c r="BA14" s="36">
        <f>IF(AND(BA$4&gt;Resumen_Sprints!$E$7,BA$4&lt;=Resumen_Sprints!$E$7+Resumen_Sprints!$D$7),INDEX('Sprint N°2'!$C$8:$O$8,BA$4-Resumen_Sprints!$E$7),0)</f>
        <v>0</v>
      </c>
      <c r="BB14" s="36">
        <f>IF(AND(BB$4&gt;Resumen_Sprints!$E$7,BB$4&lt;=Resumen_Sprints!$E$7+Resumen_Sprints!$D$7),INDEX('Sprint N°2'!$C$8:$O$8,BB$4-Resumen_Sprints!$E$7),0)</f>
        <v>0</v>
      </c>
      <c r="BC14" s="36">
        <f>IF(AND(BC$4&gt;Resumen_Sprints!$E$7,BC$4&lt;=Resumen_Sprints!$E$7+Resumen_Sprints!$D$7),INDEX('Sprint N°2'!$C$8:$O$8,BC$4-Resumen_Sprints!$E$7),0)</f>
        <v>0</v>
      </c>
      <c r="BD14" s="36">
        <f>IF(AND(BD$4&gt;Resumen_Sprints!$E$7,BD$4&lt;=Resumen_Sprints!$E$7+Resumen_Sprints!$D$7),INDEX('Sprint N°2'!$C$8:$O$8,BD$4-Resumen_Sprints!$E$7),0)</f>
        <v>0</v>
      </c>
      <c r="BE14" s="36">
        <f>IF(AND(BE$4&gt;Resumen_Sprints!$E$7,BE$4&lt;=Resumen_Sprints!$E$7+Resumen_Sprints!$D$7),INDEX('Sprint N°2'!$C$8:$O$8,BE$4-Resumen_Sprints!$E$7),0)</f>
        <v>0</v>
      </c>
      <c r="BF14" s="36">
        <f>IF(AND(BF$4&gt;Resumen_Sprints!$E$7,BF$4&lt;=Resumen_Sprints!$E$7+Resumen_Sprints!$D$7),INDEX('Sprint N°2'!$C$8:$O$8,BF$4-Resumen_Sprints!$E$7),0)</f>
        <v>0</v>
      </c>
      <c r="BG14" s="36">
        <f>IF(AND(BG$4&gt;Resumen_Sprints!$E$7,BG$4&lt;=Resumen_Sprints!$E$7+Resumen_Sprints!$D$7),INDEX('Sprint N°2'!$C$8:$O$8,BG$4-Resumen_Sprints!$E$7),0)</f>
        <v>0</v>
      </c>
      <c r="BH14" s="36">
        <f>IF(AND(BH$4&gt;Resumen_Sprints!$E$7,BH$4&lt;=Resumen_Sprints!$E$7+Resumen_Sprints!$D$7),INDEX('Sprint N°2'!$C$8:$O$8,BH$4-Resumen_Sprints!$E$7),0)</f>
        <v>0</v>
      </c>
      <c r="BI14" s="36">
        <f>IF(AND(BI$4&gt;Resumen_Sprints!$E$7,BI$4&lt;=Resumen_Sprints!$E$7+Resumen_Sprints!$D$7),INDEX('Sprint N°2'!$C$8:$O$8,BI$4-Resumen_Sprints!$E$7),0)</f>
        <v>0</v>
      </c>
      <c r="BJ14" s="36">
        <f>IF(AND(BJ$4&gt;Resumen_Sprints!$E$7,BJ$4&lt;=Resumen_Sprints!$E$7+Resumen_Sprints!$D$7),INDEX('Sprint N°2'!$C$8:$O$8,BJ$4-Resumen_Sprints!$E$7),0)</f>
        <v>0</v>
      </c>
      <c r="BK14" s="36">
        <f>IF(AND(BK$4&gt;Resumen_Sprints!$E$7,BK$4&lt;=Resumen_Sprints!$E$7+Resumen_Sprints!$D$7),INDEX('Sprint N°2'!$C$8:$O$8,BK$4-Resumen_Sprints!$E$7),0)</f>
        <v>0</v>
      </c>
      <c r="BL14" s="36">
        <f>IF(AND(BL$4&gt;Resumen_Sprints!$E$7,BL$4&lt;=Resumen_Sprints!$E$7+Resumen_Sprints!$D$7),INDEX('Sprint N°2'!$C$8:$O$8,BL$4-Resumen_Sprints!$E$7),0)</f>
        <v>0</v>
      </c>
      <c r="BM14" s="36">
        <f>IF(AND(BM$4&gt;Resumen_Sprints!$E$7,BM$4&lt;=Resumen_Sprints!$E$7+Resumen_Sprints!$D$7),INDEX('Sprint N°2'!$C$8:$O$8,BM$4-Resumen_Sprints!$E$7),0)</f>
        <v>0</v>
      </c>
      <c r="BN14" s="36">
        <f>IF(AND(BN$4&gt;Resumen_Sprints!$E$7,BN$4&lt;=Resumen_Sprints!$E$7+Resumen_Sprints!$D$7),INDEX('Sprint N°2'!$C$8:$O$8,BN$4-Resumen_Sprints!$E$7),0)</f>
        <v>0</v>
      </c>
      <c r="BO14" s="36">
        <f>IF(AND(BO$4&gt;Resumen_Sprints!$E$7,BO$4&lt;=Resumen_Sprints!$E$7+Resumen_Sprints!$D$7),INDEX('Sprint N°2'!$C$8:$O$8,BO$4-Resumen_Sprints!$E$7),0)</f>
        <v>0</v>
      </c>
      <c r="BP14" s="36">
        <f>IF(AND(BP$4&gt;Resumen_Sprints!$E$7,BP$4&lt;=Resumen_Sprints!$E$7+Resumen_Sprints!$D$7),INDEX('Sprint N°2'!$C$8:$O$8,BP$4-Resumen_Sprints!$E$7),0)</f>
        <v>0</v>
      </c>
      <c r="BQ14" s="36">
        <f>IF(AND(BQ$4&gt;Resumen_Sprints!$E$7,BQ$4&lt;=Resumen_Sprints!$E$7+Resumen_Sprints!$D$7),INDEX('Sprint N°2'!$C$8:$O$8,BQ$4-Resumen_Sprints!$E$7),0)</f>
        <v>0</v>
      </c>
      <c r="BR14" s="36">
        <f>IF(AND(BR$4&gt;Resumen_Sprints!$E$7,BR$4&lt;=Resumen_Sprints!$E$7+Resumen_Sprints!$D$7),INDEX('Sprint N°2'!$C$8:$O$8,BR$4-Resumen_Sprints!$E$7),0)</f>
        <v>0</v>
      </c>
      <c r="BS14" s="36">
        <f>IF(AND(BS$4&gt;Resumen_Sprints!$E$7,BS$4&lt;=Resumen_Sprints!$E$7+Resumen_Sprints!$D$7),INDEX('Sprint N°2'!$C$8:$O$8,BS$4-Resumen_Sprints!$E$7),0)</f>
        <v>0</v>
      </c>
      <c r="BT14" s="36">
        <f>IF(AND(BT$4&gt;Resumen_Sprints!$E$7,BT$4&lt;=Resumen_Sprints!$E$7+Resumen_Sprints!$D$7),INDEX('Sprint N°2'!$C$8:$O$8,BT$4-Resumen_Sprints!$E$7),0)</f>
        <v>0</v>
      </c>
      <c r="BU14" s="36">
        <f>IF(AND(BU$4&gt;Resumen_Sprints!$E$7,BU$4&lt;=Resumen_Sprints!$E$7+Resumen_Sprints!$D$7),INDEX('Sprint N°2'!$C$8:$O$8,BU$4-Resumen_Sprints!$E$7),0)</f>
        <v>0</v>
      </c>
      <c r="BV14" s="36">
        <f>IF(AND(BV$4&gt;Resumen_Sprints!$E$7,BV$4&lt;=Resumen_Sprints!$E$7+Resumen_Sprints!$D$7),INDEX('Sprint N°2'!$C$8:$O$8,BV$4-Resumen_Sprints!$E$7),0)</f>
        <v>0</v>
      </c>
      <c r="BW14" s="36">
        <f>IF(AND(BW$4&gt;Resumen_Sprints!$E$7,BW$4&lt;=Resumen_Sprints!$E$7+Resumen_Sprints!$D$7),INDEX('Sprint N°2'!$C$8:$O$8,BW$4-Resumen_Sprints!$E$7),0)</f>
        <v>0</v>
      </c>
      <c r="BX14" s="36">
        <f>IF(AND(BX$4&gt;Resumen_Sprints!$E$7,BX$4&lt;=Resumen_Sprints!$E$7+Resumen_Sprints!$D$7),INDEX('Sprint N°2'!$C$8:$O$8,BX$4-Resumen_Sprints!$E$7),0)</f>
        <v>0</v>
      </c>
      <c r="BY14" s="36">
        <f>IF(AND(BY$4&gt;Resumen_Sprints!$E$7,BY$4&lt;=Resumen_Sprints!$E$7+Resumen_Sprints!$D$7),INDEX('Sprint N°2'!$C$8:$O$8,BY$4-Resumen_Sprints!$E$7),0)</f>
        <v>0</v>
      </c>
      <c r="BZ14" s="36">
        <f>IF(AND(BZ$4&gt;Resumen_Sprints!$E$7,BZ$4&lt;=Resumen_Sprints!$E$7+Resumen_Sprints!$D$7),INDEX('Sprint N°2'!$C$8:$O$8,BZ$4-Resumen_Sprints!$E$7),0)</f>
        <v>0</v>
      </c>
      <c r="CA14" s="36">
        <f>IF(AND(CA$4&gt;Resumen_Sprints!$E$7,CA$4&lt;=Resumen_Sprints!$E$7+Resumen_Sprints!$D$7),INDEX('Sprint N°2'!$C$8:$O$8,CA$4-Resumen_Sprints!$E$7),0)</f>
        <v>0</v>
      </c>
      <c r="CB14" s="36">
        <f>IF(AND(CB$4&gt;Resumen_Sprints!$E$7,CB$4&lt;=Resumen_Sprints!$E$7+Resumen_Sprints!$D$7),INDEX('Sprint N°2'!$C$8:$O$8,CB$4-Resumen_Sprints!$E$7),0)</f>
        <v>0</v>
      </c>
      <c r="CC14" s="36">
        <f>IF(AND(CC$4&gt;Resumen_Sprints!$E$7,CC$4&lt;=Resumen_Sprints!$E$7+Resumen_Sprints!$D$7),INDEX('Sprint N°2'!$C$8:$O$8,CC$4-Resumen_Sprints!$E$7),0)</f>
        <v>0</v>
      </c>
      <c r="CD14" s="36">
        <f>IF(AND(CD$4&gt;Resumen_Sprints!$E$7,CD$4&lt;=Resumen_Sprints!$E$7+Resumen_Sprints!$D$7),INDEX('Sprint N°2'!$C$8:$O$8,CD$4-Resumen_Sprints!$E$7),0)</f>
        <v>0</v>
      </c>
      <c r="CE14" s="36">
        <f>IF(AND(CE$4&gt;Resumen_Sprints!$E$7,CE$4&lt;=Resumen_Sprints!$E$7+Resumen_Sprints!$D$7),INDEX('Sprint N°2'!$C$8:$O$8,CE$4-Resumen_Sprints!$E$7),0)</f>
        <v>0</v>
      </c>
      <c r="CF14" s="36">
        <f>IF(AND(CF$4&gt;Resumen_Sprints!$E$7,CF$4&lt;=Resumen_Sprints!$E$7+Resumen_Sprints!$D$7),INDEX('Sprint N°2'!$C$8:$O$8,CF$4-Resumen_Sprints!$E$7),0)</f>
        <v>0</v>
      </c>
      <c r="CG14" s="36">
        <f>IF(AND(CG$4&gt;Resumen_Sprints!$E$7,CG$4&lt;=Resumen_Sprints!$E$7+Resumen_Sprints!$D$7),INDEX('Sprint N°2'!$C$8:$O$8,CG$4-Resumen_Sprints!$E$7),0)</f>
        <v>0</v>
      </c>
      <c r="CH14" s="36">
        <f>IF(AND(CH$4&gt;Resumen_Sprints!$E$7,CH$4&lt;=Resumen_Sprints!$E$7+Resumen_Sprints!$D$7),INDEX('Sprint N°2'!$C$8:$O$8,CH$4-Resumen_Sprints!$E$7),0)</f>
        <v>0</v>
      </c>
      <c r="CI14" s="36">
        <f>IF(AND(CI$4&gt;Resumen_Sprints!$E$7,CI$4&lt;=Resumen_Sprints!$E$7+Resumen_Sprints!$D$7),INDEX('Sprint N°2'!$C$8:$O$8,CI$4-Resumen_Sprints!$E$7),0)</f>
        <v>0</v>
      </c>
      <c r="CJ14" s="36">
        <f>IF(AND(CJ$4&gt;Resumen_Sprints!$E$7,CJ$4&lt;=Resumen_Sprints!$E$7+Resumen_Sprints!$D$7),INDEX('Sprint N°2'!$C$8:$O$8,CJ$4-Resumen_Sprints!$E$7),0)</f>
        <v>0</v>
      </c>
      <c r="CK14" s="36">
        <f>IF(AND(CK$4&gt;Resumen_Sprints!$E$7,CK$4&lt;=Resumen_Sprints!$E$7+Resumen_Sprints!$D$7),INDEX('Sprint N°2'!$C$8:$O$8,CK$4-Resumen_Sprints!$E$7),0)</f>
        <v>0</v>
      </c>
      <c r="CL14" s="36">
        <f>IF(AND(CL$4&gt;Resumen_Sprints!$E$7,CL$4&lt;=Resumen_Sprints!$E$7+Resumen_Sprints!$D$7),INDEX('Sprint N°2'!$C$8:$O$8,CL$4-Resumen_Sprints!$E$7),0)</f>
        <v>0</v>
      </c>
      <c r="CM14" s="36">
        <f>IF(AND(CM$4&gt;Resumen_Sprints!$E$7,CM$4&lt;=Resumen_Sprints!$E$7+Resumen_Sprints!$D$7),INDEX('Sprint N°2'!$C$8:$O$8,CM$4-Resumen_Sprints!$E$7),0)</f>
        <v>0</v>
      </c>
      <c r="CN14" s="36">
        <f>IF(AND(CN$4&gt;Resumen_Sprints!$E$7,CN$4&lt;=Resumen_Sprints!$E$7+Resumen_Sprints!$D$7),INDEX('Sprint N°2'!$C$8:$O$8,CN$4-Resumen_Sprints!$E$7),0)</f>
        <v>0</v>
      </c>
      <c r="CO14" s="36">
        <f>IF(AND(CO$4&gt;Resumen_Sprints!$E$7,CO$4&lt;=Resumen_Sprints!$E$7+Resumen_Sprints!$D$7),INDEX('Sprint N°2'!$C$8:$O$8,CO$4-Resumen_Sprints!$E$7),0)</f>
        <v>0</v>
      </c>
      <c r="CP14" s="36">
        <f>IF(AND(CP$4&gt;Resumen_Sprints!$E$7,CP$4&lt;=Resumen_Sprints!$E$7+Resumen_Sprints!$D$7),INDEX('Sprint N°2'!$C$8:$O$8,CP$4-Resumen_Sprints!$E$7),0)</f>
        <v>0</v>
      </c>
      <c r="CQ14" s="36">
        <f>IF(AND(CQ$4&gt;Resumen_Sprints!$E$7,CQ$4&lt;=Resumen_Sprints!$E$7+Resumen_Sprints!$D$7),INDEX('Sprint N°2'!$C$8:$O$8,CQ$4-Resumen_Sprints!$E$7),0)</f>
        <v>0</v>
      </c>
      <c r="CR14" s="36">
        <f>IF(AND(CR$4&gt;Resumen_Sprints!$E$7,CR$4&lt;=Resumen_Sprints!$E$7+Resumen_Sprints!$D$7),INDEX('Sprint N°2'!$C$8:$O$8,CR$4-Resumen_Sprints!$E$7),0)</f>
        <v>0</v>
      </c>
      <c r="CS14" s="36">
        <f>IF(AND(CS$4&gt;Resumen_Sprints!$E$7,CS$4&lt;=Resumen_Sprints!$E$7+Resumen_Sprints!$D$7),INDEX('Sprint N°2'!$C$8:$O$8,CS$4-Resumen_Sprints!$E$7),0)</f>
        <v>0</v>
      </c>
      <c r="CT14" s="36">
        <f>IF(AND(CT$4&gt;Resumen_Sprints!$E$7,CT$4&lt;=Resumen_Sprints!$E$7+Resumen_Sprints!$D$7),INDEX('Sprint N°2'!$C$8:$O$8,CT$4-Resumen_Sprints!$E$7),0)</f>
        <v>0</v>
      </c>
      <c r="CU14" s="10">
        <f t="shared" si="0"/>
        <v>22</v>
      </c>
    </row>
    <row r="15" spans="1:99" x14ac:dyDescent="0.3">
      <c r="A15" s="22" t="str">
        <f>'Sprint N°2'!A9</f>
        <v>Diseño de Prototipos de Interfaz</v>
      </c>
      <c r="B15" s="22">
        <f>'Sprint N°2'!B9</f>
        <v>18</v>
      </c>
      <c r="C15" s="36">
        <f>IF(AND(C$4&gt;Resumen_Sprints!$E$7,C$4&lt;=Resumen_Sprints!$E$7+Resumen_Sprints!$D$7),INDEX('Sprint N°2'!$C$9:$O$9,C$4-Resumen_Sprints!$E$7),0)</f>
        <v>0</v>
      </c>
      <c r="D15" s="36">
        <f>IF(AND(D$4&gt;Resumen_Sprints!$E$7,D$4&lt;=Resumen_Sprints!$E$7+Resumen_Sprints!$D$7),INDEX('Sprint N°2'!$C$9:$O$9,D$4-Resumen_Sprints!$E$7),0)</f>
        <v>0</v>
      </c>
      <c r="E15" s="36">
        <f>IF(AND(E$4&gt;Resumen_Sprints!$E$7,E$4&lt;=Resumen_Sprints!$E$7+Resumen_Sprints!$D$7),INDEX('Sprint N°2'!$C$9:$O$9,E$4-Resumen_Sprints!$E$7),0)</f>
        <v>0</v>
      </c>
      <c r="F15" s="36">
        <f>IF(AND(F$4&gt;Resumen_Sprints!$E$7,F$4&lt;=Resumen_Sprints!$E$7+Resumen_Sprints!$D$7),INDEX('Sprint N°2'!$C$9:$O$9,F$4-Resumen_Sprints!$E$7),0)</f>
        <v>0</v>
      </c>
      <c r="G15" s="36">
        <f>IF(AND(G$4&gt;Resumen_Sprints!$E$7,G$4&lt;=Resumen_Sprints!$E$7+Resumen_Sprints!$D$7),INDEX('Sprint N°2'!$C$9:$O$9,G$4-Resumen_Sprints!$E$7),0)</f>
        <v>0</v>
      </c>
      <c r="H15" s="36">
        <f>IF(AND(H$4&gt;Resumen_Sprints!$E$7,H$4&lt;=Resumen_Sprints!$E$7+Resumen_Sprints!$D$7),INDEX('Sprint N°2'!$C$9:$O$9,H$4-Resumen_Sprints!$E$7),0)</f>
        <v>0</v>
      </c>
      <c r="I15" s="36">
        <f>IF(AND(I$4&gt;Resumen_Sprints!$E$7,I$4&lt;=Resumen_Sprints!$E$7+Resumen_Sprints!$D$7),INDEX('Sprint N°2'!$C$9:$O$9,I$4-Resumen_Sprints!$E$7),0)</f>
        <v>0</v>
      </c>
      <c r="J15" s="36">
        <f>IF(AND(J$4&gt;Resumen_Sprints!$E$7,J$4&lt;=Resumen_Sprints!$E$7+Resumen_Sprints!$D$7),INDEX('Sprint N°2'!$C$9:$O$9,J$4-Resumen_Sprints!$E$7),0)</f>
        <v>0</v>
      </c>
      <c r="K15" s="36">
        <f>IF(AND(K$4&gt;Resumen_Sprints!$E$7,K$4&lt;=Resumen_Sprints!$E$7+Resumen_Sprints!$D$7),INDEX('Sprint N°2'!$C$9:$O$9,K$4-Resumen_Sprints!$E$7),0)</f>
        <v>0</v>
      </c>
      <c r="L15" s="36">
        <f>IF(AND(L$4&gt;Resumen_Sprints!$E$7,L$4&lt;=Resumen_Sprints!$E$7+Resumen_Sprints!$D$7),INDEX('Sprint N°2'!$C$9:$O$9,L$4-Resumen_Sprints!$E$7),0)</f>
        <v>0</v>
      </c>
      <c r="M15" s="36">
        <f>IF(AND(M$4&gt;Resumen_Sprints!$E$7,M$4&lt;=Resumen_Sprints!$E$7+Resumen_Sprints!$D$7),INDEX('Sprint N°2'!$C$9:$O$9,M$4-Resumen_Sprints!$E$7),0)</f>
        <v>0</v>
      </c>
      <c r="N15" s="36">
        <f>IF(AND(N$4&gt;Resumen_Sprints!$E$7,N$4&lt;=Resumen_Sprints!$E$7+Resumen_Sprints!$D$7),INDEX('Sprint N°2'!$C$9:$O$9,N$4-Resumen_Sprints!$E$7),0)</f>
        <v>0</v>
      </c>
      <c r="O15" s="36">
        <f>IF(AND(O$4&gt;Resumen_Sprints!$E$7,O$4&lt;=Resumen_Sprints!$E$7+Resumen_Sprints!$D$7),INDEX('Sprint N°2'!$C$9:$O$9,O$4-Resumen_Sprints!$E$7),0)</f>
        <v>0</v>
      </c>
      <c r="P15" s="36">
        <f>IF(AND(P$4&gt;Resumen_Sprints!$E$7,P$4&lt;=Resumen_Sprints!$E$7+Resumen_Sprints!$D$7),INDEX('Sprint N°2'!$C$9:$O$9,P$4-Resumen_Sprints!$E$7),0)</f>
        <v>0</v>
      </c>
      <c r="Q15" s="36">
        <f>IF(AND(Q$4&gt;Resumen_Sprints!$E$7,Q$4&lt;=Resumen_Sprints!$E$7+Resumen_Sprints!$D$7),INDEX('Sprint N°2'!$C$9:$O$9,Q$4-Resumen_Sprints!$E$7),0)</f>
        <v>6</v>
      </c>
      <c r="R15" s="36">
        <f>IF(AND(R$4&gt;Resumen_Sprints!$E$7,R$4&lt;=Resumen_Sprints!$E$7+Resumen_Sprints!$D$7),INDEX('Sprint N°2'!$C$9:$O$9,R$4-Resumen_Sprints!$E$7),0)</f>
        <v>10</v>
      </c>
      <c r="S15" s="36">
        <f>IF(AND(S$4&gt;Resumen_Sprints!$E$7,S$4&lt;=Resumen_Sprints!$E$7+Resumen_Sprints!$D$7),INDEX('Sprint N°2'!$C$9:$O$9,S$4-Resumen_Sprints!$E$7),0)</f>
        <v>2</v>
      </c>
      <c r="T15" s="36">
        <f>IF(AND(T$4&gt;Resumen_Sprints!$E$7,T$4&lt;=Resumen_Sprints!$E$7+Resumen_Sprints!$D$7),INDEX('Sprint N°2'!$C$9:$O$9,T$4-Resumen_Sprints!$E$7),0)</f>
        <v>0</v>
      </c>
      <c r="U15" s="36">
        <f>IF(AND(U$4&gt;Resumen_Sprints!$E$7,U$4&lt;=Resumen_Sprints!$E$7+Resumen_Sprints!$D$7),INDEX('Sprint N°2'!$C$9:$O$9,U$4-Resumen_Sprints!$E$7),0)</f>
        <v>0</v>
      </c>
      <c r="V15" s="36">
        <f>IF(AND(V$4&gt;Resumen_Sprints!$E$7,V$4&lt;=Resumen_Sprints!$E$7+Resumen_Sprints!$D$7),INDEX('Sprint N°2'!$C$9:$O$9,V$4-Resumen_Sprints!$E$7),0)</f>
        <v>0</v>
      </c>
      <c r="W15" s="36">
        <f>IF(AND(W$4&gt;Resumen_Sprints!$E$7,W$4&lt;=Resumen_Sprints!$E$7+Resumen_Sprints!$D$7),INDEX('Sprint N°2'!$C$9:$O$9,W$4-Resumen_Sprints!$E$7),0)</f>
        <v>0</v>
      </c>
      <c r="X15" s="36">
        <f>IF(AND(X$4&gt;Resumen_Sprints!$E$7,X$4&lt;=Resumen_Sprints!$E$7+Resumen_Sprints!$D$7),INDEX('Sprint N°2'!$C$9:$O$9,X$4-Resumen_Sprints!$E$7),0)</f>
        <v>0</v>
      </c>
      <c r="Y15" s="36">
        <f>IF(AND(Y$4&gt;Resumen_Sprints!$E$7,Y$4&lt;=Resumen_Sprints!$E$7+Resumen_Sprints!$D$7),INDEX('Sprint N°2'!$C$9:$O$9,Y$4-Resumen_Sprints!$E$7),0)</f>
        <v>0</v>
      </c>
      <c r="Z15" s="36">
        <f>IF(AND(Z$4&gt;Resumen_Sprints!$E$7,Z$4&lt;=Resumen_Sprints!$E$7+Resumen_Sprints!$D$7),INDEX('Sprint N°2'!$C$9:$O$9,Z$4-Resumen_Sprints!$E$7),0)</f>
        <v>0</v>
      </c>
      <c r="AA15" s="36">
        <f>IF(AND(AA$4&gt;Resumen_Sprints!$E$7,AA$4&lt;=Resumen_Sprints!$E$7+Resumen_Sprints!$D$7),INDEX('Sprint N°2'!$C$9:$O$9,AA$4-Resumen_Sprints!$E$7),0)</f>
        <v>0</v>
      </c>
      <c r="AB15" s="36">
        <f>IF(AND(AB$4&gt;Resumen_Sprints!$E$7,AB$4&lt;=Resumen_Sprints!$E$7+Resumen_Sprints!$D$7),INDEX('Sprint N°2'!$C$9:$O$9,AB$4-Resumen_Sprints!$E$7),0)</f>
        <v>0</v>
      </c>
      <c r="AC15" s="36">
        <f>IF(AND(AC$4&gt;Resumen_Sprints!$E$7,AC$4&lt;=Resumen_Sprints!$E$7+Resumen_Sprints!$D$7),INDEX('Sprint N°2'!$C$9:$O$9,AC$4-Resumen_Sprints!$E$7),0)</f>
        <v>0</v>
      </c>
      <c r="AD15" s="36">
        <f>IF(AND(AD$4&gt;Resumen_Sprints!$E$7,AD$4&lt;=Resumen_Sprints!$E$7+Resumen_Sprints!$D$7),INDEX('Sprint N°2'!$C$9:$O$9,AD$4-Resumen_Sprints!$E$7),0)</f>
        <v>0</v>
      </c>
      <c r="AE15" s="36">
        <f>IF(AND(AE$4&gt;Resumen_Sprints!$E$7,AE$4&lt;=Resumen_Sprints!$E$7+Resumen_Sprints!$D$7),INDEX('Sprint N°2'!$C$9:$O$9,AE$4-Resumen_Sprints!$E$7),0)</f>
        <v>0</v>
      </c>
      <c r="AF15" s="36">
        <f>IF(AND(AF$4&gt;Resumen_Sprints!$E$7,AF$4&lt;=Resumen_Sprints!$E$7+Resumen_Sprints!$D$7),INDEX('Sprint N°2'!$C$9:$O$9,AF$4-Resumen_Sprints!$E$7),0)</f>
        <v>0</v>
      </c>
      <c r="AG15" s="36">
        <f>IF(AND(AG$4&gt;Resumen_Sprints!$E$7,AG$4&lt;=Resumen_Sprints!$E$7+Resumen_Sprints!$D$7),INDEX('Sprint N°2'!$C$9:$O$9,AG$4-Resumen_Sprints!$E$7),0)</f>
        <v>0</v>
      </c>
      <c r="AH15" s="36">
        <f>IF(AND(AH$4&gt;Resumen_Sprints!$E$7,AH$4&lt;=Resumen_Sprints!$E$7+Resumen_Sprints!$D$7),INDEX('Sprint N°2'!$C$9:$O$9,AH$4-Resumen_Sprints!$E$7),0)</f>
        <v>0</v>
      </c>
      <c r="AI15" s="36">
        <f>IF(AND(AI$4&gt;Resumen_Sprints!$E$7,AI$4&lt;=Resumen_Sprints!$E$7+Resumen_Sprints!$D$7),INDEX('Sprint N°2'!$C$9:$O$9,AI$4-Resumen_Sprints!$E$7),0)</f>
        <v>0</v>
      </c>
      <c r="AJ15" s="36">
        <f>IF(AND(AJ$4&gt;Resumen_Sprints!$E$7,AJ$4&lt;=Resumen_Sprints!$E$7+Resumen_Sprints!$D$7),INDEX('Sprint N°2'!$C$9:$O$9,AJ$4-Resumen_Sprints!$E$7),0)</f>
        <v>0</v>
      </c>
      <c r="AK15" s="36">
        <f>IF(AND(AK$4&gt;Resumen_Sprints!$E$7,AK$4&lt;=Resumen_Sprints!$E$7+Resumen_Sprints!$D$7),INDEX('Sprint N°2'!$C$9:$O$9,AK$4-Resumen_Sprints!$E$7),0)</f>
        <v>0</v>
      </c>
      <c r="AL15" s="36">
        <f>IF(AND(AL$4&gt;Resumen_Sprints!$E$7,AL$4&lt;=Resumen_Sprints!$E$7+Resumen_Sprints!$D$7),INDEX('Sprint N°2'!$C$9:$O$9,AL$4-Resumen_Sprints!$E$7),0)</f>
        <v>0</v>
      </c>
      <c r="AM15" s="36">
        <f>IF(AND(AM$4&gt;Resumen_Sprints!$E$7,AM$4&lt;=Resumen_Sprints!$E$7+Resumen_Sprints!$D$7),INDEX('Sprint N°2'!$C$9:$O$9,AM$4-Resumen_Sprints!$E$7),0)</f>
        <v>0</v>
      </c>
      <c r="AN15" s="36">
        <f>IF(AND(AN$4&gt;Resumen_Sprints!$E$7,AN$4&lt;=Resumen_Sprints!$E$7+Resumen_Sprints!$D$7),INDEX('Sprint N°2'!$C$9:$O$9,AN$4-Resumen_Sprints!$E$7),0)</f>
        <v>0</v>
      </c>
      <c r="AO15" s="36">
        <f>IF(AND(AO$4&gt;Resumen_Sprints!$E$7,AO$4&lt;=Resumen_Sprints!$E$7+Resumen_Sprints!$D$7),INDEX('Sprint N°2'!$C$9:$O$9,AO$4-Resumen_Sprints!$E$7),0)</f>
        <v>0</v>
      </c>
      <c r="AP15" s="36">
        <f>IF(AND(AP$4&gt;Resumen_Sprints!$E$7,AP$4&lt;=Resumen_Sprints!$E$7+Resumen_Sprints!$D$7),INDEX('Sprint N°2'!$C$9:$O$9,AP$4-Resumen_Sprints!$E$7),0)</f>
        <v>0</v>
      </c>
      <c r="AQ15" s="36">
        <f>IF(AND(AQ$4&gt;Resumen_Sprints!$E$7,AQ$4&lt;=Resumen_Sprints!$E$7+Resumen_Sprints!$D$7),INDEX('Sprint N°2'!$C$9:$O$9,AQ$4-Resumen_Sprints!$E$7),0)</f>
        <v>0</v>
      </c>
      <c r="AR15" s="36">
        <f>IF(AND(AR$4&gt;Resumen_Sprints!$E$7,AR$4&lt;=Resumen_Sprints!$E$7+Resumen_Sprints!$D$7),INDEX('Sprint N°2'!$C$9:$O$9,AR$4-Resumen_Sprints!$E$7),0)</f>
        <v>0</v>
      </c>
      <c r="AS15" s="36">
        <f>IF(AND(AS$4&gt;Resumen_Sprints!$E$7,AS$4&lt;=Resumen_Sprints!$E$7+Resumen_Sprints!$D$7),INDEX('Sprint N°2'!$C$9:$O$9,AS$4-Resumen_Sprints!$E$7),0)</f>
        <v>0</v>
      </c>
      <c r="AT15" s="36">
        <f>IF(AND(AT$4&gt;Resumen_Sprints!$E$7,AT$4&lt;=Resumen_Sprints!$E$7+Resumen_Sprints!$D$7),INDEX('Sprint N°2'!$C$9:$O$9,AT$4-Resumen_Sprints!$E$7),0)</f>
        <v>0</v>
      </c>
      <c r="AU15" s="36">
        <f>IF(AND(AU$4&gt;Resumen_Sprints!$E$7,AU$4&lt;=Resumen_Sprints!$E$7+Resumen_Sprints!$D$7),INDEX('Sprint N°2'!$C$9:$O$9,AU$4-Resumen_Sprints!$E$7),0)</f>
        <v>0</v>
      </c>
      <c r="AV15" s="36">
        <f>IF(AND(AV$4&gt;Resumen_Sprints!$E$7,AV$4&lt;=Resumen_Sprints!$E$7+Resumen_Sprints!$D$7),INDEX('Sprint N°2'!$C$9:$O$9,AV$4-Resumen_Sprints!$E$7),0)</f>
        <v>0</v>
      </c>
      <c r="AW15" s="36">
        <f>IF(AND(AW$4&gt;Resumen_Sprints!$E$7,AW$4&lt;=Resumen_Sprints!$E$7+Resumen_Sprints!$D$7),INDEX('Sprint N°2'!$C$9:$O$9,AW$4-Resumen_Sprints!$E$7),0)</f>
        <v>0</v>
      </c>
      <c r="AX15" s="36">
        <f>IF(AND(AX$4&gt;Resumen_Sprints!$E$7,AX$4&lt;=Resumen_Sprints!$E$7+Resumen_Sprints!$D$7),INDEX('Sprint N°2'!$C$9:$O$9,AX$4-Resumen_Sprints!$E$7),0)</f>
        <v>0</v>
      </c>
      <c r="AY15" s="36">
        <f>IF(AND(AY$4&gt;Resumen_Sprints!$E$7,AY$4&lt;=Resumen_Sprints!$E$7+Resumen_Sprints!$D$7),INDEX('Sprint N°2'!$C$9:$O$9,AY$4-Resumen_Sprints!$E$7),0)</f>
        <v>0</v>
      </c>
      <c r="AZ15" s="36">
        <f>IF(AND(AZ$4&gt;Resumen_Sprints!$E$7,AZ$4&lt;=Resumen_Sprints!$E$7+Resumen_Sprints!$D$7),INDEX('Sprint N°2'!$C$9:$O$9,AZ$4-Resumen_Sprints!$E$7),0)</f>
        <v>0</v>
      </c>
      <c r="BA15" s="36">
        <f>IF(AND(BA$4&gt;Resumen_Sprints!$E$7,BA$4&lt;=Resumen_Sprints!$E$7+Resumen_Sprints!$D$7),INDEX('Sprint N°2'!$C$9:$O$9,BA$4-Resumen_Sprints!$E$7),0)</f>
        <v>0</v>
      </c>
      <c r="BB15" s="36">
        <f>IF(AND(BB$4&gt;Resumen_Sprints!$E$7,BB$4&lt;=Resumen_Sprints!$E$7+Resumen_Sprints!$D$7),INDEX('Sprint N°2'!$C$9:$O$9,BB$4-Resumen_Sprints!$E$7),0)</f>
        <v>0</v>
      </c>
      <c r="BC15" s="36">
        <f>IF(AND(BC$4&gt;Resumen_Sprints!$E$7,BC$4&lt;=Resumen_Sprints!$E$7+Resumen_Sprints!$D$7),INDEX('Sprint N°2'!$C$9:$O$9,BC$4-Resumen_Sprints!$E$7),0)</f>
        <v>0</v>
      </c>
      <c r="BD15" s="36">
        <f>IF(AND(BD$4&gt;Resumen_Sprints!$E$7,BD$4&lt;=Resumen_Sprints!$E$7+Resumen_Sprints!$D$7),INDEX('Sprint N°2'!$C$9:$O$9,BD$4-Resumen_Sprints!$E$7),0)</f>
        <v>0</v>
      </c>
      <c r="BE15" s="36">
        <f>IF(AND(BE$4&gt;Resumen_Sprints!$E$7,BE$4&lt;=Resumen_Sprints!$E$7+Resumen_Sprints!$D$7),INDEX('Sprint N°2'!$C$9:$O$9,BE$4-Resumen_Sprints!$E$7),0)</f>
        <v>0</v>
      </c>
      <c r="BF15" s="36">
        <f>IF(AND(BF$4&gt;Resumen_Sprints!$E$7,BF$4&lt;=Resumen_Sprints!$E$7+Resumen_Sprints!$D$7),INDEX('Sprint N°2'!$C$9:$O$9,BF$4-Resumen_Sprints!$E$7),0)</f>
        <v>0</v>
      </c>
      <c r="BG15" s="36">
        <f>IF(AND(BG$4&gt;Resumen_Sprints!$E$7,BG$4&lt;=Resumen_Sprints!$E$7+Resumen_Sprints!$D$7),INDEX('Sprint N°2'!$C$9:$O$9,BG$4-Resumen_Sprints!$E$7),0)</f>
        <v>0</v>
      </c>
      <c r="BH15" s="36">
        <f>IF(AND(BH$4&gt;Resumen_Sprints!$E$7,BH$4&lt;=Resumen_Sprints!$E$7+Resumen_Sprints!$D$7),INDEX('Sprint N°2'!$C$9:$O$9,BH$4-Resumen_Sprints!$E$7),0)</f>
        <v>0</v>
      </c>
      <c r="BI15" s="36">
        <f>IF(AND(BI$4&gt;Resumen_Sprints!$E$7,BI$4&lt;=Resumen_Sprints!$E$7+Resumen_Sprints!$D$7),INDEX('Sprint N°2'!$C$9:$O$9,BI$4-Resumen_Sprints!$E$7),0)</f>
        <v>0</v>
      </c>
      <c r="BJ15" s="36">
        <f>IF(AND(BJ$4&gt;Resumen_Sprints!$E$7,BJ$4&lt;=Resumen_Sprints!$E$7+Resumen_Sprints!$D$7),INDEX('Sprint N°2'!$C$9:$O$9,BJ$4-Resumen_Sprints!$E$7),0)</f>
        <v>0</v>
      </c>
      <c r="BK15" s="36">
        <f>IF(AND(BK$4&gt;Resumen_Sprints!$E$7,BK$4&lt;=Resumen_Sprints!$E$7+Resumen_Sprints!$D$7),INDEX('Sprint N°2'!$C$9:$O$9,BK$4-Resumen_Sprints!$E$7),0)</f>
        <v>0</v>
      </c>
      <c r="BL15" s="36">
        <f>IF(AND(BL$4&gt;Resumen_Sprints!$E$7,BL$4&lt;=Resumen_Sprints!$E$7+Resumen_Sprints!$D$7),INDEX('Sprint N°2'!$C$9:$O$9,BL$4-Resumen_Sprints!$E$7),0)</f>
        <v>0</v>
      </c>
      <c r="BM15" s="36">
        <f>IF(AND(BM$4&gt;Resumen_Sprints!$E$7,BM$4&lt;=Resumen_Sprints!$E$7+Resumen_Sprints!$D$7),INDEX('Sprint N°2'!$C$9:$O$9,BM$4-Resumen_Sprints!$E$7),0)</f>
        <v>0</v>
      </c>
      <c r="BN15" s="36">
        <f>IF(AND(BN$4&gt;Resumen_Sprints!$E$7,BN$4&lt;=Resumen_Sprints!$E$7+Resumen_Sprints!$D$7),INDEX('Sprint N°2'!$C$9:$O$9,BN$4-Resumen_Sprints!$E$7),0)</f>
        <v>0</v>
      </c>
      <c r="BO15" s="36">
        <f>IF(AND(BO$4&gt;Resumen_Sprints!$E$7,BO$4&lt;=Resumen_Sprints!$E$7+Resumen_Sprints!$D$7),INDEX('Sprint N°2'!$C$9:$O$9,BO$4-Resumen_Sprints!$E$7),0)</f>
        <v>0</v>
      </c>
      <c r="BP15" s="36">
        <f>IF(AND(BP$4&gt;Resumen_Sprints!$E$7,BP$4&lt;=Resumen_Sprints!$E$7+Resumen_Sprints!$D$7),INDEX('Sprint N°2'!$C$9:$O$9,BP$4-Resumen_Sprints!$E$7),0)</f>
        <v>0</v>
      </c>
      <c r="BQ15" s="36">
        <f>IF(AND(BQ$4&gt;Resumen_Sprints!$E$7,BQ$4&lt;=Resumen_Sprints!$E$7+Resumen_Sprints!$D$7),INDEX('Sprint N°2'!$C$9:$O$9,BQ$4-Resumen_Sprints!$E$7),0)</f>
        <v>0</v>
      </c>
      <c r="BR15" s="36">
        <f>IF(AND(BR$4&gt;Resumen_Sprints!$E$7,BR$4&lt;=Resumen_Sprints!$E$7+Resumen_Sprints!$D$7),INDEX('Sprint N°2'!$C$9:$O$9,BR$4-Resumen_Sprints!$E$7),0)</f>
        <v>0</v>
      </c>
      <c r="BS15" s="36">
        <f>IF(AND(BS$4&gt;Resumen_Sprints!$E$7,BS$4&lt;=Resumen_Sprints!$E$7+Resumen_Sprints!$D$7),INDEX('Sprint N°2'!$C$9:$O$9,BS$4-Resumen_Sprints!$E$7),0)</f>
        <v>0</v>
      </c>
      <c r="BT15" s="36">
        <f>IF(AND(BT$4&gt;Resumen_Sprints!$E$7,BT$4&lt;=Resumen_Sprints!$E$7+Resumen_Sprints!$D$7),INDEX('Sprint N°2'!$C$9:$O$9,BT$4-Resumen_Sprints!$E$7),0)</f>
        <v>0</v>
      </c>
      <c r="BU15" s="36">
        <f>IF(AND(BU$4&gt;Resumen_Sprints!$E$7,BU$4&lt;=Resumen_Sprints!$E$7+Resumen_Sprints!$D$7),INDEX('Sprint N°2'!$C$9:$O$9,BU$4-Resumen_Sprints!$E$7),0)</f>
        <v>0</v>
      </c>
      <c r="BV15" s="36">
        <f>IF(AND(BV$4&gt;Resumen_Sprints!$E$7,BV$4&lt;=Resumen_Sprints!$E$7+Resumen_Sprints!$D$7),INDEX('Sprint N°2'!$C$9:$O$9,BV$4-Resumen_Sprints!$E$7),0)</f>
        <v>0</v>
      </c>
      <c r="BW15" s="36">
        <f>IF(AND(BW$4&gt;Resumen_Sprints!$E$7,BW$4&lt;=Resumen_Sprints!$E$7+Resumen_Sprints!$D$7),INDEX('Sprint N°2'!$C$9:$O$9,BW$4-Resumen_Sprints!$E$7),0)</f>
        <v>0</v>
      </c>
      <c r="BX15" s="36">
        <f>IF(AND(BX$4&gt;Resumen_Sprints!$E$7,BX$4&lt;=Resumen_Sprints!$E$7+Resumen_Sprints!$D$7),INDEX('Sprint N°2'!$C$9:$O$9,BX$4-Resumen_Sprints!$E$7),0)</f>
        <v>0</v>
      </c>
      <c r="BY15" s="36">
        <f>IF(AND(BY$4&gt;Resumen_Sprints!$E$7,BY$4&lt;=Resumen_Sprints!$E$7+Resumen_Sprints!$D$7),INDEX('Sprint N°2'!$C$9:$O$9,BY$4-Resumen_Sprints!$E$7),0)</f>
        <v>0</v>
      </c>
      <c r="BZ15" s="36">
        <f>IF(AND(BZ$4&gt;Resumen_Sprints!$E$7,BZ$4&lt;=Resumen_Sprints!$E$7+Resumen_Sprints!$D$7),INDEX('Sprint N°2'!$C$9:$O$9,BZ$4-Resumen_Sprints!$E$7),0)</f>
        <v>0</v>
      </c>
      <c r="CA15" s="36">
        <f>IF(AND(CA$4&gt;Resumen_Sprints!$E$7,CA$4&lt;=Resumen_Sprints!$E$7+Resumen_Sprints!$D$7),INDEX('Sprint N°2'!$C$9:$O$9,CA$4-Resumen_Sprints!$E$7),0)</f>
        <v>0</v>
      </c>
      <c r="CB15" s="36">
        <f>IF(AND(CB$4&gt;Resumen_Sprints!$E$7,CB$4&lt;=Resumen_Sprints!$E$7+Resumen_Sprints!$D$7),INDEX('Sprint N°2'!$C$9:$O$9,CB$4-Resumen_Sprints!$E$7),0)</f>
        <v>0</v>
      </c>
      <c r="CC15" s="36">
        <f>IF(AND(CC$4&gt;Resumen_Sprints!$E$7,CC$4&lt;=Resumen_Sprints!$E$7+Resumen_Sprints!$D$7),INDEX('Sprint N°2'!$C$9:$O$9,CC$4-Resumen_Sprints!$E$7),0)</f>
        <v>0</v>
      </c>
      <c r="CD15" s="36">
        <f>IF(AND(CD$4&gt;Resumen_Sprints!$E$7,CD$4&lt;=Resumen_Sprints!$E$7+Resumen_Sprints!$D$7),INDEX('Sprint N°2'!$C$9:$O$9,CD$4-Resumen_Sprints!$E$7),0)</f>
        <v>0</v>
      </c>
      <c r="CE15" s="36">
        <f>IF(AND(CE$4&gt;Resumen_Sprints!$E$7,CE$4&lt;=Resumen_Sprints!$E$7+Resumen_Sprints!$D$7),INDEX('Sprint N°2'!$C$9:$O$9,CE$4-Resumen_Sprints!$E$7),0)</f>
        <v>0</v>
      </c>
      <c r="CF15" s="36">
        <f>IF(AND(CF$4&gt;Resumen_Sprints!$E$7,CF$4&lt;=Resumen_Sprints!$E$7+Resumen_Sprints!$D$7),INDEX('Sprint N°2'!$C$9:$O$9,CF$4-Resumen_Sprints!$E$7),0)</f>
        <v>0</v>
      </c>
      <c r="CG15" s="36">
        <f>IF(AND(CG$4&gt;Resumen_Sprints!$E$7,CG$4&lt;=Resumen_Sprints!$E$7+Resumen_Sprints!$D$7),INDEX('Sprint N°2'!$C$9:$O$9,CG$4-Resumen_Sprints!$E$7),0)</f>
        <v>0</v>
      </c>
      <c r="CH15" s="36">
        <f>IF(AND(CH$4&gt;Resumen_Sprints!$E$7,CH$4&lt;=Resumen_Sprints!$E$7+Resumen_Sprints!$D$7),INDEX('Sprint N°2'!$C$9:$O$9,CH$4-Resumen_Sprints!$E$7),0)</f>
        <v>0</v>
      </c>
      <c r="CI15" s="36">
        <f>IF(AND(CI$4&gt;Resumen_Sprints!$E$7,CI$4&lt;=Resumen_Sprints!$E$7+Resumen_Sprints!$D$7),INDEX('Sprint N°2'!$C$9:$O$9,CI$4-Resumen_Sprints!$E$7),0)</f>
        <v>0</v>
      </c>
      <c r="CJ15" s="36">
        <f>IF(AND(CJ$4&gt;Resumen_Sprints!$E$7,CJ$4&lt;=Resumen_Sprints!$E$7+Resumen_Sprints!$D$7),INDEX('Sprint N°2'!$C$9:$O$9,CJ$4-Resumen_Sprints!$E$7),0)</f>
        <v>0</v>
      </c>
      <c r="CK15" s="36">
        <f>IF(AND(CK$4&gt;Resumen_Sprints!$E$7,CK$4&lt;=Resumen_Sprints!$E$7+Resumen_Sprints!$D$7),INDEX('Sprint N°2'!$C$9:$O$9,CK$4-Resumen_Sprints!$E$7),0)</f>
        <v>0</v>
      </c>
      <c r="CL15" s="36">
        <f>IF(AND(CL$4&gt;Resumen_Sprints!$E$7,CL$4&lt;=Resumen_Sprints!$E$7+Resumen_Sprints!$D$7),INDEX('Sprint N°2'!$C$9:$O$9,CL$4-Resumen_Sprints!$E$7),0)</f>
        <v>0</v>
      </c>
      <c r="CM15" s="36">
        <f>IF(AND(CM$4&gt;Resumen_Sprints!$E$7,CM$4&lt;=Resumen_Sprints!$E$7+Resumen_Sprints!$D$7),INDEX('Sprint N°2'!$C$9:$O$9,CM$4-Resumen_Sprints!$E$7),0)</f>
        <v>0</v>
      </c>
      <c r="CN15" s="36">
        <f>IF(AND(CN$4&gt;Resumen_Sprints!$E$7,CN$4&lt;=Resumen_Sprints!$E$7+Resumen_Sprints!$D$7),INDEX('Sprint N°2'!$C$9:$O$9,CN$4-Resumen_Sprints!$E$7),0)</f>
        <v>0</v>
      </c>
      <c r="CO15" s="36">
        <f>IF(AND(CO$4&gt;Resumen_Sprints!$E$7,CO$4&lt;=Resumen_Sprints!$E$7+Resumen_Sprints!$D$7),INDEX('Sprint N°2'!$C$9:$O$9,CO$4-Resumen_Sprints!$E$7),0)</f>
        <v>0</v>
      </c>
      <c r="CP15" s="36">
        <f>IF(AND(CP$4&gt;Resumen_Sprints!$E$7,CP$4&lt;=Resumen_Sprints!$E$7+Resumen_Sprints!$D$7),INDEX('Sprint N°2'!$C$9:$O$9,CP$4-Resumen_Sprints!$E$7),0)</f>
        <v>0</v>
      </c>
      <c r="CQ15" s="36">
        <f>IF(AND(CQ$4&gt;Resumen_Sprints!$E$7,CQ$4&lt;=Resumen_Sprints!$E$7+Resumen_Sprints!$D$7),INDEX('Sprint N°2'!$C$9:$O$9,CQ$4-Resumen_Sprints!$E$7),0)</f>
        <v>0</v>
      </c>
      <c r="CR15" s="36">
        <f>IF(AND(CR$4&gt;Resumen_Sprints!$E$7,CR$4&lt;=Resumen_Sprints!$E$7+Resumen_Sprints!$D$7),INDEX('Sprint N°2'!$C$9:$O$9,CR$4-Resumen_Sprints!$E$7),0)</f>
        <v>0</v>
      </c>
      <c r="CS15" s="36">
        <f>IF(AND(CS$4&gt;Resumen_Sprints!$E$7,CS$4&lt;=Resumen_Sprints!$E$7+Resumen_Sprints!$D$7),INDEX('Sprint N°2'!$C$9:$O$9,CS$4-Resumen_Sprints!$E$7),0)</f>
        <v>0</v>
      </c>
      <c r="CT15" s="36">
        <f>IF(AND(CT$4&gt;Resumen_Sprints!$E$7,CT$4&lt;=Resumen_Sprints!$E$7+Resumen_Sprints!$D$7),INDEX('Sprint N°2'!$C$9:$O$9,CT$4-Resumen_Sprints!$E$7),0)</f>
        <v>0</v>
      </c>
      <c r="CU15" s="10">
        <f t="shared" si="0"/>
        <v>18</v>
      </c>
    </row>
    <row r="16" spans="1:99" x14ac:dyDescent="0.3">
      <c r="A16" s="22" t="str">
        <f>'Sprint N°2'!A10</f>
        <v>Diseño del Algoritmo de Cubicación</v>
      </c>
      <c r="B16" s="22">
        <f>'Sprint N°2'!B10</f>
        <v>11</v>
      </c>
      <c r="C16" s="36">
        <f>IF(AND(C$4&gt;Resumen_Sprints!$E$7,C$4&lt;=Resumen_Sprints!$E$7+Resumen_Sprints!$D$7),INDEX('Sprint N°2'!$C$10:$O$10,C$4-Resumen_Sprints!$E$7),0)</f>
        <v>0</v>
      </c>
      <c r="D16" s="36">
        <f>IF(AND(D$4&gt;Resumen_Sprints!$E$7,D$4&lt;=Resumen_Sprints!$E$7+Resumen_Sprints!$D$7),INDEX('Sprint N°2'!$C$10:$O$10,D$4-Resumen_Sprints!$E$7),0)</f>
        <v>0</v>
      </c>
      <c r="E16" s="36">
        <f>IF(AND(E$4&gt;Resumen_Sprints!$E$7,E$4&lt;=Resumen_Sprints!$E$7+Resumen_Sprints!$D$7),INDEX('Sprint N°2'!$C$10:$O$10,E$4-Resumen_Sprints!$E$7),0)</f>
        <v>0</v>
      </c>
      <c r="F16" s="36">
        <f>IF(AND(F$4&gt;Resumen_Sprints!$E$7,F$4&lt;=Resumen_Sprints!$E$7+Resumen_Sprints!$D$7),INDEX('Sprint N°2'!$C$10:$O$10,F$4-Resumen_Sprints!$E$7),0)</f>
        <v>0</v>
      </c>
      <c r="G16" s="36">
        <f>IF(AND(G$4&gt;Resumen_Sprints!$E$7,G$4&lt;=Resumen_Sprints!$E$7+Resumen_Sprints!$D$7),INDEX('Sprint N°2'!$C$10:$O$10,G$4-Resumen_Sprints!$E$7),0)</f>
        <v>0</v>
      </c>
      <c r="H16" s="36">
        <f>IF(AND(H$4&gt;Resumen_Sprints!$E$7,H$4&lt;=Resumen_Sprints!$E$7+Resumen_Sprints!$D$7),INDEX('Sprint N°2'!$C$10:$O$10,H$4-Resumen_Sprints!$E$7),0)</f>
        <v>0</v>
      </c>
      <c r="I16" s="36">
        <f>IF(AND(I$4&gt;Resumen_Sprints!$E$7,I$4&lt;=Resumen_Sprints!$E$7+Resumen_Sprints!$D$7),INDEX('Sprint N°2'!$C$10:$O$10,I$4-Resumen_Sprints!$E$7),0)</f>
        <v>0</v>
      </c>
      <c r="J16" s="36">
        <f>IF(AND(J$4&gt;Resumen_Sprints!$E$7,J$4&lt;=Resumen_Sprints!$E$7+Resumen_Sprints!$D$7),INDEX('Sprint N°2'!$C$10:$O$10,J$4-Resumen_Sprints!$E$7),0)</f>
        <v>0</v>
      </c>
      <c r="K16" s="36">
        <f>IF(AND(K$4&gt;Resumen_Sprints!$E$7,K$4&lt;=Resumen_Sprints!$E$7+Resumen_Sprints!$D$7),INDEX('Sprint N°2'!$C$10:$O$10,K$4-Resumen_Sprints!$E$7),0)</f>
        <v>0</v>
      </c>
      <c r="L16" s="36">
        <f>IF(AND(L$4&gt;Resumen_Sprints!$E$7,L$4&lt;=Resumen_Sprints!$E$7+Resumen_Sprints!$D$7),INDEX('Sprint N°2'!$C$10:$O$10,L$4-Resumen_Sprints!$E$7),0)</f>
        <v>0</v>
      </c>
      <c r="M16" s="36">
        <f>IF(AND(M$4&gt;Resumen_Sprints!$E$7,M$4&lt;=Resumen_Sprints!$E$7+Resumen_Sprints!$D$7),INDEX('Sprint N°2'!$C$10:$O$10,M$4-Resumen_Sprints!$E$7),0)</f>
        <v>0</v>
      </c>
      <c r="N16" s="36">
        <f>IF(AND(N$4&gt;Resumen_Sprints!$E$7,N$4&lt;=Resumen_Sprints!$E$7+Resumen_Sprints!$D$7),INDEX('Sprint N°2'!$C$10:$O$10,N$4-Resumen_Sprints!$E$7),0)</f>
        <v>0</v>
      </c>
      <c r="O16" s="36">
        <f>IF(AND(O$4&gt;Resumen_Sprints!$E$7,O$4&lt;=Resumen_Sprints!$E$7+Resumen_Sprints!$D$7),INDEX('Sprint N°2'!$C$10:$O$10,O$4-Resumen_Sprints!$E$7),0)</f>
        <v>0</v>
      </c>
      <c r="P16" s="36">
        <f>IF(AND(P$4&gt;Resumen_Sprints!$E$7,P$4&lt;=Resumen_Sprints!$E$7+Resumen_Sprints!$D$7),INDEX('Sprint N°2'!$C$10:$O$10,P$4-Resumen_Sprints!$E$7),0)</f>
        <v>0</v>
      </c>
      <c r="Q16" s="36">
        <f>IF(AND(Q$4&gt;Resumen_Sprints!$E$7,Q$4&lt;=Resumen_Sprints!$E$7+Resumen_Sprints!$D$7),INDEX('Sprint N°2'!$C$10:$O$10,Q$4-Resumen_Sprints!$E$7),0)</f>
        <v>0</v>
      </c>
      <c r="R16" s="36">
        <f>IF(AND(R$4&gt;Resumen_Sprints!$E$7,R$4&lt;=Resumen_Sprints!$E$7+Resumen_Sprints!$D$7),INDEX('Sprint N°2'!$C$10:$O$10,R$4-Resumen_Sprints!$E$7),0)</f>
        <v>0</v>
      </c>
      <c r="S16" s="36">
        <f>IF(AND(S$4&gt;Resumen_Sprints!$E$7,S$4&lt;=Resumen_Sprints!$E$7+Resumen_Sprints!$D$7),INDEX('Sprint N°2'!$C$10:$O$10,S$4-Resumen_Sprints!$E$7),0)</f>
        <v>6</v>
      </c>
      <c r="T16" s="36">
        <f>IF(AND(T$4&gt;Resumen_Sprints!$E$7,T$4&lt;=Resumen_Sprints!$E$7+Resumen_Sprints!$D$7),INDEX('Sprint N°2'!$C$10:$O$10,T$4-Resumen_Sprints!$E$7),0)</f>
        <v>6</v>
      </c>
      <c r="U16" s="36">
        <f>IF(AND(U$4&gt;Resumen_Sprints!$E$7,U$4&lt;=Resumen_Sprints!$E$7+Resumen_Sprints!$D$7),INDEX('Sprint N°2'!$C$10:$O$10,U$4-Resumen_Sprints!$E$7),0)</f>
        <v>0</v>
      </c>
      <c r="V16" s="36">
        <f>IF(AND(V$4&gt;Resumen_Sprints!$E$7,V$4&lt;=Resumen_Sprints!$E$7+Resumen_Sprints!$D$7),INDEX('Sprint N°2'!$C$10:$O$10,V$4-Resumen_Sprints!$E$7),0)</f>
        <v>0</v>
      </c>
      <c r="W16" s="36">
        <f>IF(AND(W$4&gt;Resumen_Sprints!$E$7,W$4&lt;=Resumen_Sprints!$E$7+Resumen_Sprints!$D$7),INDEX('Sprint N°2'!$C$10:$O$10,W$4-Resumen_Sprints!$E$7),0)</f>
        <v>0</v>
      </c>
      <c r="X16" s="36">
        <f>IF(AND(X$4&gt;Resumen_Sprints!$E$7,X$4&lt;=Resumen_Sprints!$E$7+Resumen_Sprints!$D$7),INDEX('Sprint N°2'!$C$10:$O$10,X$4-Resumen_Sprints!$E$7),0)</f>
        <v>0</v>
      </c>
      <c r="Y16" s="36">
        <f>IF(AND(Y$4&gt;Resumen_Sprints!$E$7,Y$4&lt;=Resumen_Sprints!$E$7+Resumen_Sprints!$D$7),INDEX('Sprint N°2'!$C$10:$O$10,Y$4-Resumen_Sprints!$E$7),0)</f>
        <v>0</v>
      </c>
      <c r="Z16" s="36">
        <f>IF(AND(Z$4&gt;Resumen_Sprints!$E$7,Z$4&lt;=Resumen_Sprints!$E$7+Resumen_Sprints!$D$7),INDEX('Sprint N°2'!$C$10:$O$10,Z$4-Resumen_Sprints!$E$7),0)</f>
        <v>0</v>
      </c>
      <c r="AA16" s="36">
        <f>IF(AND(AA$4&gt;Resumen_Sprints!$E$7,AA$4&lt;=Resumen_Sprints!$E$7+Resumen_Sprints!$D$7),INDEX('Sprint N°2'!$C$10:$O$10,AA$4-Resumen_Sprints!$E$7),0)</f>
        <v>0</v>
      </c>
      <c r="AB16" s="36">
        <f>IF(AND(AB$4&gt;Resumen_Sprints!$E$7,AB$4&lt;=Resumen_Sprints!$E$7+Resumen_Sprints!$D$7),INDEX('Sprint N°2'!$C$10:$O$10,AB$4-Resumen_Sprints!$E$7),0)</f>
        <v>0</v>
      </c>
      <c r="AC16" s="36">
        <f>IF(AND(AC$4&gt;Resumen_Sprints!$E$7,AC$4&lt;=Resumen_Sprints!$E$7+Resumen_Sprints!$D$7),INDEX('Sprint N°2'!$C$10:$O$10,AC$4-Resumen_Sprints!$E$7),0)</f>
        <v>0</v>
      </c>
      <c r="AD16" s="36">
        <f>IF(AND(AD$4&gt;Resumen_Sprints!$E$7,AD$4&lt;=Resumen_Sprints!$E$7+Resumen_Sprints!$D$7),INDEX('Sprint N°2'!$C$10:$O$10,AD$4-Resumen_Sprints!$E$7),0)</f>
        <v>0</v>
      </c>
      <c r="AE16" s="36">
        <f>IF(AND(AE$4&gt;Resumen_Sprints!$E$7,AE$4&lt;=Resumen_Sprints!$E$7+Resumen_Sprints!$D$7),INDEX('Sprint N°2'!$C$10:$O$10,AE$4-Resumen_Sprints!$E$7),0)</f>
        <v>0</v>
      </c>
      <c r="AF16" s="36">
        <f>IF(AND(AF$4&gt;Resumen_Sprints!$E$7,AF$4&lt;=Resumen_Sprints!$E$7+Resumen_Sprints!$D$7),INDEX('Sprint N°2'!$C$10:$O$10,AF$4-Resumen_Sprints!$E$7),0)</f>
        <v>0</v>
      </c>
      <c r="AG16" s="36">
        <f>IF(AND(AG$4&gt;Resumen_Sprints!$E$7,AG$4&lt;=Resumen_Sprints!$E$7+Resumen_Sprints!$D$7),INDEX('Sprint N°2'!$C$10:$O$10,AG$4-Resumen_Sprints!$E$7),0)</f>
        <v>0</v>
      </c>
      <c r="AH16" s="36">
        <f>IF(AND(AH$4&gt;Resumen_Sprints!$E$7,AH$4&lt;=Resumen_Sprints!$E$7+Resumen_Sprints!$D$7),INDEX('Sprint N°2'!$C$10:$O$10,AH$4-Resumen_Sprints!$E$7),0)</f>
        <v>0</v>
      </c>
      <c r="AI16" s="36">
        <f>IF(AND(AI$4&gt;Resumen_Sprints!$E$7,AI$4&lt;=Resumen_Sprints!$E$7+Resumen_Sprints!$D$7),INDEX('Sprint N°2'!$C$10:$O$10,AI$4-Resumen_Sprints!$E$7),0)</f>
        <v>0</v>
      </c>
      <c r="AJ16" s="36">
        <f>IF(AND(AJ$4&gt;Resumen_Sprints!$E$7,AJ$4&lt;=Resumen_Sprints!$E$7+Resumen_Sprints!$D$7),INDEX('Sprint N°2'!$C$10:$O$10,AJ$4-Resumen_Sprints!$E$7),0)</f>
        <v>0</v>
      </c>
      <c r="AK16" s="36">
        <f>IF(AND(AK$4&gt;Resumen_Sprints!$E$7,AK$4&lt;=Resumen_Sprints!$E$7+Resumen_Sprints!$D$7),INDEX('Sprint N°2'!$C$10:$O$10,AK$4-Resumen_Sprints!$E$7),0)</f>
        <v>0</v>
      </c>
      <c r="AL16" s="36">
        <f>IF(AND(AL$4&gt;Resumen_Sprints!$E$7,AL$4&lt;=Resumen_Sprints!$E$7+Resumen_Sprints!$D$7),INDEX('Sprint N°2'!$C$10:$O$10,AL$4-Resumen_Sprints!$E$7),0)</f>
        <v>0</v>
      </c>
      <c r="AM16" s="36">
        <f>IF(AND(AM$4&gt;Resumen_Sprints!$E$7,AM$4&lt;=Resumen_Sprints!$E$7+Resumen_Sprints!$D$7),INDEX('Sprint N°2'!$C$10:$O$10,AM$4-Resumen_Sprints!$E$7),0)</f>
        <v>0</v>
      </c>
      <c r="AN16" s="36">
        <f>IF(AND(AN$4&gt;Resumen_Sprints!$E$7,AN$4&lt;=Resumen_Sprints!$E$7+Resumen_Sprints!$D$7),INDEX('Sprint N°2'!$C$10:$O$10,AN$4-Resumen_Sprints!$E$7),0)</f>
        <v>0</v>
      </c>
      <c r="AO16" s="36">
        <f>IF(AND(AO$4&gt;Resumen_Sprints!$E$7,AO$4&lt;=Resumen_Sprints!$E$7+Resumen_Sprints!$D$7),INDEX('Sprint N°2'!$C$10:$O$10,AO$4-Resumen_Sprints!$E$7),0)</f>
        <v>0</v>
      </c>
      <c r="AP16" s="36">
        <f>IF(AND(AP$4&gt;Resumen_Sprints!$E$7,AP$4&lt;=Resumen_Sprints!$E$7+Resumen_Sprints!$D$7),INDEX('Sprint N°2'!$C$10:$O$10,AP$4-Resumen_Sprints!$E$7),0)</f>
        <v>0</v>
      </c>
      <c r="AQ16" s="36">
        <f>IF(AND(AQ$4&gt;Resumen_Sprints!$E$7,AQ$4&lt;=Resumen_Sprints!$E$7+Resumen_Sprints!$D$7),INDEX('Sprint N°2'!$C$10:$O$10,AQ$4-Resumen_Sprints!$E$7),0)</f>
        <v>0</v>
      </c>
      <c r="AR16" s="36">
        <f>IF(AND(AR$4&gt;Resumen_Sprints!$E$7,AR$4&lt;=Resumen_Sprints!$E$7+Resumen_Sprints!$D$7),INDEX('Sprint N°2'!$C$10:$O$10,AR$4-Resumen_Sprints!$E$7),0)</f>
        <v>0</v>
      </c>
      <c r="AS16" s="36">
        <f>IF(AND(AS$4&gt;Resumen_Sprints!$E$7,AS$4&lt;=Resumen_Sprints!$E$7+Resumen_Sprints!$D$7),INDEX('Sprint N°2'!$C$10:$O$10,AS$4-Resumen_Sprints!$E$7),0)</f>
        <v>0</v>
      </c>
      <c r="AT16" s="36">
        <f>IF(AND(AT$4&gt;Resumen_Sprints!$E$7,AT$4&lt;=Resumen_Sprints!$E$7+Resumen_Sprints!$D$7),INDEX('Sprint N°2'!$C$10:$O$10,AT$4-Resumen_Sprints!$E$7),0)</f>
        <v>0</v>
      </c>
      <c r="AU16" s="36">
        <f>IF(AND(AU$4&gt;Resumen_Sprints!$E$7,AU$4&lt;=Resumen_Sprints!$E$7+Resumen_Sprints!$D$7),INDEX('Sprint N°2'!$C$10:$O$10,AU$4-Resumen_Sprints!$E$7),0)</f>
        <v>0</v>
      </c>
      <c r="AV16" s="36">
        <f>IF(AND(AV$4&gt;Resumen_Sprints!$E$7,AV$4&lt;=Resumen_Sprints!$E$7+Resumen_Sprints!$D$7),INDEX('Sprint N°2'!$C$10:$O$10,AV$4-Resumen_Sprints!$E$7),0)</f>
        <v>0</v>
      </c>
      <c r="AW16" s="36">
        <f>IF(AND(AW$4&gt;Resumen_Sprints!$E$7,AW$4&lt;=Resumen_Sprints!$E$7+Resumen_Sprints!$D$7),INDEX('Sprint N°2'!$C$10:$O$10,AW$4-Resumen_Sprints!$E$7),0)</f>
        <v>0</v>
      </c>
      <c r="AX16" s="36">
        <f>IF(AND(AX$4&gt;Resumen_Sprints!$E$7,AX$4&lt;=Resumen_Sprints!$E$7+Resumen_Sprints!$D$7),INDEX('Sprint N°2'!$C$10:$O$10,AX$4-Resumen_Sprints!$E$7),0)</f>
        <v>0</v>
      </c>
      <c r="AY16" s="36">
        <f>IF(AND(AY$4&gt;Resumen_Sprints!$E$7,AY$4&lt;=Resumen_Sprints!$E$7+Resumen_Sprints!$D$7),INDEX('Sprint N°2'!$C$10:$O$10,AY$4-Resumen_Sprints!$E$7),0)</f>
        <v>0</v>
      </c>
      <c r="AZ16" s="36">
        <f>IF(AND(AZ$4&gt;Resumen_Sprints!$E$7,AZ$4&lt;=Resumen_Sprints!$E$7+Resumen_Sprints!$D$7),INDEX('Sprint N°2'!$C$10:$O$10,AZ$4-Resumen_Sprints!$E$7),0)</f>
        <v>0</v>
      </c>
      <c r="BA16" s="36">
        <f>IF(AND(BA$4&gt;Resumen_Sprints!$E$7,BA$4&lt;=Resumen_Sprints!$E$7+Resumen_Sprints!$D$7),INDEX('Sprint N°2'!$C$10:$O$10,BA$4-Resumen_Sprints!$E$7),0)</f>
        <v>0</v>
      </c>
      <c r="BB16" s="36">
        <f>IF(AND(BB$4&gt;Resumen_Sprints!$E$7,BB$4&lt;=Resumen_Sprints!$E$7+Resumen_Sprints!$D$7),INDEX('Sprint N°2'!$C$10:$O$10,BB$4-Resumen_Sprints!$E$7),0)</f>
        <v>0</v>
      </c>
      <c r="BC16" s="36">
        <f>IF(AND(BC$4&gt;Resumen_Sprints!$E$7,BC$4&lt;=Resumen_Sprints!$E$7+Resumen_Sprints!$D$7),INDEX('Sprint N°2'!$C$10:$O$10,BC$4-Resumen_Sprints!$E$7),0)</f>
        <v>0</v>
      </c>
      <c r="BD16" s="36">
        <f>IF(AND(BD$4&gt;Resumen_Sprints!$E$7,BD$4&lt;=Resumen_Sprints!$E$7+Resumen_Sprints!$D$7),INDEX('Sprint N°2'!$C$10:$O$10,BD$4-Resumen_Sprints!$E$7),0)</f>
        <v>0</v>
      </c>
      <c r="BE16" s="36">
        <f>IF(AND(BE$4&gt;Resumen_Sprints!$E$7,BE$4&lt;=Resumen_Sprints!$E$7+Resumen_Sprints!$D$7),INDEX('Sprint N°2'!$C$10:$O$10,BE$4-Resumen_Sprints!$E$7),0)</f>
        <v>0</v>
      </c>
      <c r="BF16" s="36">
        <f>IF(AND(BF$4&gt;Resumen_Sprints!$E$7,BF$4&lt;=Resumen_Sprints!$E$7+Resumen_Sprints!$D$7),INDEX('Sprint N°2'!$C$10:$O$10,BF$4-Resumen_Sprints!$E$7),0)</f>
        <v>0</v>
      </c>
      <c r="BG16" s="36">
        <f>IF(AND(BG$4&gt;Resumen_Sprints!$E$7,BG$4&lt;=Resumen_Sprints!$E$7+Resumen_Sprints!$D$7),INDEX('Sprint N°2'!$C$10:$O$10,BG$4-Resumen_Sprints!$E$7),0)</f>
        <v>0</v>
      </c>
      <c r="BH16" s="36">
        <f>IF(AND(BH$4&gt;Resumen_Sprints!$E$7,BH$4&lt;=Resumen_Sprints!$E$7+Resumen_Sprints!$D$7),INDEX('Sprint N°2'!$C$10:$O$10,BH$4-Resumen_Sprints!$E$7),0)</f>
        <v>0</v>
      </c>
      <c r="BI16" s="36">
        <f>IF(AND(BI$4&gt;Resumen_Sprints!$E$7,BI$4&lt;=Resumen_Sprints!$E$7+Resumen_Sprints!$D$7),INDEX('Sprint N°2'!$C$10:$O$10,BI$4-Resumen_Sprints!$E$7),0)</f>
        <v>0</v>
      </c>
      <c r="BJ16" s="36">
        <f>IF(AND(BJ$4&gt;Resumen_Sprints!$E$7,BJ$4&lt;=Resumen_Sprints!$E$7+Resumen_Sprints!$D$7),INDEX('Sprint N°2'!$C$10:$O$10,BJ$4-Resumen_Sprints!$E$7),0)</f>
        <v>0</v>
      </c>
      <c r="BK16" s="36">
        <f>IF(AND(BK$4&gt;Resumen_Sprints!$E$7,BK$4&lt;=Resumen_Sprints!$E$7+Resumen_Sprints!$D$7),INDEX('Sprint N°2'!$C$10:$O$10,BK$4-Resumen_Sprints!$E$7),0)</f>
        <v>0</v>
      </c>
      <c r="BL16" s="36">
        <f>IF(AND(BL$4&gt;Resumen_Sprints!$E$7,BL$4&lt;=Resumen_Sprints!$E$7+Resumen_Sprints!$D$7),INDEX('Sprint N°2'!$C$10:$O$10,BL$4-Resumen_Sprints!$E$7),0)</f>
        <v>0</v>
      </c>
      <c r="BM16" s="36">
        <f>IF(AND(BM$4&gt;Resumen_Sprints!$E$7,BM$4&lt;=Resumen_Sprints!$E$7+Resumen_Sprints!$D$7),INDEX('Sprint N°2'!$C$10:$O$10,BM$4-Resumen_Sprints!$E$7),0)</f>
        <v>0</v>
      </c>
      <c r="BN16" s="36">
        <f>IF(AND(BN$4&gt;Resumen_Sprints!$E$7,BN$4&lt;=Resumen_Sprints!$E$7+Resumen_Sprints!$D$7),INDEX('Sprint N°2'!$C$10:$O$10,BN$4-Resumen_Sprints!$E$7),0)</f>
        <v>0</v>
      </c>
      <c r="BO16" s="36">
        <f>IF(AND(BO$4&gt;Resumen_Sprints!$E$7,BO$4&lt;=Resumen_Sprints!$E$7+Resumen_Sprints!$D$7),INDEX('Sprint N°2'!$C$10:$O$10,BO$4-Resumen_Sprints!$E$7),0)</f>
        <v>0</v>
      </c>
      <c r="BP16" s="36">
        <f>IF(AND(BP$4&gt;Resumen_Sprints!$E$7,BP$4&lt;=Resumen_Sprints!$E$7+Resumen_Sprints!$D$7),INDEX('Sprint N°2'!$C$10:$O$10,BP$4-Resumen_Sprints!$E$7),0)</f>
        <v>0</v>
      </c>
      <c r="BQ16" s="36">
        <f>IF(AND(BQ$4&gt;Resumen_Sprints!$E$7,BQ$4&lt;=Resumen_Sprints!$E$7+Resumen_Sprints!$D$7),INDEX('Sprint N°2'!$C$10:$O$10,BQ$4-Resumen_Sprints!$E$7),0)</f>
        <v>0</v>
      </c>
      <c r="BR16" s="36">
        <f>IF(AND(BR$4&gt;Resumen_Sprints!$E$7,BR$4&lt;=Resumen_Sprints!$E$7+Resumen_Sprints!$D$7),INDEX('Sprint N°2'!$C$10:$O$10,BR$4-Resumen_Sprints!$E$7),0)</f>
        <v>0</v>
      </c>
      <c r="BS16" s="36">
        <f>IF(AND(BS$4&gt;Resumen_Sprints!$E$7,BS$4&lt;=Resumen_Sprints!$E$7+Resumen_Sprints!$D$7),INDEX('Sprint N°2'!$C$10:$O$10,BS$4-Resumen_Sprints!$E$7),0)</f>
        <v>0</v>
      </c>
      <c r="BT16" s="36">
        <f>IF(AND(BT$4&gt;Resumen_Sprints!$E$7,BT$4&lt;=Resumen_Sprints!$E$7+Resumen_Sprints!$D$7),INDEX('Sprint N°2'!$C$10:$O$10,BT$4-Resumen_Sprints!$E$7),0)</f>
        <v>0</v>
      </c>
      <c r="BU16" s="36">
        <f>IF(AND(BU$4&gt;Resumen_Sprints!$E$7,BU$4&lt;=Resumen_Sprints!$E$7+Resumen_Sprints!$D$7),INDEX('Sprint N°2'!$C$10:$O$10,BU$4-Resumen_Sprints!$E$7),0)</f>
        <v>0</v>
      </c>
      <c r="BV16" s="36">
        <f>IF(AND(BV$4&gt;Resumen_Sprints!$E$7,BV$4&lt;=Resumen_Sprints!$E$7+Resumen_Sprints!$D$7),INDEX('Sprint N°2'!$C$10:$O$10,BV$4-Resumen_Sprints!$E$7),0)</f>
        <v>0</v>
      </c>
      <c r="BW16" s="36">
        <f>IF(AND(BW$4&gt;Resumen_Sprints!$E$7,BW$4&lt;=Resumen_Sprints!$E$7+Resumen_Sprints!$D$7),INDEX('Sprint N°2'!$C$10:$O$10,BW$4-Resumen_Sprints!$E$7),0)</f>
        <v>0</v>
      </c>
      <c r="BX16" s="36">
        <f>IF(AND(BX$4&gt;Resumen_Sprints!$E$7,BX$4&lt;=Resumen_Sprints!$E$7+Resumen_Sprints!$D$7),INDEX('Sprint N°2'!$C$10:$O$10,BX$4-Resumen_Sprints!$E$7),0)</f>
        <v>0</v>
      </c>
      <c r="BY16" s="36">
        <f>IF(AND(BY$4&gt;Resumen_Sprints!$E$7,BY$4&lt;=Resumen_Sprints!$E$7+Resumen_Sprints!$D$7),INDEX('Sprint N°2'!$C$10:$O$10,BY$4-Resumen_Sprints!$E$7),0)</f>
        <v>0</v>
      </c>
      <c r="BZ16" s="36">
        <f>IF(AND(BZ$4&gt;Resumen_Sprints!$E$7,BZ$4&lt;=Resumen_Sprints!$E$7+Resumen_Sprints!$D$7),INDEX('Sprint N°2'!$C$10:$O$10,BZ$4-Resumen_Sprints!$E$7),0)</f>
        <v>0</v>
      </c>
      <c r="CA16" s="36">
        <f>IF(AND(CA$4&gt;Resumen_Sprints!$E$7,CA$4&lt;=Resumen_Sprints!$E$7+Resumen_Sprints!$D$7),INDEX('Sprint N°2'!$C$10:$O$10,CA$4-Resumen_Sprints!$E$7),0)</f>
        <v>0</v>
      </c>
      <c r="CB16" s="36">
        <f>IF(AND(CB$4&gt;Resumen_Sprints!$E$7,CB$4&lt;=Resumen_Sprints!$E$7+Resumen_Sprints!$D$7),INDEX('Sprint N°2'!$C$10:$O$10,CB$4-Resumen_Sprints!$E$7),0)</f>
        <v>0</v>
      </c>
      <c r="CC16" s="36">
        <f>IF(AND(CC$4&gt;Resumen_Sprints!$E$7,CC$4&lt;=Resumen_Sprints!$E$7+Resumen_Sprints!$D$7),INDEX('Sprint N°2'!$C$10:$O$10,CC$4-Resumen_Sprints!$E$7),0)</f>
        <v>0</v>
      </c>
      <c r="CD16" s="36">
        <f>IF(AND(CD$4&gt;Resumen_Sprints!$E$7,CD$4&lt;=Resumen_Sprints!$E$7+Resumen_Sprints!$D$7),INDEX('Sprint N°2'!$C$10:$O$10,CD$4-Resumen_Sprints!$E$7),0)</f>
        <v>0</v>
      </c>
      <c r="CE16" s="36">
        <f>IF(AND(CE$4&gt;Resumen_Sprints!$E$7,CE$4&lt;=Resumen_Sprints!$E$7+Resumen_Sprints!$D$7),INDEX('Sprint N°2'!$C$10:$O$10,CE$4-Resumen_Sprints!$E$7),0)</f>
        <v>0</v>
      </c>
      <c r="CF16" s="36">
        <f>IF(AND(CF$4&gt;Resumen_Sprints!$E$7,CF$4&lt;=Resumen_Sprints!$E$7+Resumen_Sprints!$D$7),INDEX('Sprint N°2'!$C$10:$O$10,CF$4-Resumen_Sprints!$E$7),0)</f>
        <v>0</v>
      </c>
      <c r="CG16" s="36">
        <f>IF(AND(CG$4&gt;Resumen_Sprints!$E$7,CG$4&lt;=Resumen_Sprints!$E$7+Resumen_Sprints!$D$7),INDEX('Sprint N°2'!$C$10:$O$10,CG$4-Resumen_Sprints!$E$7),0)</f>
        <v>0</v>
      </c>
      <c r="CH16" s="36">
        <f>IF(AND(CH$4&gt;Resumen_Sprints!$E$7,CH$4&lt;=Resumen_Sprints!$E$7+Resumen_Sprints!$D$7),INDEX('Sprint N°2'!$C$10:$O$10,CH$4-Resumen_Sprints!$E$7),0)</f>
        <v>0</v>
      </c>
      <c r="CI16" s="36">
        <f>IF(AND(CI$4&gt;Resumen_Sprints!$E$7,CI$4&lt;=Resumen_Sprints!$E$7+Resumen_Sprints!$D$7),INDEX('Sprint N°2'!$C$10:$O$10,CI$4-Resumen_Sprints!$E$7),0)</f>
        <v>0</v>
      </c>
      <c r="CJ16" s="36">
        <f>IF(AND(CJ$4&gt;Resumen_Sprints!$E$7,CJ$4&lt;=Resumen_Sprints!$E$7+Resumen_Sprints!$D$7),INDEX('Sprint N°2'!$C$10:$O$10,CJ$4-Resumen_Sprints!$E$7),0)</f>
        <v>0</v>
      </c>
      <c r="CK16" s="36">
        <f>IF(AND(CK$4&gt;Resumen_Sprints!$E$7,CK$4&lt;=Resumen_Sprints!$E$7+Resumen_Sprints!$D$7),INDEX('Sprint N°2'!$C$10:$O$10,CK$4-Resumen_Sprints!$E$7),0)</f>
        <v>0</v>
      </c>
      <c r="CL16" s="36">
        <f>IF(AND(CL$4&gt;Resumen_Sprints!$E$7,CL$4&lt;=Resumen_Sprints!$E$7+Resumen_Sprints!$D$7),INDEX('Sprint N°2'!$C$10:$O$10,CL$4-Resumen_Sprints!$E$7),0)</f>
        <v>0</v>
      </c>
      <c r="CM16" s="36">
        <f>IF(AND(CM$4&gt;Resumen_Sprints!$E$7,CM$4&lt;=Resumen_Sprints!$E$7+Resumen_Sprints!$D$7),INDEX('Sprint N°2'!$C$10:$O$10,CM$4-Resumen_Sprints!$E$7),0)</f>
        <v>0</v>
      </c>
      <c r="CN16" s="36">
        <f>IF(AND(CN$4&gt;Resumen_Sprints!$E$7,CN$4&lt;=Resumen_Sprints!$E$7+Resumen_Sprints!$D$7),INDEX('Sprint N°2'!$C$10:$O$10,CN$4-Resumen_Sprints!$E$7),0)</f>
        <v>0</v>
      </c>
      <c r="CO16" s="36">
        <f>IF(AND(CO$4&gt;Resumen_Sprints!$E$7,CO$4&lt;=Resumen_Sprints!$E$7+Resumen_Sprints!$D$7),INDEX('Sprint N°2'!$C$10:$O$10,CO$4-Resumen_Sprints!$E$7),0)</f>
        <v>0</v>
      </c>
      <c r="CP16" s="36">
        <f>IF(AND(CP$4&gt;Resumen_Sprints!$E$7,CP$4&lt;=Resumen_Sprints!$E$7+Resumen_Sprints!$D$7),INDEX('Sprint N°2'!$C$10:$O$10,CP$4-Resumen_Sprints!$E$7),0)</f>
        <v>0</v>
      </c>
      <c r="CQ16" s="36">
        <f>IF(AND(CQ$4&gt;Resumen_Sprints!$E$7,CQ$4&lt;=Resumen_Sprints!$E$7+Resumen_Sprints!$D$7),INDEX('Sprint N°2'!$C$10:$O$10,CQ$4-Resumen_Sprints!$E$7),0)</f>
        <v>0</v>
      </c>
      <c r="CR16" s="36">
        <f>IF(AND(CR$4&gt;Resumen_Sprints!$E$7,CR$4&lt;=Resumen_Sprints!$E$7+Resumen_Sprints!$D$7),INDEX('Sprint N°2'!$C$10:$O$10,CR$4-Resumen_Sprints!$E$7),0)</f>
        <v>0</v>
      </c>
      <c r="CS16" s="36">
        <f>IF(AND(CS$4&gt;Resumen_Sprints!$E$7,CS$4&lt;=Resumen_Sprints!$E$7+Resumen_Sprints!$D$7),INDEX('Sprint N°2'!$C$10:$O$10,CS$4-Resumen_Sprints!$E$7),0)</f>
        <v>0</v>
      </c>
      <c r="CT16" s="36">
        <f>IF(AND(CT$4&gt;Resumen_Sprints!$E$7,CT$4&lt;=Resumen_Sprints!$E$7+Resumen_Sprints!$D$7),INDEX('Sprint N°2'!$C$10:$O$10,CT$4-Resumen_Sprints!$E$7),0)</f>
        <v>0</v>
      </c>
      <c r="CU16" s="10">
        <f t="shared" si="0"/>
        <v>12</v>
      </c>
    </row>
    <row r="17" spans="1:99" x14ac:dyDescent="0.3">
      <c r="A17" s="22" t="str">
        <f>'Sprint N°2'!A11</f>
        <v>Plan de Proyecto y Product Backlog Priorizado</v>
      </c>
      <c r="B17" s="22">
        <f>'Sprint N°2'!B11</f>
        <v>16</v>
      </c>
      <c r="C17" s="36">
        <f>IF(AND(C$4&gt;Resumen_Sprints!$E$7,C$4&lt;=Resumen_Sprints!$E$7+Resumen_Sprints!$D$7),INDEX('Sprint N°2'!$C$11:$O$11,C$4-Resumen_Sprints!$E$7),0)</f>
        <v>0</v>
      </c>
      <c r="D17" s="36">
        <f>IF(AND(D$4&gt;Resumen_Sprints!$E$7,D$4&lt;=Resumen_Sprints!$E$7+Resumen_Sprints!$D$7),INDEX('Sprint N°2'!$C$11:$O$11,D$4-Resumen_Sprints!$E$7),0)</f>
        <v>0</v>
      </c>
      <c r="E17" s="36">
        <f>IF(AND(E$4&gt;Resumen_Sprints!$E$7,E$4&lt;=Resumen_Sprints!$E$7+Resumen_Sprints!$D$7),INDEX('Sprint N°2'!$C$11:$O$11,E$4-Resumen_Sprints!$E$7),0)</f>
        <v>0</v>
      </c>
      <c r="F17" s="36">
        <f>IF(AND(F$4&gt;Resumen_Sprints!$E$7,F$4&lt;=Resumen_Sprints!$E$7+Resumen_Sprints!$D$7),INDEX('Sprint N°2'!$C$11:$O$11,F$4-Resumen_Sprints!$E$7),0)</f>
        <v>0</v>
      </c>
      <c r="G17" s="36">
        <f>IF(AND(G$4&gt;Resumen_Sprints!$E$7,G$4&lt;=Resumen_Sprints!$E$7+Resumen_Sprints!$D$7),INDEX('Sprint N°2'!$C$11:$O$11,G$4-Resumen_Sprints!$E$7),0)</f>
        <v>0</v>
      </c>
      <c r="H17" s="36">
        <f>IF(AND(H$4&gt;Resumen_Sprints!$E$7,H$4&lt;=Resumen_Sprints!$E$7+Resumen_Sprints!$D$7),INDEX('Sprint N°2'!$C$11:$O$11,H$4-Resumen_Sprints!$E$7),0)</f>
        <v>0</v>
      </c>
      <c r="I17" s="36">
        <f>IF(AND(I$4&gt;Resumen_Sprints!$E$7,I$4&lt;=Resumen_Sprints!$E$7+Resumen_Sprints!$D$7),INDEX('Sprint N°2'!$C$11:$O$11,I$4-Resumen_Sprints!$E$7),0)</f>
        <v>0</v>
      </c>
      <c r="J17" s="36">
        <f>IF(AND(J$4&gt;Resumen_Sprints!$E$7,J$4&lt;=Resumen_Sprints!$E$7+Resumen_Sprints!$D$7),INDEX('Sprint N°2'!$C$11:$O$11,J$4-Resumen_Sprints!$E$7),0)</f>
        <v>0</v>
      </c>
      <c r="K17" s="36">
        <f>IF(AND(K$4&gt;Resumen_Sprints!$E$7,K$4&lt;=Resumen_Sprints!$E$7+Resumen_Sprints!$D$7),INDEX('Sprint N°2'!$C$11:$O$11,K$4-Resumen_Sprints!$E$7),0)</f>
        <v>0</v>
      </c>
      <c r="L17" s="36">
        <f>IF(AND(L$4&gt;Resumen_Sprints!$E$7,L$4&lt;=Resumen_Sprints!$E$7+Resumen_Sprints!$D$7),INDEX('Sprint N°2'!$C$11:$O$11,L$4-Resumen_Sprints!$E$7),0)</f>
        <v>0</v>
      </c>
      <c r="M17" s="36">
        <f>IF(AND(M$4&gt;Resumen_Sprints!$E$7,M$4&lt;=Resumen_Sprints!$E$7+Resumen_Sprints!$D$7),INDEX('Sprint N°2'!$C$11:$O$11,M$4-Resumen_Sprints!$E$7),0)</f>
        <v>0</v>
      </c>
      <c r="N17" s="36">
        <f>IF(AND(N$4&gt;Resumen_Sprints!$E$7,N$4&lt;=Resumen_Sprints!$E$7+Resumen_Sprints!$D$7),INDEX('Sprint N°2'!$C$11:$O$11,N$4-Resumen_Sprints!$E$7),0)</f>
        <v>0</v>
      </c>
      <c r="O17" s="36">
        <f>IF(AND(O$4&gt;Resumen_Sprints!$E$7,O$4&lt;=Resumen_Sprints!$E$7+Resumen_Sprints!$D$7),INDEX('Sprint N°2'!$C$11:$O$11,O$4-Resumen_Sprints!$E$7),0)</f>
        <v>0</v>
      </c>
      <c r="P17" s="36">
        <f>IF(AND(P$4&gt;Resumen_Sprints!$E$7,P$4&lt;=Resumen_Sprints!$E$7+Resumen_Sprints!$D$7),INDEX('Sprint N°2'!$C$11:$O$11,P$4-Resumen_Sprints!$E$7),0)</f>
        <v>0</v>
      </c>
      <c r="Q17" s="36">
        <f>IF(AND(Q$4&gt;Resumen_Sprints!$E$7,Q$4&lt;=Resumen_Sprints!$E$7+Resumen_Sprints!$D$7),INDEX('Sprint N°2'!$C$11:$O$11,Q$4-Resumen_Sprints!$E$7),0)</f>
        <v>0</v>
      </c>
      <c r="R17" s="36">
        <f>IF(AND(R$4&gt;Resumen_Sprints!$E$7,R$4&lt;=Resumen_Sprints!$E$7+Resumen_Sprints!$D$7),INDEX('Sprint N°2'!$C$11:$O$11,R$4-Resumen_Sprints!$E$7),0)</f>
        <v>0</v>
      </c>
      <c r="S17" s="36">
        <f>IF(AND(S$4&gt;Resumen_Sprints!$E$7,S$4&lt;=Resumen_Sprints!$E$7+Resumen_Sprints!$D$7),INDEX('Sprint N°2'!$C$11:$O$11,S$4-Resumen_Sprints!$E$7),0)</f>
        <v>0</v>
      </c>
      <c r="T17" s="36">
        <f>IF(AND(T$4&gt;Resumen_Sprints!$E$7,T$4&lt;=Resumen_Sprints!$E$7+Resumen_Sprints!$D$7),INDEX('Sprint N°2'!$C$11:$O$11,T$4-Resumen_Sprints!$E$7),0)</f>
        <v>1</v>
      </c>
      <c r="U17" s="36">
        <f>IF(AND(U$4&gt;Resumen_Sprints!$E$7,U$4&lt;=Resumen_Sprints!$E$7+Resumen_Sprints!$D$7),INDEX('Sprint N°2'!$C$11:$O$11,U$4-Resumen_Sprints!$E$7),0)</f>
        <v>10</v>
      </c>
      <c r="V17" s="36">
        <f>IF(AND(V$4&gt;Resumen_Sprints!$E$7,V$4&lt;=Resumen_Sprints!$E$7+Resumen_Sprints!$D$7),INDEX('Sprint N°2'!$C$11:$O$11,V$4-Resumen_Sprints!$E$7),0)</f>
        <v>5</v>
      </c>
      <c r="W17" s="36">
        <f>IF(AND(W$4&gt;Resumen_Sprints!$E$7,W$4&lt;=Resumen_Sprints!$E$7+Resumen_Sprints!$D$7),INDEX('Sprint N°2'!$C$11:$O$11,W$4-Resumen_Sprints!$E$7),0)</f>
        <v>0</v>
      </c>
      <c r="X17" s="36">
        <f>IF(AND(X$4&gt;Resumen_Sprints!$E$7,X$4&lt;=Resumen_Sprints!$E$7+Resumen_Sprints!$D$7),INDEX('Sprint N°2'!$C$11:$O$11,X$4-Resumen_Sprints!$E$7),0)</f>
        <v>0</v>
      </c>
      <c r="Y17" s="36">
        <f>IF(AND(Y$4&gt;Resumen_Sprints!$E$7,Y$4&lt;=Resumen_Sprints!$E$7+Resumen_Sprints!$D$7),INDEX('Sprint N°2'!$C$11:$O$11,Y$4-Resumen_Sprints!$E$7),0)</f>
        <v>0</v>
      </c>
      <c r="Z17" s="36">
        <f>IF(AND(Z$4&gt;Resumen_Sprints!$E$7,Z$4&lt;=Resumen_Sprints!$E$7+Resumen_Sprints!$D$7),INDEX('Sprint N°2'!$C$11:$O$11,Z$4-Resumen_Sprints!$E$7),0)</f>
        <v>0</v>
      </c>
      <c r="AA17" s="36">
        <f>IF(AND(AA$4&gt;Resumen_Sprints!$E$7,AA$4&lt;=Resumen_Sprints!$E$7+Resumen_Sprints!$D$7),INDEX('Sprint N°2'!$C$11:$O$11,AA$4-Resumen_Sprints!$E$7),0)</f>
        <v>0</v>
      </c>
      <c r="AB17" s="36">
        <f>IF(AND(AB$4&gt;Resumen_Sprints!$E$7,AB$4&lt;=Resumen_Sprints!$E$7+Resumen_Sprints!$D$7),INDEX('Sprint N°2'!$C$11:$O$11,AB$4-Resumen_Sprints!$E$7),0)</f>
        <v>0</v>
      </c>
      <c r="AC17" s="36">
        <f>IF(AND(AC$4&gt;Resumen_Sprints!$E$7,AC$4&lt;=Resumen_Sprints!$E$7+Resumen_Sprints!$D$7),INDEX('Sprint N°2'!$C$11:$O$11,AC$4-Resumen_Sprints!$E$7),0)</f>
        <v>0</v>
      </c>
      <c r="AD17" s="36">
        <f>IF(AND(AD$4&gt;Resumen_Sprints!$E$7,AD$4&lt;=Resumen_Sprints!$E$7+Resumen_Sprints!$D$7),INDEX('Sprint N°2'!$C$11:$O$11,AD$4-Resumen_Sprints!$E$7),0)</f>
        <v>0</v>
      </c>
      <c r="AE17" s="36">
        <f>IF(AND(AE$4&gt;Resumen_Sprints!$E$7,AE$4&lt;=Resumen_Sprints!$E$7+Resumen_Sprints!$D$7),INDEX('Sprint N°2'!$C$11:$O$11,AE$4-Resumen_Sprints!$E$7),0)</f>
        <v>0</v>
      </c>
      <c r="AF17" s="36">
        <f>IF(AND(AF$4&gt;Resumen_Sprints!$E$7,AF$4&lt;=Resumen_Sprints!$E$7+Resumen_Sprints!$D$7),INDEX('Sprint N°2'!$C$11:$O$11,AF$4-Resumen_Sprints!$E$7),0)</f>
        <v>0</v>
      </c>
      <c r="AG17" s="36">
        <f>IF(AND(AG$4&gt;Resumen_Sprints!$E$7,AG$4&lt;=Resumen_Sprints!$E$7+Resumen_Sprints!$D$7),INDEX('Sprint N°2'!$C$11:$O$11,AG$4-Resumen_Sprints!$E$7),0)</f>
        <v>0</v>
      </c>
      <c r="AH17" s="36">
        <f>IF(AND(AH$4&gt;Resumen_Sprints!$E$7,AH$4&lt;=Resumen_Sprints!$E$7+Resumen_Sprints!$D$7),INDEX('Sprint N°2'!$C$11:$O$11,AH$4-Resumen_Sprints!$E$7),0)</f>
        <v>0</v>
      </c>
      <c r="AI17" s="36">
        <f>IF(AND(AI$4&gt;Resumen_Sprints!$E$7,AI$4&lt;=Resumen_Sprints!$E$7+Resumen_Sprints!$D$7),INDEX('Sprint N°2'!$C$11:$O$11,AI$4-Resumen_Sprints!$E$7),0)</f>
        <v>0</v>
      </c>
      <c r="AJ17" s="36">
        <f>IF(AND(AJ$4&gt;Resumen_Sprints!$E$7,AJ$4&lt;=Resumen_Sprints!$E$7+Resumen_Sprints!$D$7),INDEX('Sprint N°2'!$C$11:$O$11,AJ$4-Resumen_Sprints!$E$7),0)</f>
        <v>0</v>
      </c>
      <c r="AK17" s="36">
        <f>IF(AND(AK$4&gt;Resumen_Sprints!$E$7,AK$4&lt;=Resumen_Sprints!$E$7+Resumen_Sprints!$D$7),INDEX('Sprint N°2'!$C$11:$O$11,AK$4-Resumen_Sprints!$E$7),0)</f>
        <v>0</v>
      </c>
      <c r="AL17" s="36">
        <f>IF(AND(AL$4&gt;Resumen_Sprints!$E$7,AL$4&lt;=Resumen_Sprints!$E$7+Resumen_Sprints!$D$7),INDEX('Sprint N°2'!$C$11:$O$11,AL$4-Resumen_Sprints!$E$7),0)</f>
        <v>0</v>
      </c>
      <c r="AM17" s="36">
        <f>IF(AND(AM$4&gt;Resumen_Sprints!$E$7,AM$4&lt;=Resumen_Sprints!$E$7+Resumen_Sprints!$D$7),INDEX('Sprint N°2'!$C$11:$O$11,AM$4-Resumen_Sprints!$E$7),0)</f>
        <v>0</v>
      </c>
      <c r="AN17" s="36">
        <f>IF(AND(AN$4&gt;Resumen_Sprints!$E$7,AN$4&lt;=Resumen_Sprints!$E$7+Resumen_Sprints!$D$7),INDEX('Sprint N°2'!$C$11:$O$11,AN$4-Resumen_Sprints!$E$7),0)</f>
        <v>0</v>
      </c>
      <c r="AO17" s="36">
        <f>IF(AND(AO$4&gt;Resumen_Sprints!$E$7,AO$4&lt;=Resumen_Sprints!$E$7+Resumen_Sprints!$D$7),INDEX('Sprint N°2'!$C$11:$O$11,AO$4-Resumen_Sprints!$E$7),0)</f>
        <v>0</v>
      </c>
      <c r="AP17" s="36">
        <f>IF(AND(AP$4&gt;Resumen_Sprints!$E$7,AP$4&lt;=Resumen_Sprints!$E$7+Resumen_Sprints!$D$7),INDEX('Sprint N°2'!$C$11:$O$11,AP$4-Resumen_Sprints!$E$7),0)</f>
        <v>0</v>
      </c>
      <c r="AQ17" s="36">
        <f>IF(AND(AQ$4&gt;Resumen_Sprints!$E$7,AQ$4&lt;=Resumen_Sprints!$E$7+Resumen_Sprints!$D$7),INDEX('Sprint N°2'!$C$11:$O$11,AQ$4-Resumen_Sprints!$E$7),0)</f>
        <v>0</v>
      </c>
      <c r="AR17" s="36">
        <f>IF(AND(AR$4&gt;Resumen_Sprints!$E$7,AR$4&lt;=Resumen_Sprints!$E$7+Resumen_Sprints!$D$7),INDEX('Sprint N°2'!$C$11:$O$11,AR$4-Resumen_Sprints!$E$7),0)</f>
        <v>0</v>
      </c>
      <c r="AS17" s="36">
        <f>IF(AND(AS$4&gt;Resumen_Sprints!$E$7,AS$4&lt;=Resumen_Sprints!$E$7+Resumen_Sprints!$D$7),INDEX('Sprint N°2'!$C$11:$O$11,AS$4-Resumen_Sprints!$E$7),0)</f>
        <v>0</v>
      </c>
      <c r="AT17" s="36">
        <f>IF(AND(AT$4&gt;Resumen_Sprints!$E$7,AT$4&lt;=Resumen_Sprints!$E$7+Resumen_Sprints!$D$7),INDEX('Sprint N°2'!$C$11:$O$11,AT$4-Resumen_Sprints!$E$7),0)</f>
        <v>0</v>
      </c>
      <c r="AU17" s="36">
        <f>IF(AND(AU$4&gt;Resumen_Sprints!$E$7,AU$4&lt;=Resumen_Sprints!$E$7+Resumen_Sprints!$D$7),INDEX('Sprint N°2'!$C$11:$O$11,AU$4-Resumen_Sprints!$E$7),0)</f>
        <v>0</v>
      </c>
      <c r="AV17" s="36">
        <f>IF(AND(AV$4&gt;Resumen_Sprints!$E$7,AV$4&lt;=Resumen_Sprints!$E$7+Resumen_Sprints!$D$7),INDEX('Sprint N°2'!$C$11:$O$11,AV$4-Resumen_Sprints!$E$7),0)</f>
        <v>0</v>
      </c>
      <c r="AW17" s="36">
        <f>IF(AND(AW$4&gt;Resumen_Sprints!$E$7,AW$4&lt;=Resumen_Sprints!$E$7+Resumen_Sprints!$D$7),INDEX('Sprint N°2'!$C$11:$O$11,AW$4-Resumen_Sprints!$E$7),0)</f>
        <v>0</v>
      </c>
      <c r="AX17" s="36">
        <f>IF(AND(AX$4&gt;Resumen_Sprints!$E$7,AX$4&lt;=Resumen_Sprints!$E$7+Resumen_Sprints!$D$7),INDEX('Sprint N°2'!$C$11:$O$11,AX$4-Resumen_Sprints!$E$7),0)</f>
        <v>0</v>
      </c>
      <c r="AY17" s="36">
        <f>IF(AND(AY$4&gt;Resumen_Sprints!$E$7,AY$4&lt;=Resumen_Sprints!$E$7+Resumen_Sprints!$D$7),INDEX('Sprint N°2'!$C$11:$O$11,AY$4-Resumen_Sprints!$E$7),0)</f>
        <v>0</v>
      </c>
      <c r="AZ17" s="36">
        <f>IF(AND(AZ$4&gt;Resumen_Sprints!$E$7,AZ$4&lt;=Resumen_Sprints!$E$7+Resumen_Sprints!$D$7),INDEX('Sprint N°2'!$C$11:$O$11,AZ$4-Resumen_Sprints!$E$7),0)</f>
        <v>0</v>
      </c>
      <c r="BA17" s="36">
        <f>IF(AND(BA$4&gt;Resumen_Sprints!$E$7,BA$4&lt;=Resumen_Sprints!$E$7+Resumen_Sprints!$D$7),INDEX('Sprint N°2'!$C$11:$O$11,BA$4-Resumen_Sprints!$E$7),0)</f>
        <v>0</v>
      </c>
      <c r="BB17" s="36">
        <f>IF(AND(BB$4&gt;Resumen_Sprints!$E$7,BB$4&lt;=Resumen_Sprints!$E$7+Resumen_Sprints!$D$7),INDEX('Sprint N°2'!$C$11:$O$11,BB$4-Resumen_Sprints!$E$7),0)</f>
        <v>0</v>
      </c>
      <c r="BC17" s="36">
        <f>IF(AND(BC$4&gt;Resumen_Sprints!$E$7,BC$4&lt;=Resumen_Sprints!$E$7+Resumen_Sprints!$D$7),INDEX('Sprint N°2'!$C$11:$O$11,BC$4-Resumen_Sprints!$E$7),0)</f>
        <v>0</v>
      </c>
      <c r="BD17" s="36">
        <f>IF(AND(BD$4&gt;Resumen_Sprints!$E$7,BD$4&lt;=Resumen_Sprints!$E$7+Resumen_Sprints!$D$7),INDEX('Sprint N°2'!$C$11:$O$11,BD$4-Resumen_Sprints!$E$7),0)</f>
        <v>0</v>
      </c>
      <c r="BE17" s="36">
        <f>IF(AND(BE$4&gt;Resumen_Sprints!$E$7,BE$4&lt;=Resumen_Sprints!$E$7+Resumen_Sprints!$D$7),INDEX('Sprint N°2'!$C$11:$O$11,BE$4-Resumen_Sprints!$E$7),0)</f>
        <v>0</v>
      </c>
      <c r="BF17" s="36">
        <f>IF(AND(BF$4&gt;Resumen_Sprints!$E$7,BF$4&lt;=Resumen_Sprints!$E$7+Resumen_Sprints!$D$7),INDEX('Sprint N°2'!$C$11:$O$11,BF$4-Resumen_Sprints!$E$7),0)</f>
        <v>0</v>
      </c>
      <c r="BG17" s="36">
        <f>IF(AND(BG$4&gt;Resumen_Sprints!$E$7,BG$4&lt;=Resumen_Sprints!$E$7+Resumen_Sprints!$D$7),INDEX('Sprint N°2'!$C$11:$O$11,BG$4-Resumen_Sprints!$E$7),0)</f>
        <v>0</v>
      </c>
      <c r="BH17" s="36">
        <f>IF(AND(BH$4&gt;Resumen_Sprints!$E$7,BH$4&lt;=Resumen_Sprints!$E$7+Resumen_Sprints!$D$7),INDEX('Sprint N°2'!$C$11:$O$11,BH$4-Resumen_Sprints!$E$7),0)</f>
        <v>0</v>
      </c>
      <c r="BI17" s="36">
        <f>IF(AND(BI$4&gt;Resumen_Sprints!$E$7,BI$4&lt;=Resumen_Sprints!$E$7+Resumen_Sprints!$D$7),INDEX('Sprint N°2'!$C$11:$O$11,BI$4-Resumen_Sprints!$E$7),0)</f>
        <v>0</v>
      </c>
      <c r="BJ17" s="36">
        <f>IF(AND(BJ$4&gt;Resumen_Sprints!$E$7,BJ$4&lt;=Resumen_Sprints!$E$7+Resumen_Sprints!$D$7),INDEX('Sprint N°2'!$C$11:$O$11,BJ$4-Resumen_Sprints!$E$7),0)</f>
        <v>0</v>
      </c>
      <c r="BK17" s="36">
        <f>IF(AND(BK$4&gt;Resumen_Sprints!$E$7,BK$4&lt;=Resumen_Sprints!$E$7+Resumen_Sprints!$D$7),INDEX('Sprint N°2'!$C$11:$O$11,BK$4-Resumen_Sprints!$E$7),0)</f>
        <v>0</v>
      </c>
      <c r="BL17" s="36">
        <f>IF(AND(BL$4&gt;Resumen_Sprints!$E$7,BL$4&lt;=Resumen_Sprints!$E$7+Resumen_Sprints!$D$7),INDEX('Sprint N°2'!$C$11:$O$11,BL$4-Resumen_Sprints!$E$7),0)</f>
        <v>0</v>
      </c>
      <c r="BM17" s="36">
        <f>IF(AND(BM$4&gt;Resumen_Sprints!$E$7,BM$4&lt;=Resumen_Sprints!$E$7+Resumen_Sprints!$D$7),INDEX('Sprint N°2'!$C$11:$O$11,BM$4-Resumen_Sprints!$E$7),0)</f>
        <v>0</v>
      </c>
      <c r="BN17" s="36">
        <f>IF(AND(BN$4&gt;Resumen_Sprints!$E$7,BN$4&lt;=Resumen_Sprints!$E$7+Resumen_Sprints!$D$7),INDEX('Sprint N°2'!$C$11:$O$11,BN$4-Resumen_Sprints!$E$7),0)</f>
        <v>0</v>
      </c>
      <c r="BO17" s="36">
        <f>IF(AND(BO$4&gt;Resumen_Sprints!$E$7,BO$4&lt;=Resumen_Sprints!$E$7+Resumen_Sprints!$D$7),INDEX('Sprint N°2'!$C$11:$O$11,BO$4-Resumen_Sprints!$E$7),0)</f>
        <v>0</v>
      </c>
      <c r="BP17" s="36">
        <f>IF(AND(BP$4&gt;Resumen_Sprints!$E$7,BP$4&lt;=Resumen_Sprints!$E$7+Resumen_Sprints!$D$7),INDEX('Sprint N°2'!$C$11:$O$11,BP$4-Resumen_Sprints!$E$7),0)</f>
        <v>0</v>
      </c>
      <c r="BQ17" s="36">
        <f>IF(AND(BQ$4&gt;Resumen_Sprints!$E$7,BQ$4&lt;=Resumen_Sprints!$E$7+Resumen_Sprints!$D$7),INDEX('Sprint N°2'!$C$11:$O$11,BQ$4-Resumen_Sprints!$E$7),0)</f>
        <v>0</v>
      </c>
      <c r="BR17" s="36">
        <f>IF(AND(BR$4&gt;Resumen_Sprints!$E$7,BR$4&lt;=Resumen_Sprints!$E$7+Resumen_Sprints!$D$7),INDEX('Sprint N°2'!$C$11:$O$11,BR$4-Resumen_Sprints!$E$7),0)</f>
        <v>0</v>
      </c>
      <c r="BS17" s="36">
        <f>IF(AND(BS$4&gt;Resumen_Sprints!$E$7,BS$4&lt;=Resumen_Sprints!$E$7+Resumen_Sprints!$D$7),INDEX('Sprint N°2'!$C$11:$O$11,BS$4-Resumen_Sprints!$E$7),0)</f>
        <v>0</v>
      </c>
      <c r="BT17" s="36">
        <f>IF(AND(BT$4&gt;Resumen_Sprints!$E$7,BT$4&lt;=Resumen_Sprints!$E$7+Resumen_Sprints!$D$7),INDEX('Sprint N°2'!$C$11:$O$11,BT$4-Resumen_Sprints!$E$7),0)</f>
        <v>0</v>
      </c>
      <c r="BU17" s="36">
        <f>IF(AND(BU$4&gt;Resumen_Sprints!$E$7,BU$4&lt;=Resumen_Sprints!$E$7+Resumen_Sprints!$D$7),INDEX('Sprint N°2'!$C$11:$O$11,BU$4-Resumen_Sprints!$E$7),0)</f>
        <v>0</v>
      </c>
      <c r="BV17" s="36">
        <f>IF(AND(BV$4&gt;Resumen_Sprints!$E$7,BV$4&lt;=Resumen_Sprints!$E$7+Resumen_Sprints!$D$7),INDEX('Sprint N°2'!$C$11:$O$11,BV$4-Resumen_Sprints!$E$7),0)</f>
        <v>0</v>
      </c>
      <c r="BW17" s="36">
        <f>IF(AND(BW$4&gt;Resumen_Sprints!$E$7,BW$4&lt;=Resumen_Sprints!$E$7+Resumen_Sprints!$D$7),INDEX('Sprint N°2'!$C$11:$O$11,BW$4-Resumen_Sprints!$E$7),0)</f>
        <v>0</v>
      </c>
      <c r="BX17" s="36">
        <f>IF(AND(BX$4&gt;Resumen_Sprints!$E$7,BX$4&lt;=Resumen_Sprints!$E$7+Resumen_Sprints!$D$7),INDEX('Sprint N°2'!$C$11:$O$11,BX$4-Resumen_Sprints!$E$7),0)</f>
        <v>0</v>
      </c>
      <c r="BY17" s="36">
        <f>IF(AND(BY$4&gt;Resumen_Sprints!$E$7,BY$4&lt;=Resumen_Sprints!$E$7+Resumen_Sprints!$D$7),INDEX('Sprint N°2'!$C$11:$O$11,BY$4-Resumen_Sprints!$E$7),0)</f>
        <v>0</v>
      </c>
      <c r="BZ17" s="36">
        <f>IF(AND(BZ$4&gt;Resumen_Sprints!$E$7,BZ$4&lt;=Resumen_Sprints!$E$7+Resumen_Sprints!$D$7),INDEX('Sprint N°2'!$C$11:$O$11,BZ$4-Resumen_Sprints!$E$7),0)</f>
        <v>0</v>
      </c>
      <c r="CA17" s="36">
        <f>IF(AND(CA$4&gt;Resumen_Sprints!$E$7,CA$4&lt;=Resumen_Sprints!$E$7+Resumen_Sprints!$D$7),INDEX('Sprint N°2'!$C$11:$O$11,CA$4-Resumen_Sprints!$E$7),0)</f>
        <v>0</v>
      </c>
      <c r="CB17" s="36">
        <f>IF(AND(CB$4&gt;Resumen_Sprints!$E$7,CB$4&lt;=Resumen_Sprints!$E$7+Resumen_Sprints!$D$7),INDEX('Sprint N°2'!$C$11:$O$11,CB$4-Resumen_Sprints!$E$7),0)</f>
        <v>0</v>
      </c>
      <c r="CC17" s="36">
        <f>IF(AND(CC$4&gt;Resumen_Sprints!$E$7,CC$4&lt;=Resumen_Sprints!$E$7+Resumen_Sprints!$D$7),INDEX('Sprint N°2'!$C$11:$O$11,CC$4-Resumen_Sprints!$E$7),0)</f>
        <v>0</v>
      </c>
      <c r="CD17" s="36">
        <f>IF(AND(CD$4&gt;Resumen_Sprints!$E$7,CD$4&lt;=Resumen_Sprints!$E$7+Resumen_Sprints!$D$7),INDEX('Sprint N°2'!$C$11:$O$11,CD$4-Resumen_Sprints!$E$7),0)</f>
        <v>0</v>
      </c>
      <c r="CE17" s="36">
        <f>IF(AND(CE$4&gt;Resumen_Sprints!$E$7,CE$4&lt;=Resumen_Sprints!$E$7+Resumen_Sprints!$D$7),INDEX('Sprint N°2'!$C$11:$O$11,CE$4-Resumen_Sprints!$E$7),0)</f>
        <v>0</v>
      </c>
      <c r="CF17" s="36">
        <f>IF(AND(CF$4&gt;Resumen_Sprints!$E$7,CF$4&lt;=Resumen_Sprints!$E$7+Resumen_Sprints!$D$7),INDEX('Sprint N°2'!$C$11:$O$11,CF$4-Resumen_Sprints!$E$7),0)</f>
        <v>0</v>
      </c>
      <c r="CG17" s="36">
        <f>IF(AND(CG$4&gt;Resumen_Sprints!$E$7,CG$4&lt;=Resumen_Sprints!$E$7+Resumen_Sprints!$D$7),INDEX('Sprint N°2'!$C$11:$O$11,CG$4-Resumen_Sprints!$E$7),0)</f>
        <v>0</v>
      </c>
      <c r="CH17" s="36">
        <f>IF(AND(CH$4&gt;Resumen_Sprints!$E$7,CH$4&lt;=Resumen_Sprints!$E$7+Resumen_Sprints!$D$7),INDEX('Sprint N°2'!$C$11:$O$11,CH$4-Resumen_Sprints!$E$7),0)</f>
        <v>0</v>
      </c>
      <c r="CI17" s="36">
        <f>IF(AND(CI$4&gt;Resumen_Sprints!$E$7,CI$4&lt;=Resumen_Sprints!$E$7+Resumen_Sprints!$D$7),INDEX('Sprint N°2'!$C$11:$O$11,CI$4-Resumen_Sprints!$E$7),0)</f>
        <v>0</v>
      </c>
      <c r="CJ17" s="36">
        <f>IF(AND(CJ$4&gt;Resumen_Sprints!$E$7,CJ$4&lt;=Resumen_Sprints!$E$7+Resumen_Sprints!$D$7),INDEX('Sprint N°2'!$C$11:$O$11,CJ$4-Resumen_Sprints!$E$7),0)</f>
        <v>0</v>
      </c>
      <c r="CK17" s="36">
        <f>IF(AND(CK$4&gt;Resumen_Sprints!$E$7,CK$4&lt;=Resumen_Sprints!$E$7+Resumen_Sprints!$D$7),INDEX('Sprint N°2'!$C$11:$O$11,CK$4-Resumen_Sprints!$E$7),0)</f>
        <v>0</v>
      </c>
      <c r="CL17" s="36">
        <f>IF(AND(CL$4&gt;Resumen_Sprints!$E$7,CL$4&lt;=Resumen_Sprints!$E$7+Resumen_Sprints!$D$7),INDEX('Sprint N°2'!$C$11:$O$11,CL$4-Resumen_Sprints!$E$7),0)</f>
        <v>0</v>
      </c>
      <c r="CM17" s="36">
        <f>IF(AND(CM$4&gt;Resumen_Sprints!$E$7,CM$4&lt;=Resumen_Sprints!$E$7+Resumen_Sprints!$D$7),INDEX('Sprint N°2'!$C$11:$O$11,CM$4-Resumen_Sprints!$E$7),0)</f>
        <v>0</v>
      </c>
      <c r="CN17" s="36">
        <f>IF(AND(CN$4&gt;Resumen_Sprints!$E$7,CN$4&lt;=Resumen_Sprints!$E$7+Resumen_Sprints!$D$7),INDEX('Sprint N°2'!$C$11:$O$11,CN$4-Resumen_Sprints!$E$7),0)</f>
        <v>0</v>
      </c>
      <c r="CO17" s="36">
        <f>IF(AND(CO$4&gt;Resumen_Sprints!$E$7,CO$4&lt;=Resumen_Sprints!$E$7+Resumen_Sprints!$D$7),INDEX('Sprint N°2'!$C$11:$O$11,CO$4-Resumen_Sprints!$E$7),0)</f>
        <v>0</v>
      </c>
      <c r="CP17" s="36">
        <f>IF(AND(CP$4&gt;Resumen_Sprints!$E$7,CP$4&lt;=Resumen_Sprints!$E$7+Resumen_Sprints!$D$7),INDEX('Sprint N°2'!$C$11:$O$11,CP$4-Resumen_Sprints!$E$7),0)</f>
        <v>0</v>
      </c>
      <c r="CQ17" s="36">
        <f>IF(AND(CQ$4&gt;Resumen_Sprints!$E$7,CQ$4&lt;=Resumen_Sprints!$E$7+Resumen_Sprints!$D$7),INDEX('Sprint N°2'!$C$11:$O$11,CQ$4-Resumen_Sprints!$E$7),0)</f>
        <v>0</v>
      </c>
      <c r="CR17" s="36">
        <f>IF(AND(CR$4&gt;Resumen_Sprints!$E$7,CR$4&lt;=Resumen_Sprints!$E$7+Resumen_Sprints!$D$7),INDEX('Sprint N°2'!$C$11:$O$11,CR$4-Resumen_Sprints!$E$7),0)</f>
        <v>0</v>
      </c>
      <c r="CS17" s="36">
        <f>IF(AND(CS$4&gt;Resumen_Sprints!$E$7,CS$4&lt;=Resumen_Sprints!$E$7+Resumen_Sprints!$D$7),INDEX('Sprint N°2'!$C$11:$O$11,CS$4-Resumen_Sprints!$E$7),0)</f>
        <v>0</v>
      </c>
      <c r="CT17" s="36">
        <f>IF(AND(CT$4&gt;Resumen_Sprints!$E$7,CT$4&lt;=Resumen_Sprints!$E$7+Resumen_Sprints!$D$7),INDEX('Sprint N°2'!$C$11:$O$11,CT$4-Resumen_Sprints!$E$7),0)</f>
        <v>0</v>
      </c>
      <c r="CU17" s="10">
        <f t="shared" si="0"/>
        <v>16</v>
      </c>
    </row>
    <row r="18" spans="1:99" x14ac:dyDescent="0.3">
      <c r="A18" s="17" t="str">
        <f>"Sprint N°"&amp;Resumen_Sprints!A8&amp;" – "&amp;Resumen_Sprints!B8</f>
        <v>Sprint N°3 – Base de Datos y Catálogo de Materiales</v>
      </c>
      <c r="B18" s="26">
        <f>SUM(B19:B22)</f>
        <v>47</v>
      </c>
      <c r="CU18" s="44"/>
    </row>
    <row r="19" spans="1:99" x14ac:dyDescent="0.3">
      <c r="A19" s="22" t="str">
        <f>'Sprint N°3'!A6</f>
        <v>Coordinación del Objetivos Sprint 3</v>
      </c>
      <c r="B19" s="22">
        <f>'Sprint N°3'!B6</f>
        <v>1</v>
      </c>
      <c r="C19" s="36">
        <f>IF(AND(C$4&gt;Resumen_Sprints!$E$8,C$4&lt;=Resumen_Sprints!$E$8+Resumen_Sprints!$D$8),INDEX('Sprint N°3'!$C$6:$I$6,C$4-Resumen_Sprints!$E$8),0)</f>
        <v>0</v>
      </c>
      <c r="D19" s="36">
        <f>IF(AND(D$4&gt;Resumen_Sprints!$E$8,D$4&lt;=Resumen_Sprints!$E$8+Resumen_Sprints!$D$8),INDEX('Sprint N°3'!$C$6:$I$6,D$4-Resumen_Sprints!$E$8),0)</f>
        <v>0</v>
      </c>
      <c r="E19" s="36">
        <f>IF(AND(E$4&gt;Resumen_Sprints!$E$8,E$4&lt;=Resumen_Sprints!$E$8+Resumen_Sprints!$D$8),INDEX('Sprint N°3'!$C$6:$I$6,E$4-Resumen_Sprints!$E$8),0)</f>
        <v>0</v>
      </c>
      <c r="F19" s="36">
        <f>IF(AND(F$4&gt;Resumen_Sprints!$E$8,F$4&lt;=Resumen_Sprints!$E$8+Resumen_Sprints!$D$8),INDEX('Sprint N°3'!$C$6:$I$6,F$4-Resumen_Sprints!$E$8),0)</f>
        <v>0</v>
      </c>
      <c r="G19" s="36">
        <f>IF(AND(G$4&gt;Resumen_Sprints!$E$8,G$4&lt;=Resumen_Sprints!$E$8+Resumen_Sprints!$D$8),INDEX('Sprint N°3'!$C$6:$I$6,G$4-Resumen_Sprints!$E$8),0)</f>
        <v>0</v>
      </c>
      <c r="H19" s="36">
        <f>IF(AND(H$4&gt;Resumen_Sprints!$E$8,H$4&lt;=Resumen_Sprints!$E$8+Resumen_Sprints!$D$8),INDEX('Sprint N°3'!$C$6:$I$6,H$4-Resumen_Sprints!$E$8),0)</f>
        <v>0</v>
      </c>
      <c r="I19" s="36">
        <f>IF(AND(I$4&gt;Resumen_Sprints!$E$8,I$4&lt;=Resumen_Sprints!$E$8+Resumen_Sprints!$D$8),INDEX('Sprint N°3'!$C$6:$I$6,I$4-Resumen_Sprints!$E$8),0)</f>
        <v>0</v>
      </c>
      <c r="J19" s="36">
        <f>IF(AND(J$4&gt;Resumen_Sprints!$E$8,J$4&lt;=Resumen_Sprints!$E$8+Resumen_Sprints!$D$8),INDEX('Sprint N°3'!$C$6:$I$6,J$4-Resumen_Sprints!$E$8),0)</f>
        <v>0</v>
      </c>
      <c r="K19" s="36">
        <f>IF(AND(K$4&gt;Resumen_Sprints!$E$8,K$4&lt;=Resumen_Sprints!$E$8+Resumen_Sprints!$D$8),INDEX('Sprint N°3'!$C$6:$I$6,K$4-Resumen_Sprints!$E$8),0)</f>
        <v>0</v>
      </c>
      <c r="L19" s="36">
        <f>IF(AND(L$4&gt;Resumen_Sprints!$E$8,L$4&lt;=Resumen_Sprints!$E$8+Resumen_Sprints!$D$8),INDEX('Sprint N°3'!$C$6:$I$6,L$4-Resumen_Sprints!$E$8),0)</f>
        <v>0</v>
      </c>
      <c r="M19" s="36">
        <f>IF(AND(M$4&gt;Resumen_Sprints!$E$8,M$4&lt;=Resumen_Sprints!$E$8+Resumen_Sprints!$D$8),INDEX('Sprint N°3'!$C$6:$I$6,M$4-Resumen_Sprints!$E$8),0)</f>
        <v>0</v>
      </c>
      <c r="N19" s="36">
        <f>IF(AND(N$4&gt;Resumen_Sprints!$E$8,N$4&lt;=Resumen_Sprints!$E$8+Resumen_Sprints!$D$8),INDEX('Sprint N°3'!$C$6:$I$6,N$4-Resumen_Sprints!$E$8),0)</f>
        <v>0</v>
      </c>
      <c r="O19" s="36">
        <f>IF(AND(O$4&gt;Resumen_Sprints!$E$8,O$4&lt;=Resumen_Sprints!$E$8+Resumen_Sprints!$D$8),INDEX('Sprint N°3'!$C$6:$I$6,O$4-Resumen_Sprints!$E$8),0)</f>
        <v>0</v>
      </c>
      <c r="P19" s="36">
        <f>IF(AND(P$4&gt;Resumen_Sprints!$E$8,P$4&lt;=Resumen_Sprints!$E$8+Resumen_Sprints!$D$8),INDEX('Sprint N°3'!$C$6:$I$6,P$4-Resumen_Sprints!$E$8),0)</f>
        <v>0</v>
      </c>
      <c r="Q19" s="36">
        <f>IF(AND(Q$4&gt;Resumen_Sprints!$E$8,Q$4&lt;=Resumen_Sprints!$E$8+Resumen_Sprints!$D$8),INDEX('Sprint N°3'!$C$6:$I$6,Q$4-Resumen_Sprints!$E$8),0)</f>
        <v>0</v>
      </c>
      <c r="R19" s="36">
        <f>IF(AND(R$4&gt;Resumen_Sprints!$E$8,R$4&lt;=Resumen_Sprints!$E$8+Resumen_Sprints!$D$8),INDEX('Sprint N°3'!$C$6:$I$6,R$4-Resumen_Sprints!$E$8),0)</f>
        <v>0</v>
      </c>
      <c r="S19" s="36">
        <f>IF(AND(S$4&gt;Resumen_Sprints!$E$8,S$4&lt;=Resumen_Sprints!$E$8+Resumen_Sprints!$D$8),INDEX('Sprint N°3'!$C$6:$I$6,S$4-Resumen_Sprints!$E$8),0)</f>
        <v>0</v>
      </c>
      <c r="T19" s="36">
        <f>IF(AND(T$4&gt;Resumen_Sprints!$E$8,T$4&lt;=Resumen_Sprints!$E$8+Resumen_Sprints!$D$8),INDEX('Sprint N°3'!$C$6:$I$6,T$4-Resumen_Sprints!$E$8),0)</f>
        <v>0</v>
      </c>
      <c r="U19" s="36">
        <f>IF(AND(U$4&gt;Resumen_Sprints!$E$8,U$4&lt;=Resumen_Sprints!$E$8+Resumen_Sprints!$D$8),INDEX('Sprint N°3'!$C$6:$I$6,U$4-Resumen_Sprints!$E$8),0)</f>
        <v>0</v>
      </c>
      <c r="V19" s="36">
        <f>IF(AND(V$4&gt;Resumen_Sprints!$E$8,V$4&lt;=Resumen_Sprints!$E$8+Resumen_Sprints!$D$8),INDEX('Sprint N°3'!$C$6:$I$6,V$4-Resumen_Sprints!$E$8),0)</f>
        <v>0</v>
      </c>
      <c r="W19" s="36">
        <f>IF(AND(W$4&gt;Resumen_Sprints!$E$8,W$4&lt;=Resumen_Sprints!$E$8+Resumen_Sprints!$D$8),INDEX('Sprint N°3'!$C$6:$I$6,W$4-Resumen_Sprints!$E$8),0)</f>
        <v>1</v>
      </c>
      <c r="X19" s="36">
        <f>IF(AND(X$4&gt;Resumen_Sprints!$E$8,X$4&lt;=Resumen_Sprints!$E$8+Resumen_Sprints!$D$8),INDEX('Sprint N°3'!$C$6:$I$6,X$4-Resumen_Sprints!$E$8),0)</f>
        <v>0</v>
      </c>
      <c r="Y19" s="36">
        <f>IF(AND(Y$4&gt;Resumen_Sprints!$E$8,Y$4&lt;=Resumen_Sprints!$E$8+Resumen_Sprints!$D$8),INDEX('Sprint N°3'!$C$6:$I$6,Y$4-Resumen_Sprints!$E$8),0)</f>
        <v>0</v>
      </c>
      <c r="Z19" s="36">
        <f>IF(AND(Z$4&gt;Resumen_Sprints!$E$8,Z$4&lt;=Resumen_Sprints!$E$8+Resumen_Sprints!$D$8),INDEX('Sprint N°3'!$C$6:$I$6,Z$4-Resumen_Sprints!$E$8),0)</f>
        <v>0</v>
      </c>
      <c r="AA19" s="36">
        <f>IF(AND(AA$4&gt;Resumen_Sprints!$E$8,AA$4&lt;=Resumen_Sprints!$E$8+Resumen_Sprints!$D$8),INDEX('Sprint N°3'!$C$6:$I$6,AA$4-Resumen_Sprints!$E$8),0)</f>
        <v>0</v>
      </c>
      <c r="AB19" s="36">
        <f>IF(AND(AB$4&gt;Resumen_Sprints!$E$8,AB$4&lt;=Resumen_Sprints!$E$8+Resumen_Sprints!$D$8),INDEX('Sprint N°3'!$C$6:$I$6,AB$4-Resumen_Sprints!$E$8),0)</f>
        <v>0</v>
      </c>
      <c r="AC19" s="36">
        <f>IF(AND(AC$4&gt;Resumen_Sprints!$E$8,AC$4&lt;=Resumen_Sprints!$E$8+Resumen_Sprints!$D$8),INDEX('Sprint N°3'!$C$6:$I$6,AC$4-Resumen_Sprints!$E$8),0)</f>
        <v>0</v>
      </c>
      <c r="AD19" s="36">
        <f>IF(AND(AD$4&gt;Resumen_Sprints!$E$8,AD$4&lt;=Resumen_Sprints!$E$8+Resumen_Sprints!$D$8),INDEX('Sprint N°3'!$C$6:$I$6,AD$4-Resumen_Sprints!$E$8),0)</f>
        <v>0</v>
      </c>
      <c r="AE19" s="36">
        <f>IF(AND(AE$4&gt;Resumen_Sprints!$E$8,AE$4&lt;=Resumen_Sprints!$E$8+Resumen_Sprints!$D$8),INDEX('Sprint N°3'!$C$6:$I$6,AE$4-Resumen_Sprints!$E$8),0)</f>
        <v>0</v>
      </c>
      <c r="AF19" s="36">
        <f>IF(AND(AF$4&gt;Resumen_Sprints!$E$8,AF$4&lt;=Resumen_Sprints!$E$8+Resumen_Sprints!$D$8),INDEX('Sprint N°3'!$C$6:$I$6,AF$4-Resumen_Sprints!$E$8),0)</f>
        <v>0</v>
      </c>
      <c r="AG19" s="36">
        <f>IF(AND(AG$4&gt;Resumen_Sprints!$E$8,AG$4&lt;=Resumen_Sprints!$E$8+Resumen_Sprints!$D$8),INDEX('Sprint N°3'!$C$6:$I$6,AG$4-Resumen_Sprints!$E$8),0)</f>
        <v>0</v>
      </c>
      <c r="AH19" s="36">
        <f>IF(AND(AH$4&gt;Resumen_Sprints!$E$8,AH$4&lt;=Resumen_Sprints!$E$8+Resumen_Sprints!$D$8),INDEX('Sprint N°3'!$C$6:$I$6,AH$4-Resumen_Sprints!$E$8),0)</f>
        <v>0</v>
      </c>
      <c r="AI19" s="36">
        <f>IF(AND(AI$4&gt;Resumen_Sprints!$E$8,AI$4&lt;=Resumen_Sprints!$E$8+Resumen_Sprints!$D$8),INDEX('Sprint N°3'!$C$6:$I$6,AI$4-Resumen_Sprints!$E$8),0)</f>
        <v>0</v>
      </c>
      <c r="AJ19" s="36">
        <f>IF(AND(AJ$4&gt;Resumen_Sprints!$E$8,AJ$4&lt;=Resumen_Sprints!$E$8+Resumen_Sprints!$D$8),INDEX('Sprint N°3'!$C$6:$I$6,AJ$4-Resumen_Sprints!$E$8),0)</f>
        <v>0</v>
      </c>
      <c r="AK19" s="36">
        <f>IF(AND(AK$4&gt;Resumen_Sprints!$E$8,AK$4&lt;=Resumen_Sprints!$E$8+Resumen_Sprints!$D$8),INDEX('Sprint N°3'!$C$6:$I$6,AK$4-Resumen_Sprints!$E$8),0)</f>
        <v>0</v>
      </c>
      <c r="AL19" s="36">
        <f>IF(AND(AL$4&gt;Resumen_Sprints!$E$8,AL$4&lt;=Resumen_Sprints!$E$8+Resumen_Sprints!$D$8),INDEX('Sprint N°3'!$C$6:$I$6,AL$4-Resumen_Sprints!$E$8),0)</f>
        <v>0</v>
      </c>
      <c r="AM19" s="36">
        <f>IF(AND(AM$4&gt;Resumen_Sprints!$E$8,AM$4&lt;=Resumen_Sprints!$E$8+Resumen_Sprints!$D$8),INDEX('Sprint N°3'!$C$6:$I$6,AM$4-Resumen_Sprints!$E$8),0)</f>
        <v>0</v>
      </c>
      <c r="AN19" s="36">
        <f>IF(AND(AN$4&gt;Resumen_Sprints!$E$8,AN$4&lt;=Resumen_Sprints!$E$8+Resumen_Sprints!$D$8),INDEX('Sprint N°3'!$C$6:$I$6,AN$4-Resumen_Sprints!$E$8),0)</f>
        <v>0</v>
      </c>
      <c r="AO19" s="36">
        <f>IF(AND(AO$4&gt;Resumen_Sprints!$E$8,AO$4&lt;=Resumen_Sprints!$E$8+Resumen_Sprints!$D$8),INDEX('Sprint N°3'!$C$6:$I$6,AO$4-Resumen_Sprints!$E$8),0)</f>
        <v>0</v>
      </c>
      <c r="AP19" s="36">
        <f>IF(AND(AP$4&gt;Resumen_Sprints!$E$8,AP$4&lt;=Resumen_Sprints!$E$8+Resumen_Sprints!$D$8),INDEX('Sprint N°3'!$C$6:$I$6,AP$4-Resumen_Sprints!$E$8),0)</f>
        <v>0</v>
      </c>
      <c r="AQ19" s="36">
        <f>IF(AND(AQ$4&gt;Resumen_Sprints!$E$8,AQ$4&lt;=Resumen_Sprints!$E$8+Resumen_Sprints!$D$8),INDEX('Sprint N°3'!$C$6:$I$6,AQ$4-Resumen_Sprints!$E$8),0)</f>
        <v>0</v>
      </c>
      <c r="AR19" s="36">
        <f>IF(AND(AR$4&gt;Resumen_Sprints!$E$8,AR$4&lt;=Resumen_Sprints!$E$8+Resumen_Sprints!$D$8),INDEX('Sprint N°3'!$C$6:$I$6,AR$4-Resumen_Sprints!$E$8),0)</f>
        <v>0</v>
      </c>
      <c r="AS19" s="36">
        <f>IF(AND(AS$4&gt;Resumen_Sprints!$E$8,AS$4&lt;=Resumen_Sprints!$E$8+Resumen_Sprints!$D$8),INDEX('Sprint N°3'!$C$6:$I$6,AS$4-Resumen_Sprints!$E$8),0)</f>
        <v>0</v>
      </c>
      <c r="AT19" s="36">
        <f>IF(AND(AT$4&gt;Resumen_Sprints!$E$8,AT$4&lt;=Resumen_Sprints!$E$8+Resumen_Sprints!$D$8),INDEX('Sprint N°3'!$C$6:$I$6,AT$4-Resumen_Sprints!$E$8),0)</f>
        <v>0</v>
      </c>
      <c r="AU19" s="36">
        <f>IF(AND(AU$4&gt;Resumen_Sprints!$E$8,AU$4&lt;=Resumen_Sprints!$E$8+Resumen_Sprints!$D$8),INDEX('Sprint N°3'!$C$6:$I$6,AU$4-Resumen_Sprints!$E$8),0)</f>
        <v>0</v>
      </c>
      <c r="AV19" s="36">
        <f>IF(AND(AV$4&gt;Resumen_Sprints!$E$8,AV$4&lt;=Resumen_Sprints!$E$8+Resumen_Sprints!$D$8),INDEX('Sprint N°3'!$C$6:$I$6,AV$4-Resumen_Sprints!$E$8),0)</f>
        <v>0</v>
      </c>
      <c r="AW19" s="36">
        <f>IF(AND(AW$4&gt;Resumen_Sprints!$E$8,AW$4&lt;=Resumen_Sprints!$E$8+Resumen_Sprints!$D$8),INDEX('Sprint N°3'!$C$6:$I$6,AW$4-Resumen_Sprints!$E$8),0)</f>
        <v>0</v>
      </c>
      <c r="AX19" s="36">
        <f>IF(AND(AX$4&gt;Resumen_Sprints!$E$8,AX$4&lt;=Resumen_Sprints!$E$8+Resumen_Sprints!$D$8),INDEX('Sprint N°3'!$C$6:$I$6,AX$4-Resumen_Sprints!$E$8),0)</f>
        <v>0</v>
      </c>
      <c r="AY19" s="36">
        <f>IF(AND(AY$4&gt;Resumen_Sprints!$E$8,AY$4&lt;=Resumen_Sprints!$E$8+Resumen_Sprints!$D$8),INDEX('Sprint N°3'!$C$6:$I$6,AY$4-Resumen_Sprints!$E$8),0)</f>
        <v>0</v>
      </c>
      <c r="AZ19" s="36">
        <f>IF(AND(AZ$4&gt;Resumen_Sprints!$E$8,AZ$4&lt;=Resumen_Sprints!$E$8+Resumen_Sprints!$D$8),INDEX('Sprint N°3'!$C$6:$I$6,AZ$4-Resumen_Sprints!$E$8),0)</f>
        <v>0</v>
      </c>
      <c r="BA19" s="36">
        <f>IF(AND(BA$4&gt;Resumen_Sprints!$E$8,BA$4&lt;=Resumen_Sprints!$E$8+Resumen_Sprints!$D$8),INDEX('Sprint N°3'!$C$6:$I$6,BA$4-Resumen_Sprints!$E$8),0)</f>
        <v>0</v>
      </c>
      <c r="BB19" s="36">
        <f>IF(AND(BB$4&gt;Resumen_Sprints!$E$8,BB$4&lt;=Resumen_Sprints!$E$8+Resumen_Sprints!$D$8),INDEX('Sprint N°3'!$C$6:$I$6,BB$4-Resumen_Sprints!$E$8),0)</f>
        <v>0</v>
      </c>
      <c r="BC19" s="36">
        <f>IF(AND(BC$4&gt;Resumen_Sprints!$E$8,BC$4&lt;=Resumen_Sprints!$E$8+Resumen_Sprints!$D$8),INDEX('Sprint N°3'!$C$6:$I$6,BC$4-Resumen_Sprints!$E$8),0)</f>
        <v>0</v>
      </c>
      <c r="BD19" s="36">
        <f>IF(AND(BD$4&gt;Resumen_Sprints!$E$8,BD$4&lt;=Resumen_Sprints!$E$8+Resumen_Sprints!$D$8),INDEX('Sprint N°3'!$C$6:$I$6,BD$4-Resumen_Sprints!$E$8),0)</f>
        <v>0</v>
      </c>
      <c r="BE19" s="36">
        <f>IF(AND(BE$4&gt;Resumen_Sprints!$E$8,BE$4&lt;=Resumen_Sprints!$E$8+Resumen_Sprints!$D$8),INDEX('Sprint N°3'!$C$6:$I$6,BE$4-Resumen_Sprints!$E$8),0)</f>
        <v>0</v>
      </c>
      <c r="BF19" s="36">
        <f>IF(AND(BF$4&gt;Resumen_Sprints!$E$8,BF$4&lt;=Resumen_Sprints!$E$8+Resumen_Sprints!$D$8),INDEX('Sprint N°3'!$C$6:$I$6,BF$4-Resumen_Sprints!$E$8),0)</f>
        <v>0</v>
      </c>
      <c r="BG19" s="36">
        <f>IF(AND(BG$4&gt;Resumen_Sprints!$E$8,BG$4&lt;=Resumen_Sprints!$E$8+Resumen_Sprints!$D$8),INDEX('Sprint N°3'!$C$6:$I$6,BG$4-Resumen_Sprints!$E$8),0)</f>
        <v>0</v>
      </c>
      <c r="BH19" s="36">
        <f>IF(AND(BH$4&gt;Resumen_Sprints!$E$8,BH$4&lt;=Resumen_Sprints!$E$8+Resumen_Sprints!$D$8),INDEX('Sprint N°3'!$C$6:$I$6,BH$4-Resumen_Sprints!$E$8),0)</f>
        <v>0</v>
      </c>
      <c r="BI19" s="36">
        <f>IF(AND(BI$4&gt;Resumen_Sprints!$E$8,BI$4&lt;=Resumen_Sprints!$E$8+Resumen_Sprints!$D$8),INDEX('Sprint N°3'!$C$6:$I$6,BI$4-Resumen_Sprints!$E$8),0)</f>
        <v>0</v>
      </c>
      <c r="BJ19" s="36">
        <f>IF(AND(BJ$4&gt;Resumen_Sprints!$E$8,BJ$4&lt;=Resumen_Sprints!$E$8+Resumen_Sprints!$D$8),INDEX('Sprint N°3'!$C$6:$I$6,BJ$4-Resumen_Sprints!$E$8),0)</f>
        <v>0</v>
      </c>
      <c r="BK19" s="36">
        <f>IF(AND(BK$4&gt;Resumen_Sprints!$E$8,BK$4&lt;=Resumen_Sprints!$E$8+Resumen_Sprints!$D$8),INDEX('Sprint N°3'!$C$6:$I$6,BK$4-Resumen_Sprints!$E$8),0)</f>
        <v>0</v>
      </c>
      <c r="BL19" s="36">
        <f>IF(AND(BL$4&gt;Resumen_Sprints!$E$8,BL$4&lt;=Resumen_Sprints!$E$8+Resumen_Sprints!$D$8),INDEX('Sprint N°3'!$C$6:$I$6,BL$4-Resumen_Sprints!$E$8),0)</f>
        <v>0</v>
      </c>
      <c r="BM19" s="36">
        <f>IF(AND(BM$4&gt;Resumen_Sprints!$E$8,BM$4&lt;=Resumen_Sprints!$E$8+Resumen_Sprints!$D$8),INDEX('Sprint N°3'!$C$6:$I$6,BM$4-Resumen_Sprints!$E$8),0)</f>
        <v>0</v>
      </c>
      <c r="BN19" s="36">
        <f>IF(AND(BN$4&gt;Resumen_Sprints!$E$8,BN$4&lt;=Resumen_Sprints!$E$8+Resumen_Sprints!$D$8),INDEX('Sprint N°3'!$C$6:$I$6,BN$4-Resumen_Sprints!$E$8),0)</f>
        <v>0</v>
      </c>
      <c r="BO19" s="36">
        <f>IF(AND(BO$4&gt;Resumen_Sprints!$E$8,BO$4&lt;=Resumen_Sprints!$E$8+Resumen_Sprints!$D$8),INDEX('Sprint N°3'!$C$6:$I$6,BO$4-Resumen_Sprints!$E$8),0)</f>
        <v>0</v>
      </c>
      <c r="BP19" s="36">
        <f>IF(AND(BP$4&gt;Resumen_Sprints!$E$8,BP$4&lt;=Resumen_Sprints!$E$8+Resumen_Sprints!$D$8),INDEX('Sprint N°3'!$C$6:$I$6,BP$4-Resumen_Sprints!$E$8),0)</f>
        <v>0</v>
      </c>
      <c r="BQ19" s="36">
        <f>IF(AND(BQ$4&gt;Resumen_Sprints!$E$8,BQ$4&lt;=Resumen_Sprints!$E$8+Resumen_Sprints!$D$8),INDEX('Sprint N°3'!$C$6:$I$6,BQ$4-Resumen_Sprints!$E$8),0)</f>
        <v>0</v>
      </c>
      <c r="BR19" s="36">
        <f>IF(AND(BR$4&gt;Resumen_Sprints!$E$8,BR$4&lt;=Resumen_Sprints!$E$8+Resumen_Sprints!$D$8),INDEX('Sprint N°3'!$C$6:$I$6,BR$4-Resumen_Sprints!$E$8),0)</f>
        <v>0</v>
      </c>
      <c r="BS19" s="36">
        <f>IF(AND(BS$4&gt;Resumen_Sprints!$E$8,BS$4&lt;=Resumen_Sprints!$E$8+Resumen_Sprints!$D$8),INDEX('Sprint N°3'!$C$6:$I$6,BS$4-Resumen_Sprints!$E$8),0)</f>
        <v>0</v>
      </c>
      <c r="BT19" s="36">
        <f>IF(AND(BT$4&gt;Resumen_Sprints!$E$8,BT$4&lt;=Resumen_Sprints!$E$8+Resumen_Sprints!$D$8),INDEX('Sprint N°3'!$C$6:$I$6,BT$4-Resumen_Sprints!$E$8),0)</f>
        <v>0</v>
      </c>
      <c r="BU19" s="36">
        <f>IF(AND(BU$4&gt;Resumen_Sprints!$E$8,BU$4&lt;=Resumen_Sprints!$E$8+Resumen_Sprints!$D$8),INDEX('Sprint N°3'!$C$6:$I$6,BU$4-Resumen_Sprints!$E$8),0)</f>
        <v>0</v>
      </c>
      <c r="BV19" s="36">
        <f>IF(AND(BV$4&gt;Resumen_Sprints!$E$8,BV$4&lt;=Resumen_Sprints!$E$8+Resumen_Sprints!$D$8),INDEX('Sprint N°3'!$C$6:$I$6,BV$4-Resumen_Sprints!$E$8),0)</f>
        <v>0</v>
      </c>
      <c r="BW19" s="36">
        <f>IF(AND(BW$4&gt;Resumen_Sprints!$E$8,BW$4&lt;=Resumen_Sprints!$E$8+Resumen_Sprints!$D$8),INDEX('Sprint N°3'!$C$6:$I$6,BW$4-Resumen_Sprints!$E$8),0)</f>
        <v>0</v>
      </c>
      <c r="BX19" s="36">
        <f>IF(AND(BX$4&gt;Resumen_Sprints!$E$8,BX$4&lt;=Resumen_Sprints!$E$8+Resumen_Sprints!$D$8),INDEX('Sprint N°3'!$C$6:$I$6,BX$4-Resumen_Sprints!$E$8),0)</f>
        <v>0</v>
      </c>
      <c r="BY19" s="36">
        <f>IF(AND(BY$4&gt;Resumen_Sprints!$E$8,BY$4&lt;=Resumen_Sprints!$E$8+Resumen_Sprints!$D$8),INDEX('Sprint N°3'!$C$6:$I$6,BY$4-Resumen_Sprints!$E$8),0)</f>
        <v>0</v>
      </c>
      <c r="BZ19" s="36">
        <f>IF(AND(BZ$4&gt;Resumen_Sprints!$E$8,BZ$4&lt;=Resumen_Sprints!$E$8+Resumen_Sprints!$D$8),INDEX('Sprint N°3'!$C$6:$I$6,BZ$4-Resumen_Sprints!$E$8),0)</f>
        <v>0</v>
      </c>
      <c r="CA19" s="36">
        <f>IF(AND(CA$4&gt;Resumen_Sprints!$E$8,CA$4&lt;=Resumen_Sprints!$E$8+Resumen_Sprints!$D$8),INDEX('Sprint N°3'!$C$6:$I$6,CA$4-Resumen_Sprints!$E$8),0)</f>
        <v>0</v>
      </c>
      <c r="CB19" s="36">
        <f>IF(AND(CB$4&gt;Resumen_Sprints!$E$8,CB$4&lt;=Resumen_Sprints!$E$8+Resumen_Sprints!$D$8),INDEX('Sprint N°3'!$C$6:$I$6,CB$4-Resumen_Sprints!$E$8),0)</f>
        <v>0</v>
      </c>
      <c r="CC19" s="36">
        <f>IF(AND(CC$4&gt;Resumen_Sprints!$E$8,CC$4&lt;=Resumen_Sprints!$E$8+Resumen_Sprints!$D$8),INDEX('Sprint N°3'!$C$6:$I$6,CC$4-Resumen_Sprints!$E$8),0)</f>
        <v>0</v>
      </c>
      <c r="CD19" s="36">
        <f>IF(AND(CD$4&gt;Resumen_Sprints!$E$8,CD$4&lt;=Resumen_Sprints!$E$8+Resumen_Sprints!$D$8),INDEX('Sprint N°3'!$C$6:$I$6,CD$4-Resumen_Sprints!$E$8),0)</f>
        <v>0</v>
      </c>
      <c r="CE19" s="36">
        <f>IF(AND(CE$4&gt;Resumen_Sprints!$E$8,CE$4&lt;=Resumen_Sprints!$E$8+Resumen_Sprints!$D$8),INDEX('Sprint N°3'!$C$6:$I$6,CE$4-Resumen_Sprints!$E$8),0)</f>
        <v>0</v>
      </c>
      <c r="CF19" s="36">
        <f>IF(AND(CF$4&gt;Resumen_Sprints!$E$8,CF$4&lt;=Resumen_Sprints!$E$8+Resumen_Sprints!$D$8),INDEX('Sprint N°3'!$C$6:$I$6,CF$4-Resumen_Sprints!$E$8),0)</f>
        <v>0</v>
      </c>
      <c r="CG19" s="36">
        <f>IF(AND(CG$4&gt;Resumen_Sprints!$E$8,CG$4&lt;=Resumen_Sprints!$E$8+Resumen_Sprints!$D$8),INDEX('Sprint N°3'!$C$6:$I$6,CG$4-Resumen_Sprints!$E$8),0)</f>
        <v>0</v>
      </c>
      <c r="CH19" s="36">
        <f>IF(AND(CH$4&gt;Resumen_Sprints!$E$8,CH$4&lt;=Resumen_Sprints!$E$8+Resumen_Sprints!$D$8),INDEX('Sprint N°3'!$C$6:$I$6,CH$4-Resumen_Sprints!$E$8),0)</f>
        <v>0</v>
      </c>
      <c r="CI19" s="36">
        <f>IF(AND(CI$4&gt;Resumen_Sprints!$E$8,CI$4&lt;=Resumen_Sprints!$E$8+Resumen_Sprints!$D$8),INDEX('Sprint N°3'!$C$6:$I$6,CI$4-Resumen_Sprints!$E$8),0)</f>
        <v>0</v>
      </c>
      <c r="CJ19" s="36">
        <f>IF(AND(CJ$4&gt;Resumen_Sprints!$E$8,CJ$4&lt;=Resumen_Sprints!$E$8+Resumen_Sprints!$D$8),INDEX('Sprint N°3'!$C$6:$I$6,CJ$4-Resumen_Sprints!$E$8),0)</f>
        <v>0</v>
      </c>
      <c r="CK19" s="36">
        <f>IF(AND(CK$4&gt;Resumen_Sprints!$E$8,CK$4&lt;=Resumen_Sprints!$E$8+Resumen_Sprints!$D$8),INDEX('Sprint N°3'!$C$6:$I$6,CK$4-Resumen_Sprints!$E$8),0)</f>
        <v>0</v>
      </c>
      <c r="CL19" s="36">
        <f>IF(AND(CL$4&gt;Resumen_Sprints!$E$8,CL$4&lt;=Resumen_Sprints!$E$8+Resumen_Sprints!$D$8),INDEX('Sprint N°3'!$C$6:$I$6,CL$4-Resumen_Sprints!$E$8),0)</f>
        <v>0</v>
      </c>
      <c r="CM19" s="36">
        <f>IF(AND(CM$4&gt;Resumen_Sprints!$E$8,CM$4&lt;=Resumen_Sprints!$E$8+Resumen_Sprints!$D$8),INDEX('Sprint N°3'!$C$6:$I$6,CM$4-Resumen_Sprints!$E$8),0)</f>
        <v>0</v>
      </c>
      <c r="CN19" s="36">
        <f>IF(AND(CN$4&gt;Resumen_Sprints!$E$8,CN$4&lt;=Resumen_Sprints!$E$8+Resumen_Sprints!$D$8),INDEX('Sprint N°3'!$C$6:$I$6,CN$4-Resumen_Sprints!$E$8),0)</f>
        <v>0</v>
      </c>
      <c r="CO19" s="36">
        <f>IF(AND(CO$4&gt;Resumen_Sprints!$E$8,CO$4&lt;=Resumen_Sprints!$E$8+Resumen_Sprints!$D$8),INDEX('Sprint N°3'!$C$6:$I$6,CO$4-Resumen_Sprints!$E$8),0)</f>
        <v>0</v>
      </c>
      <c r="CP19" s="36">
        <f>IF(AND(CP$4&gt;Resumen_Sprints!$E$8,CP$4&lt;=Resumen_Sprints!$E$8+Resumen_Sprints!$D$8),INDEX('Sprint N°3'!$C$6:$I$6,CP$4-Resumen_Sprints!$E$8),0)</f>
        <v>0</v>
      </c>
      <c r="CQ19" s="36">
        <f>IF(AND(CQ$4&gt;Resumen_Sprints!$E$8,CQ$4&lt;=Resumen_Sprints!$E$8+Resumen_Sprints!$D$8),INDEX('Sprint N°3'!$C$6:$I$6,CQ$4-Resumen_Sprints!$E$8),0)</f>
        <v>0</v>
      </c>
      <c r="CR19" s="36">
        <f>IF(AND(CR$4&gt;Resumen_Sprints!$E$8,CR$4&lt;=Resumen_Sprints!$E$8+Resumen_Sprints!$D$8),INDEX('Sprint N°3'!$C$6:$I$6,CR$4-Resumen_Sprints!$E$8),0)</f>
        <v>0</v>
      </c>
      <c r="CS19" s="36">
        <f>IF(AND(CS$4&gt;Resumen_Sprints!$E$8,CS$4&lt;=Resumen_Sprints!$E$8+Resumen_Sprints!$D$8),INDEX('Sprint N°3'!$C$6:$I$6,CS$4-Resumen_Sprints!$E$8),0)</f>
        <v>0</v>
      </c>
      <c r="CT19" s="36">
        <f>IF(AND(CT$4&gt;Resumen_Sprints!$E$8,CT$4&lt;=Resumen_Sprints!$E$8+Resumen_Sprints!$D$8),INDEX('Sprint N°3'!$C$6:$I$6,CT$4-Resumen_Sprints!$E$8),0)</f>
        <v>0</v>
      </c>
      <c r="CU19" s="10">
        <f>SUM(C19:CT19)</f>
        <v>1</v>
      </c>
    </row>
    <row r="20" spans="1:99" x14ac:dyDescent="0.3">
      <c r="A20" s="22" t="str">
        <f>'Sprint N°3'!A7</f>
        <v>Implementación del Ambiente de Desarrollo</v>
      </c>
      <c r="B20" s="22">
        <f>'Sprint N°3'!B7</f>
        <v>10</v>
      </c>
      <c r="C20" s="36">
        <f>IF(AND(C$4&gt;Resumen_Sprints!$E$8,C$4&lt;=Resumen_Sprints!$E$8+Resumen_Sprints!$D$8),INDEX('Sprint N°3'!$C$7:$I$7,C$4-Resumen_Sprints!$E$8),0)</f>
        <v>0</v>
      </c>
      <c r="D20" s="36">
        <f>IF(AND(D$4&gt;Resumen_Sprints!$E$8,D$4&lt;=Resumen_Sprints!$E$8+Resumen_Sprints!$D$8),INDEX('Sprint N°3'!$C$7:$I$7,D$4-Resumen_Sprints!$E$8),0)</f>
        <v>0</v>
      </c>
      <c r="E20" s="36">
        <f>IF(AND(E$4&gt;Resumen_Sprints!$E$8,E$4&lt;=Resumen_Sprints!$E$8+Resumen_Sprints!$D$8),INDEX('Sprint N°3'!$C$7:$I$7,E$4-Resumen_Sprints!$E$8),0)</f>
        <v>0</v>
      </c>
      <c r="F20" s="36">
        <f>IF(AND(F$4&gt;Resumen_Sprints!$E$8,F$4&lt;=Resumen_Sprints!$E$8+Resumen_Sprints!$D$8),INDEX('Sprint N°3'!$C$7:$I$7,F$4-Resumen_Sprints!$E$8),0)</f>
        <v>0</v>
      </c>
      <c r="G20" s="36">
        <f>IF(AND(G$4&gt;Resumen_Sprints!$E$8,G$4&lt;=Resumen_Sprints!$E$8+Resumen_Sprints!$D$8),INDEX('Sprint N°3'!$C$7:$I$7,G$4-Resumen_Sprints!$E$8),0)</f>
        <v>0</v>
      </c>
      <c r="H20" s="36">
        <f>IF(AND(H$4&gt;Resumen_Sprints!$E$8,H$4&lt;=Resumen_Sprints!$E$8+Resumen_Sprints!$D$8),INDEX('Sprint N°3'!$C$7:$I$7,H$4-Resumen_Sprints!$E$8),0)</f>
        <v>0</v>
      </c>
      <c r="I20" s="36">
        <f>IF(AND(I$4&gt;Resumen_Sprints!$E$8,I$4&lt;=Resumen_Sprints!$E$8+Resumen_Sprints!$D$8),INDEX('Sprint N°3'!$C$7:$I$7,I$4-Resumen_Sprints!$E$8),0)</f>
        <v>0</v>
      </c>
      <c r="J20" s="36">
        <f>IF(AND(J$4&gt;Resumen_Sprints!$E$8,J$4&lt;=Resumen_Sprints!$E$8+Resumen_Sprints!$D$8),INDEX('Sprint N°3'!$C$7:$I$7,J$4-Resumen_Sprints!$E$8),0)</f>
        <v>0</v>
      </c>
      <c r="K20" s="36">
        <f>IF(AND(K$4&gt;Resumen_Sprints!$E$8,K$4&lt;=Resumen_Sprints!$E$8+Resumen_Sprints!$D$8),INDEX('Sprint N°3'!$C$7:$I$7,K$4-Resumen_Sprints!$E$8),0)</f>
        <v>0</v>
      </c>
      <c r="L20" s="36">
        <f>IF(AND(L$4&gt;Resumen_Sprints!$E$8,L$4&lt;=Resumen_Sprints!$E$8+Resumen_Sprints!$D$8),INDEX('Sprint N°3'!$C$7:$I$7,L$4-Resumen_Sprints!$E$8),0)</f>
        <v>0</v>
      </c>
      <c r="M20" s="36">
        <f>IF(AND(M$4&gt;Resumen_Sprints!$E$8,M$4&lt;=Resumen_Sprints!$E$8+Resumen_Sprints!$D$8),INDEX('Sprint N°3'!$C$7:$I$7,M$4-Resumen_Sprints!$E$8),0)</f>
        <v>0</v>
      </c>
      <c r="N20" s="36">
        <f>IF(AND(N$4&gt;Resumen_Sprints!$E$8,N$4&lt;=Resumen_Sprints!$E$8+Resumen_Sprints!$D$8),INDEX('Sprint N°3'!$C$7:$I$7,N$4-Resumen_Sprints!$E$8),0)</f>
        <v>0</v>
      </c>
      <c r="O20" s="36">
        <f>IF(AND(O$4&gt;Resumen_Sprints!$E$8,O$4&lt;=Resumen_Sprints!$E$8+Resumen_Sprints!$D$8),INDEX('Sprint N°3'!$C$7:$I$7,O$4-Resumen_Sprints!$E$8),0)</f>
        <v>0</v>
      </c>
      <c r="P20" s="36">
        <f>IF(AND(P$4&gt;Resumen_Sprints!$E$8,P$4&lt;=Resumen_Sprints!$E$8+Resumen_Sprints!$D$8),INDEX('Sprint N°3'!$C$7:$I$7,P$4-Resumen_Sprints!$E$8),0)</f>
        <v>0</v>
      </c>
      <c r="Q20" s="36">
        <f>IF(AND(Q$4&gt;Resumen_Sprints!$E$8,Q$4&lt;=Resumen_Sprints!$E$8+Resumen_Sprints!$D$8),INDEX('Sprint N°3'!$C$7:$I$7,Q$4-Resumen_Sprints!$E$8),0)</f>
        <v>0</v>
      </c>
      <c r="R20" s="36">
        <f>IF(AND(R$4&gt;Resumen_Sprints!$E$8,R$4&lt;=Resumen_Sprints!$E$8+Resumen_Sprints!$D$8),INDEX('Sprint N°3'!$C$7:$I$7,R$4-Resumen_Sprints!$E$8),0)</f>
        <v>0</v>
      </c>
      <c r="S20" s="36">
        <f>IF(AND(S$4&gt;Resumen_Sprints!$E$8,S$4&lt;=Resumen_Sprints!$E$8+Resumen_Sprints!$D$8),INDEX('Sprint N°3'!$C$7:$I$7,S$4-Resumen_Sprints!$E$8),0)</f>
        <v>0</v>
      </c>
      <c r="T20" s="36">
        <f>IF(AND(T$4&gt;Resumen_Sprints!$E$8,T$4&lt;=Resumen_Sprints!$E$8+Resumen_Sprints!$D$8),INDEX('Sprint N°3'!$C$7:$I$7,T$4-Resumen_Sprints!$E$8),0)</f>
        <v>0</v>
      </c>
      <c r="U20" s="36">
        <f>IF(AND(U$4&gt;Resumen_Sprints!$E$8,U$4&lt;=Resumen_Sprints!$E$8+Resumen_Sprints!$D$8),INDEX('Sprint N°3'!$C$7:$I$7,U$4-Resumen_Sprints!$E$8),0)</f>
        <v>0</v>
      </c>
      <c r="V20" s="36">
        <f>IF(AND(V$4&gt;Resumen_Sprints!$E$8,V$4&lt;=Resumen_Sprints!$E$8+Resumen_Sprints!$D$8),INDEX('Sprint N°3'!$C$7:$I$7,V$4-Resumen_Sprints!$E$8),0)</f>
        <v>0</v>
      </c>
      <c r="W20" s="36">
        <f>IF(AND(W$4&gt;Resumen_Sprints!$E$8,W$4&lt;=Resumen_Sprints!$E$8+Resumen_Sprints!$D$8),INDEX('Sprint N°3'!$C$7:$I$7,W$4-Resumen_Sprints!$E$8),0)</f>
        <v>5</v>
      </c>
      <c r="X20" s="36">
        <f>IF(AND(X$4&gt;Resumen_Sprints!$E$8,X$4&lt;=Resumen_Sprints!$E$8+Resumen_Sprints!$D$8),INDEX('Sprint N°3'!$C$7:$I$7,X$4-Resumen_Sprints!$E$8),0)</f>
        <v>5</v>
      </c>
      <c r="Y20" s="36">
        <f>IF(AND(Y$4&gt;Resumen_Sprints!$E$8,Y$4&lt;=Resumen_Sprints!$E$8+Resumen_Sprints!$D$8),INDEX('Sprint N°3'!$C$7:$I$7,Y$4-Resumen_Sprints!$E$8),0)</f>
        <v>0</v>
      </c>
      <c r="Z20" s="36">
        <f>IF(AND(Z$4&gt;Resumen_Sprints!$E$8,Z$4&lt;=Resumen_Sprints!$E$8+Resumen_Sprints!$D$8),INDEX('Sprint N°3'!$C$7:$I$7,Z$4-Resumen_Sprints!$E$8),0)</f>
        <v>0</v>
      </c>
      <c r="AA20" s="36">
        <f>IF(AND(AA$4&gt;Resumen_Sprints!$E$8,AA$4&lt;=Resumen_Sprints!$E$8+Resumen_Sprints!$D$8),INDEX('Sprint N°3'!$C$7:$I$7,AA$4-Resumen_Sprints!$E$8),0)</f>
        <v>0</v>
      </c>
      <c r="AB20" s="36">
        <f>IF(AND(AB$4&gt;Resumen_Sprints!$E$8,AB$4&lt;=Resumen_Sprints!$E$8+Resumen_Sprints!$D$8),INDEX('Sprint N°3'!$C$7:$I$7,AB$4-Resumen_Sprints!$E$8),0)</f>
        <v>0</v>
      </c>
      <c r="AC20" s="36">
        <f>IF(AND(AC$4&gt;Resumen_Sprints!$E$8,AC$4&lt;=Resumen_Sprints!$E$8+Resumen_Sprints!$D$8),INDEX('Sprint N°3'!$C$7:$I$7,AC$4-Resumen_Sprints!$E$8),0)</f>
        <v>0</v>
      </c>
      <c r="AD20" s="36">
        <f>IF(AND(AD$4&gt;Resumen_Sprints!$E$8,AD$4&lt;=Resumen_Sprints!$E$8+Resumen_Sprints!$D$8),INDEX('Sprint N°3'!$C$7:$I$7,AD$4-Resumen_Sprints!$E$8),0)</f>
        <v>0</v>
      </c>
      <c r="AE20" s="36">
        <f>IF(AND(AE$4&gt;Resumen_Sprints!$E$8,AE$4&lt;=Resumen_Sprints!$E$8+Resumen_Sprints!$D$8),INDEX('Sprint N°3'!$C$7:$I$7,AE$4-Resumen_Sprints!$E$8),0)</f>
        <v>0</v>
      </c>
      <c r="AF20" s="36">
        <f>IF(AND(AF$4&gt;Resumen_Sprints!$E$8,AF$4&lt;=Resumen_Sprints!$E$8+Resumen_Sprints!$D$8),INDEX('Sprint N°3'!$C$7:$I$7,AF$4-Resumen_Sprints!$E$8),0)</f>
        <v>0</v>
      </c>
      <c r="AG20" s="36">
        <f>IF(AND(AG$4&gt;Resumen_Sprints!$E$8,AG$4&lt;=Resumen_Sprints!$E$8+Resumen_Sprints!$D$8),INDEX('Sprint N°3'!$C$7:$I$7,AG$4-Resumen_Sprints!$E$8),0)</f>
        <v>0</v>
      </c>
      <c r="AH20" s="36">
        <f>IF(AND(AH$4&gt;Resumen_Sprints!$E$8,AH$4&lt;=Resumen_Sprints!$E$8+Resumen_Sprints!$D$8),INDEX('Sprint N°3'!$C$7:$I$7,AH$4-Resumen_Sprints!$E$8),0)</f>
        <v>0</v>
      </c>
      <c r="AI20" s="36">
        <f>IF(AND(AI$4&gt;Resumen_Sprints!$E$8,AI$4&lt;=Resumen_Sprints!$E$8+Resumen_Sprints!$D$8),INDEX('Sprint N°3'!$C$7:$I$7,AI$4-Resumen_Sprints!$E$8),0)</f>
        <v>0</v>
      </c>
      <c r="AJ20" s="36">
        <f>IF(AND(AJ$4&gt;Resumen_Sprints!$E$8,AJ$4&lt;=Resumen_Sprints!$E$8+Resumen_Sprints!$D$8),INDEX('Sprint N°3'!$C$7:$I$7,AJ$4-Resumen_Sprints!$E$8),0)</f>
        <v>0</v>
      </c>
      <c r="AK20" s="36">
        <f>IF(AND(AK$4&gt;Resumen_Sprints!$E$8,AK$4&lt;=Resumen_Sprints!$E$8+Resumen_Sprints!$D$8),INDEX('Sprint N°3'!$C$7:$I$7,AK$4-Resumen_Sprints!$E$8),0)</f>
        <v>0</v>
      </c>
      <c r="AL20" s="36">
        <f>IF(AND(AL$4&gt;Resumen_Sprints!$E$8,AL$4&lt;=Resumen_Sprints!$E$8+Resumen_Sprints!$D$8),INDEX('Sprint N°3'!$C$7:$I$7,AL$4-Resumen_Sprints!$E$8),0)</f>
        <v>0</v>
      </c>
      <c r="AM20" s="36">
        <f>IF(AND(AM$4&gt;Resumen_Sprints!$E$8,AM$4&lt;=Resumen_Sprints!$E$8+Resumen_Sprints!$D$8),INDEX('Sprint N°3'!$C$7:$I$7,AM$4-Resumen_Sprints!$E$8),0)</f>
        <v>0</v>
      </c>
      <c r="AN20" s="36">
        <f>IF(AND(AN$4&gt;Resumen_Sprints!$E$8,AN$4&lt;=Resumen_Sprints!$E$8+Resumen_Sprints!$D$8),INDEX('Sprint N°3'!$C$7:$I$7,AN$4-Resumen_Sprints!$E$8),0)</f>
        <v>0</v>
      </c>
      <c r="AO20" s="36">
        <f>IF(AND(AO$4&gt;Resumen_Sprints!$E$8,AO$4&lt;=Resumen_Sprints!$E$8+Resumen_Sprints!$D$8),INDEX('Sprint N°3'!$C$7:$I$7,AO$4-Resumen_Sprints!$E$8),0)</f>
        <v>0</v>
      </c>
      <c r="AP20" s="36">
        <f>IF(AND(AP$4&gt;Resumen_Sprints!$E$8,AP$4&lt;=Resumen_Sprints!$E$8+Resumen_Sprints!$D$8),INDEX('Sprint N°3'!$C$7:$I$7,AP$4-Resumen_Sprints!$E$8),0)</f>
        <v>0</v>
      </c>
      <c r="AQ20" s="36">
        <f>IF(AND(AQ$4&gt;Resumen_Sprints!$E$8,AQ$4&lt;=Resumen_Sprints!$E$8+Resumen_Sprints!$D$8),INDEX('Sprint N°3'!$C$7:$I$7,AQ$4-Resumen_Sprints!$E$8),0)</f>
        <v>0</v>
      </c>
      <c r="AR20" s="36">
        <f>IF(AND(AR$4&gt;Resumen_Sprints!$E$8,AR$4&lt;=Resumen_Sprints!$E$8+Resumen_Sprints!$D$8),INDEX('Sprint N°3'!$C$7:$I$7,AR$4-Resumen_Sprints!$E$8),0)</f>
        <v>0</v>
      </c>
      <c r="AS20" s="36">
        <f>IF(AND(AS$4&gt;Resumen_Sprints!$E$8,AS$4&lt;=Resumen_Sprints!$E$8+Resumen_Sprints!$D$8),INDEX('Sprint N°3'!$C$7:$I$7,AS$4-Resumen_Sprints!$E$8),0)</f>
        <v>0</v>
      </c>
      <c r="AT20" s="36">
        <f>IF(AND(AT$4&gt;Resumen_Sprints!$E$8,AT$4&lt;=Resumen_Sprints!$E$8+Resumen_Sprints!$D$8),INDEX('Sprint N°3'!$C$7:$I$7,AT$4-Resumen_Sprints!$E$8),0)</f>
        <v>0</v>
      </c>
      <c r="AU20" s="36">
        <f>IF(AND(AU$4&gt;Resumen_Sprints!$E$8,AU$4&lt;=Resumen_Sprints!$E$8+Resumen_Sprints!$D$8),INDEX('Sprint N°3'!$C$7:$I$7,AU$4-Resumen_Sprints!$E$8),0)</f>
        <v>0</v>
      </c>
      <c r="AV20" s="36">
        <f>IF(AND(AV$4&gt;Resumen_Sprints!$E$8,AV$4&lt;=Resumen_Sprints!$E$8+Resumen_Sprints!$D$8),INDEX('Sprint N°3'!$C$7:$I$7,AV$4-Resumen_Sprints!$E$8),0)</f>
        <v>0</v>
      </c>
      <c r="AW20" s="36">
        <f>IF(AND(AW$4&gt;Resumen_Sprints!$E$8,AW$4&lt;=Resumen_Sprints!$E$8+Resumen_Sprints!$D$8),INDEX('Sprint N°3'!$C$7:$I$7,AW$4-Resumen_Sprints!$E$8),0)</f>
        <v>0</v>
      </c>
      <c r="AX20" s="36">
        <f>IF(AND(AX$4&gt;Resumen_Sprints!$E$8,AX$4&lt;=Resumen_Sprints!$E$8+Resumen_Sprints!$D$8),INDEX('Sprint N°3'!$C$7:$I$7,AX$4-Resumen_Sprints!$E$8),0)</f>
        <v>0</v>
      </c>
      <c r="AY20" s="36">
        <f>IF(AND(AY$4&gt;Resumen_Sprints!$E$8,AY$4&lt;=Resumen_Sprints!$E$8+Resumen_Sprints!$D$8),INDEX('Sprint N°3'!$C$7:$I$7,AY$4-Resumen_Sprints!$E$8),0)</f>
        <v>0</v>
      </c>
      <c r="AZ20" s="36">
        <f>IF(AND(AZ$4&gt;Resumen_Sprints!$E$8,AZ$4&lt;=Resumen_Sprints!$E$8+Resumen_Sprints!$D$8),INDEX('Sprint N°3'!$C$7:$I$7,AZ$4-Resumen_Sprints!$E$8),0)</f>
        <v>0</v>
      </c>
      <c r="BA20" s="36">
        <f>IF(AND(BA$4&gt;Resumen_Sprints!$E$8,BA$4&lt;=Resumen_Sprints!$E$8+Resumen_Sprints!$D$8),INDEX('Sprint N°3'!$C$7:$I$7,BA$4-Resumen_Sprints!$E$8),0)</f>
        <v>0</v>
      </c>
      <c r="BB20" s="36">
        <f>IF(AND(BB$4&gt;Resumen_Sprints!$E$8,BB$4&lt;=Resumen_Sprints!$E$8+Resumen_Sprints!$D$8),INDEX('Sprint N°3'!$C$7:$I$7,BB$4-Resumen_Sprints!$E$8),0)</f>
        <v>0</v>
      </c>
      <c r="BC20" s="36">
        <f>IF(AND(BC$4&gt;Resumen_Sprints!$E$8,BC$4&lt;=Resumen_Sprints!$E$8+Resumen_Sprints!$D$8),INDEX('Sprint N°3'!$C$7:$I$7,BC$4-Resumen_Sprints!$E$8),0)</f>
        <v>0</v>
      </c>
      <c r="BD20" s="36">
        <f>IF(AND(BD$4&gt;Resumen_Sprints!$E$8,BD$4&lt;=Resumen_Sprints!$E$8+Resumen_Sprints!$D$8),INDEX('Sprint N°3'!$C$7:$I$7,BD$4-Resumen_Sprints!$E$8),0)</f>
        <v>0</v>
      </c>
      <c r="BE20" s="36">
        <f>IF(AND(BE$4&gt;Resumen_Sprints!$E$8,BE$4&lt;=Resumen_Sprints!$E$8+Resumen_Sprints!$D$8),INDEX('Sprint N°3'!$C$7:$I$7,BE$4-Resumen_Sprints!$E$8),0)</f>
        <v>0</v>
      </c>
      <c r="BF20" s="36">
        <f>IF(AND(BF$4&gt;Resumen_Sprints!$E$8,BF$4&lt;=Resumen_Sprints!$E$8+Resumen_Sprints!$D$8),INDEX('Sprint N°3'!$C$7:$I$7,BF$4-Resumen_Sprints!$E$8),0)</f>
        <v>0</v>
      </c>
      <c r="BG20" s="36">
        <f>IF(AND(BG$4&gt;Resumen_Sprints!$E$8,BG$4&lt;=Resumen_Sprints!$E$8+Resumen_Sprints!$D$8),INDEX('Sprint N°3'!$C$7:$I$7,BG$4-Resumen_Sprints!$E$8),0)</f>
        <v>0</v>
      </c>
      <c r="BH20" s="36">
        <f>IF(AND(BH$4&gt;Resumen_Sprints!$E$8,BH$4&lt;=Resumen_Sprints!$E$8+Resumen_Sprints!$D$8),INDEX('Sprint N°3'!$C$7:$I$7,BH$4-Resumen_Sprints!$E$8),0)</f>
        <v>0</v>
      </c>
      <c r="BI20" s="36">
        <f>IF(AND(BI$4&gt;Resumen_Sprints!$E$8,BI$4&lt;=Resumen_Sprints!$E$8+Resumen_Sprints!$D$8),INDEX('Sprint N°3'!$C$7:$I$7,BI$4-Resumen_Sprints!$E$8),0)</f>
        <v>0</v>
      </c>
      <c r="BJ20" s="36">
        <f>IF(AND(BJ$4&gt;Resumen_Sprints!$E$8,BJ$4&lt;=Resumen_Sprints!$E$8+Resumen_Sprints!$D$8),INDEX('Sprint N°3'!$C$7:$I$7,BJ$4-Resumen_Sprints!$E$8),0)</f>
        <v>0</v>
      </c>
      <c r="BK20" s="36">
        <f>IF(AND(BK$4&gt;Resumen_Sprints!$E$8,BK$4&lt;=Resumen_Sprints!$E$8+Resumen_Sprints!$D$8),INDEX('Sprint N°3'!$C$7:$I$7,BK$4-Resumen_Sprints!$E$8),0)</f>
        <v>0</v>
      </c>
      <c r="BL20" s="36">
        <f>IF(AND(BL$4&gt;Resumen_Sprints!$E$8,BL$4&lt;=Resumen_Sprints!$E$8+Resumen_Sprints!$D$8),INDEX('Sprint N°3'!$C$7:$I$7,BL$4-Resumen_Sprints!$E$8),0)</f>
        <v>0</v>
      </c>
      <c r="BM20" s="36">
        <f>IF(AND(BM$4&gt;Resumen_Sprints!$E$8,BM$4&lt;=Resumen_Sprints!$E$8+Resumen_Sprints!$D$8),INDEX('Sprint N°3'!$C$7:$I$7,BM$4-Resumen_Sprints!$E$8),0)</f>
        <v>0</v>
      </c>
      <c r="BN20" s="36">
        <f>IF(AND(BN$4&gt;Resumen_Sprints!$E$8,BN$4&lt;=Resumen_Sprints!$E$8+Resumen_Sprints!$D$8),INDEX('Sprint N°3'!$C$7:$I$7,BN$4-Resumen_Sprints!$E$8),0)</f>
        <v>0</v>
      </c>
      <c r="BO20" s="36">
        <f>IF(AND(BO$4&gt;Resumen_Sprints!$E$8,BO$4&lt;=Resumen_Sprints!$E$8+Resumen_Sprints!$D$8),INDEX('Sprint N°3'!$C$7:$I$7,BO$4-Resumen_Sprints!$E$8),0)</f>
        <v>0</v>
      </c>
      <c r="BP20" s="36">
        <f>IF(AND(BP$4&gt;Resumen_Sprints!$E$8,BP$4&lt;=Resumen_Sprints!$E$8+Resumen_Sprints!$D$8),INDEX('Sprint N°3'!$C$7:$I$7,BP$4-Resumen_Sprints!$E$8),0)</f>
        <v>0</v>
      </c>
      <c r="BQ20" s="36">
        <f>IF(AND(BQ$4&gt;Resumen_Sprints!$E$8,BQ$4&lt;=Resumen_Sprints!$E$8+Resumen_Sprints!$D$8),INDEX('Sprint N°3'!$C$7:$I$7,BQ$4-Resumen_Sprints!$E$8),0)</f>
        <v>0</v>
      </c>
      <c r="BR20" s="36">
        <f>IF(AND(BR$4&gt;Resumen_Sprints!$E$8,BR$4&lt;=Resumen_Sprints!$E$8+Resumen_Sprints!$D$8),INDEX('Sprint N°3'!$C$7:$I$7,BR$4-Resumen_Sprints!$E$8),0)</f>
        <v>0</v>
      </c>
      <c r="BS20" s="36">
        <f>IF(AND(BS$4&gt;Resumen_Sprints!$E$8,BS$4&lt;=Resumen_Sprints!$E$8+Resumen_Sprints!$D$8),INDEX('Sprint N°3'!$C$7:$I$7,BS$4-Resumen_Sprints!$E$8),0)</f>
        <v>0</v>
      </c>
      <c r="BT20" s="36">
        <f>IF(AND(BT$4&gt;Resumen_Sprints!$E$8,BT$4&lt;=Resumen_Sprints!$E$8+Resumen_Sprints!$D$8),INDEX('Sprint N°3'!$C$7:$I$7,BT$4-Resumen_Sprints!$E$8),0)</f>
        <v>0</v>
      </c>
      <c r="BU20" s="36">
        <f>IF(AND(BU$4&gt;Resumen_Sprints!$E$8,BU$4&lt;=Resumen_Sprints!$E$8+Resumen_Sprints!$D$8),INDEX('Sprint N°3'!$C$7:$I$7,BU$4-Resumen_Sprints!$E$8),0)</f>
        <v>0</v>
      </c>
      <c r="BV20" s="36">
        <f>IF(AND(BV$4&gt;Resumen_Sprints!$E$8,BV$4&lt;=Resumen_Sprints!$E$8+Resumen_Sprints!$D$8),INDEX('Sprint N°3'!$C$7:$I$7,BV$4-Resumen_Sprints!$E$8),0)</f>
        <v>0</v>
      </c>
      <c r="BW20" s="36">
        <f>IF(AND(BW$4&gt;Resumen_Sprints!$E$8,BW$4&lt;=Resumen_Sprints!$E$8+Resumen_Sprints!$D$8),INDEX('Sprint N°3'!$C$7:$I$7,BW$4-Resumen_Sprints!$E$8),0)</f>
        <v>0</v>
      </c>
      <c r="BX20" s="36">
        <f>IF(AND(BX$4&gt;Resumen_Sprints!$E$8,BX$4&lt;=Resumen_Sprints!$E$8+Resumen_Sprints!$D$8),INDEX('Sprint N°3'!$C$7:$I$7,BX$4-Resumen_Sprints!$E$8),0)</f>
        <v>0</v>
      </c>
      <c r="BY20" s="36">
        <f>IF(AND(BY$4&gt;Resumen_Sprints!$E$8,BY$4&lt;=Resumen_Sprints!$E$8+Resumen_Sprints!$D$8),INDEX('Sprint N°3'!$C$7:$I$7,BY$4-Resumen_Sprints!$E$8),0)</f>
        <v>0</v>
      </c>
      <c r="BZ20" s="36">
        <f>IF(AND(BZ$4&gt;Resumen_Sprints!$E$8,BZ$4&lt;=Resumen_Sprints!$E$8+Resumen_Sprints!$D$8),INDEX('Sprint N°3'!$C$7:$I$7,BZ$4-Resumen_Sprints!$E$8),0)</f>
        <v>0</v>
      </c>
      <c r="CA20" s="36">
        <f>IF(AND(CA$4&gt;Resumen_Sprints!$E$8,CA$4&lt;=Resumen_Sprints!$E$8+Resumen_Sprints!$D$8),INDEX('Sprint N°3'!$C$7:$I$7,CA$4-Resumen_Sprints!$E$8),0)</f>
        <v>0</v>
      </c>
      <c r="CB20" s="36">
        <f>IF(AND(CB$4&gt;Resumen_Sprints!$E$8,CB$4&lt;=Resumen_Sprints!$E$8+Resumen_Sprints!$D$8),INDEX('Sprint N°3'!$C$7:$I$7,CB$4-Resumen_Sprints!$E$8),0)</f>
        <v>0</v>
      </c>
      <c r="CC20" s="36">
        <f>IF(AND(CC$4&gt;Resumen_Sprints!$E$8,CC$4&lt;=Resumen_Sprints!$E$8+Resumen_Sprints!$D$8),INDEX('Sprint N°3'!$C$7:$I$7,CC$4-Resumen_Sprints!$E$8),0)</f>
        <v>0</v>
      </c>
      <c r="CD20" s="36">
        <f>IF(AND(CD$4&gt;Resumen_Sprints!$E$8,CD$4&lt;=Resumen_Sprints!$E$8+Resumen_Sprints!$D$8),INDEX('Sprint N°3'!$C$7:$I$7,CD$4-Resumen_Sprints!$E$8),0)</f>
        <v>0</v>
      </c>
      <c r="CE20" s="36">
        <f>IF(AND(CE$4&gt;Resumen_Sprints!$E$8,CE$4&lt;=Resumen_Sprints!$E$8+Resumen_Sprints!$D$8),INDEX('Sprint N°3'!$C$7:$I$7,CE$4-Resumen_Sprints!$E$8),0)</f>
        <v>0</v>
      </c>
      <c r="CF20" s="36">
        <f>IF(AND(CF$4&gt;Resumen_Sprints!$E$8,CF$4&lt;=Resumen_Sprints!$E$8+Resumen_Sprints!$D$8),INDEX('Sprint N°3'!$C$7:$I$7,CF$4-Resumen_Sprints!$E$8),0)</f>
        <v>0</v>
      </c>
      <c r="CG20" s="36">
        <f>IF(AND(CG$4&gt;Resumen_Sprints!$E$8,CG$4&lt;=Resumen_Sprints!$E$8+Resumen_Sprints!$D$8),INDEX('Sprint N°3'!$C$7:$I$7,CG$4-Resumen_Sprints!$E$8),0)</f>
        <v>0</v>
      </c>
      <c r="CH20" s="36">
        <f>IF(AND(CH$4&gt;Resumen_Sprints!$E$8,CH$4&lt;=Resumen_Sprints!$E$8+Resumen_Sprints!$D$8),INDEX('Sprint N°3'!$C$7:$I$7,CH$4-Resumen_Sprints!$E$8),0)</f>
        <v>0</v>
      </c>
      <c r="CI20" s="36">
        <f>IF(AND(CI$4&gt;Resumen_Sprints!$E$8,CI$4&lt;=Resumen_Sprints!$E$8+Resumen_Sprints!$D$8),INDEX('Sprint N°3'!$C$7:$I$7,CI$4-Resumen_Sprints!$E$8),0)</f>
        <v>0</v>
      </c>
      <c r="CJ20" s="36">
        <f>IF(AND(CJ$4&gt;Resumen_Sprints!$E$8,CJ$4&lt;=Resumen_Sprints!$E$8+Resumen_Sprints!$D$8),INDEX('Sprint N°3'!$C$7:$I$7,CJ$4-Resumen_Sprints!$E$8),0)</f>
        <v>0</v>
      </c>
      <c r="CK20" s="36">
        <f>IF(AND(CK$4&gt;Resumen_Sprints!$E$8,CK$4&lt;=Resumen_Sprints!$E$8+Resumen_Sprints!$D$8),INDEX('Sprint N°3'!$C$7:$I$7,CK$4-Resumen_Sprints!$E$8),0)</f>
        <v>0</v>
      </c>
      <c r="CL20" s="36">
        <f>IF(AND(CL$4&gt;Resumen_Sprints!$E$8,CL$4&lt;=Resumen_Sprints!$E$8+Resumen_Sprints!$D$8),INDEX('Sprint N°3'!$C$7:$I$7,CL$4-Resumen_Sprints!$E$8),0)</f>
        <v>0</v>
      </c>
      <c r="CM20" s="36">
        <f>IF(AND(CM$4&gt;Resumen_Sprints!$E$8,CM$4&lt;=Resumen_Sprints!$E$8+Resumen_Sprints!$D$8),INDEX('Sprint N°3'!$C$7:$I$7,CM$4-Resumen_Sprints!$E$8),0)</f>
        <v>0</v>
      </c>
      <c r="CN20" s="36">
        <f>IF(AND(CN$4&gt;Resumen_Sprints!$E$8,CN$4&lt;=Resumen_Sprints!$E$8+Resumen_Sprints!$D$8),INDEX('Sprint N°3'!$C$7:$I$7,CN$4-Resumen_Sprints!$E$8),0)</f>
        <v>0</v>
      </c>
      <c r="CO20" s="36">
        <f>IF(AND(CO$4&gt;Resumen_Sprints!$E$8,CO$4&lt;=Resumen_Sprints!$E$8+Resumen_Sprints!$D$8),INDEX('Sprint N°3'!$C$7:$I$7,CO$4-Resumen_Sprints!$E$8),0)</f>
        <v>0</v>
      </c>
      <c r="CP20" s="36">
        <f>IF(AND(CP$4&gt;Resumen_Sprints!$E$8,CP$4&lt;=Resumen_Sprints!$E$8+Resumen_Sprints!$D$8),INDEX('Sprint N°3'!$C$7:$I$7,CP$4-Resumen_Sprints!$E$8),0)</f>
        <v>0</v>
      </c>
      <c r="CQ20" s="36">
        <f>IF(AND(CQ$4&gt;Resumen_Sprints!$E$8,CQ$4&lt;=Resumen_Sprints!$E$8+Resumen_Sprints!$D$8),INDEX('Sprint N°3'!$C$7:$I$7,CQ$4-Resumen_Sprints!$E$8),0)</f>
        <v>0</v>
      </c>
      <c r="CR20" s="36">
        <f>IF(AND(CR$4&gt;Resumen_Sprints!$E$8,CR$4&lt;=Resumen_Sprints!$E$8+Resumen_Sprints!$D$8),INDEX('Sprint N°3'!$C$7:$I$7,CR$4-Resumen_Sprints!$E$8),0)</f>
        <v>0</v>
      </c>
      <c r="CS20" s="36">
        <f>IF(AND(CS$4&gt;Resumen_Sprints!$E$8,CS$4&lt;=Resumen_Sprints!$E$8+Resumen_Sprints!$D$8),INDEX('Sprint N°3'!$C$7:$I$7,CS$4-Resumen_Sprints!$E$8),0)</f>
        <v>0</v>
      </c>
      <c r="CT20" s="36">
        <f>IF(AND(CT$4&gt;Resumen_Sprints!$E$8,CT$4&lt;=Resumen_Sprints!$E$8+Resumen_Sprints!$D$8),INDEX('Sprint N°3'!$C$7:$I$7,CT$4-Resumen_Sprints!$E$8),0)</f>
        <v>0</v>
      </c>
      <c r="CU20" s="10">
        <f>SUM(C20:CT20)</f>
        <v>10</v>
      </c>
    </row>
    <row r="21" spans="1:99" x14ac:dyDescent="0.3">
      <c r="A21" s="22" t="str">
        <f>'Sprint N°3'!A8</f>
        <v>Modelo Relacional de Base de Datos</v>
      </c>
      <c r="B21" s="22">
        <f>'Sprint N°3'!B8</f>
        <v>19</v>
      </c>
      <c r="C21" s="36">
        <f>IF(AND(C$4&gt;Resumen_Sprints!$E$8,C$4&lt;=Resumen_Sprints!$E$8+Resumen_Sprints!$D$8),INDEX('Sprint N°3'!$C$8:$I$8,C$4-Resumen_Sprints!$E$8),0)</f>
        <v>0</v>
      </c>
      <c r="D21" s="36">
        <f>IF(AND(D$4&gt;Resumen_Sprints!$E$8,D$4&lt;=Resumen_Sprints!$E$8+Resumen_Sprints!$D$8),INDEX('Sprint N°3'!$C$8:$I$8,D$4-Resumen_Sprints!$E$8),0)</f>
        <v>0</v>
      </c>
      <c r="E21" s="36">
        <f>IF(AND(E$4&gt;Resumen_Sprints!$E$8,E$4&lt;=Resumen_Sprints!$E$8+Resumen_Sprints!$D$8),INDEX('Sprint N°3'!$C$8:$I$8,E$4-Resumen_Sprints!$E$8),0)</f>
        <v>0</v>
      </c>
      <c r="F21" s="36">
        <f>IF(AND(F$4&gt;Resumen_Sprints!$E$8,F$4&lt;=Resumen_Sprints!$E$8+Resumen_Sprints!$D$8),INDEX('Sprint N°3'!$C$8:$I$8,F$4-Resumen_Sprints!$E$8),0)</f>
        <v>0</v>
      </c>
      <c r="G21" s="36">
        <f>IF(AND(G$4&gt;Resumen_Sprints!$E$8,G$4&lt;=Resumen_Sprints!$E$8+Resumen_Sprints!$D$8),INDEX('Sprint N°3'!$C$8:$I$8,G$4-Resumen_Sprints!$E$8),0)</f>
        <v>0</v>
      </c>
      <c r="H21" s="36">
        <f>IF(AND(H$4&gt;Resumen_Sprints!$E$8,H$4&lt;=Resumen_Sprints!$E$8+Resumen_Sprints!$D$8),INDEX('Sprint N°3'!$C$8:$I$8,H$4-Resumen_Sprints!$E$8),0)</f>
        <v>0</v>
      </c>
      <c r="I21" s="36">
        <f>IF(AND(I$4&gt;Resumen_Sprints!$E$8,I$4&lt;=Resumen_Sprints!$E$8+Resumen_Sprints!$D$8),INDEX('Sprint N°3'!$C$8:$I$8,I$4-Resumen_Sprints!$E$8),0)</f>
        <v>0</v>
      </c>
      <c r="J21" s="36">
        <f>IF(AND(J$4&gt;Resumen_Sprints!$E$8,J$4&lt;=Resumen_Sprints!$E$8+Resumen_Sprints!$D$8),INDEX('Sprint N°3'!$C$8:$I$8,J$4-Resumen_Sprints!$E$8),0)</f>
        <v>0</v>
      </c>
      <c r="K21" s="36">
        <f>IF(AND(K$4&gt;Resumen_Sprints!$E$8,K$4&lt;=Resumen_Sprints!$E$8+Resumen_Sprints!$D$8),INDEX('Sprint N°3'!$C$8:$I$8,K$4-Resumen_Sprints!$E$8),0)</f>
        <v>0</v>
      </c>
      <c r="L21" s="36">
        <f>IF(AND(L$4&gt;Resumen_Sprints!$E$8,L$4&lt;=Resumen_Sprints!$E$8+Resumen_Sprints!$D$8),INDEX('Sprint N°3'!$C$8:$I$8,L$4-Resumen_Sprints!$E$8),0)</f>
        <v>0</v>
      </c>
      <c r="M21" s="36">
        <f>IF(AND(M$4&gt;Resumen_Sprints!$E$8,M$4&lt;=Resumen_Sprints!$E$8+Resumen_Sprints!$D$8),INDEX('Sprint N°3'!$C$8:$I$8,M$4-Resumen_Sprints!$E$8),0)</f>
        <v>0</v>
      </c>
      <c r="N21" s="36">
        <f>IF(AND(N$4&gt;Resumen_Sprints!$E$8,N$4&lt;=Resumen_Sprints!$E$8+Resumen_Sprints!$D$8),INDEX('Sprint N°3'!$C$8:$I$8,N$4-Resumen_Sprints!$E$8),0)</f>
        <v>0</v>
      </c>
      <c r="O21" s="36">
        <f>IF(AND(O$4&gt;Resumen_Sprints!$E$8,O$4&lt;=Resumen_Sprints!$E$8+Resumen_Sprints!$D$8),INDEX('Sprint N°3'!$C$8:$I$8,O$4-Resumen_Sprints!$E$8),0)</f>
        <v>0</v>
      </c>
      <c r="P21" s="36">
        <f>IF(AND(P$4&gt;Resumen_Sprints!$E$8,P$4&lt;=Resumen_Sprints!$E$8+Resumen_Sprints!$D$8),INDEX('Sprint N°3'!$C$8:$I$8,P$4-Resumen_Sprints!$E$8),0)</f>
        <v>0</v>
      </c>
      <c r="Q21" s="36">
        <f>IF(AND(Q$4&gt;Resumen_Sprints!$E$8,Q$4&lt;=Resumen_Sprints!$E$8+Resumen_Sprints!$D$8),INDEX('Sprint N°3'!$C$8:$I$8,Q$4-Resumen_Sprints!$E$8),0)</f>
        <v>0</v>
      </c>
      <c r="R21" s="36">
        <f>IF(AND(R$4&gt;Resumen_Sprints!$E$8,R$4&lt;=Resumen_Sprints!$E$8+Resumen_Sprints!$D$8),INDEX('Sprint N°3'!$C$8:$I$8,R$4-Resumen_Sprints!$E$8),0)</f>
        <v>0</v>
      </c>
      <c r="S21" s="36">
        <f>IF(AND(S$4&gt;Resumen_Sprints!$E$8,S$4&lt;=Resumen_Sprints!$E$8+Resumen_Sprints!$D$8),INDEX('Sprint N°3'!$C$8:$I$8,S$4-Resumen_Sprints!$E$8),0)</f>
        <v>0</v>
      </c>
      <c r="T21" s="36">
        <f>IF(AND(T$4&gt;Resumen_Sprints!$E$8,T$4&lt;=Resumen_Sprints!$E$8+Resumen_Sprints!$D$8),INDEX('Sprint N°3'!$C$8:$I$8,T$4-Resumen_Sprints!$E$8),0)</f>
        <v>0</v>
      </c>
      <c r="U21" s="36">
        <f>IF(AND(U$4&gt;Resumen_Sprints!$E$8,U$4&lt;=Resumen_Sprints!$E$8+Resumen_Sprints!$D$8),INDEX('Sprint N°3'!$C$8:$I$8,U$4-Resumen_Sprints!$E$8),0)</f>
        <v>0</v>
      </c>
      <c r="V21" s="36">
        <f>IF(AND(V$4&gt;Resumen_Sprints!$E$8,V$4&lt;=Resumen_Sprints!$E$8+Resumen_Sprints!$D$8),INDEX('Sprint N°3'!$C$8:$I$8,V$4-Resumen_Sprints!$E$8),0)</f>
        <v>0</v>
      </c>
      <c r="W21" s="36">
        <f>IF(AND(W$4&gt;Resumen_Sprints!$E$8,W$4&lt;=Resumen_Sprints!$E$8+Resumen_Sprints!$D$8),INDEX('Sprint N°3'!$C$8:$I$8,W$4-Resumen_Sprints!$E$8),0)</f>
        <v>0</v>
      </c>
      <c r="X21" s="36">
        <f>IF(AND(X$4&gt;Resumen_Sprints!$E$8,X$4&lt;=Resumen_Sprints!$E$8+Resumen_Sprints!$D$8),INDEX('Sprint N°3'!$C$8:$I$8,X$4-Resumen_Sprints!$E$8),0)</f>
        <v>0</v>
      </c>
      <c r="Y21" s="36">
        <f>IF(AND(Y$4&gt;Resumen_Sprints!$E$8,Y$4&lt;=Resumen_Sprints!$E$8+Resumen_Sprints!$D$8),INDEX('Sprint N°3'!$C$8:$I$8,Y$4-Resumen_Sprints!$E$8),0)</f>
        <v>7</v>
      </c>
      <c r="Z21" s="36">
        <f>IF(AND(Z$4&gt;Resumen_Sprints!$E$8,Z$4&lt;=Resumen_Sprints!$E$8+Resumen_Sprints!$D$8),INDEX('Sprint N°3'!$C$8:$I$8,Z$4-Resumen_Sprints!$E$8),0)</f>
        <v>8</v>
      </c>
      <c r="AA21" s="36">
        <f>IF(AND(AA$4&gt;Resumen_Sprints!$E$8,AA$4&lt;=Resumen_Sprints!$E$8+Resumen_Sprints!$D$8),INDEX('Sprint N°3'!$C$8:$I$8,AA$4-Resumen_Sprints!$E$8),0)</f>
        <v>4</v>
      </c>
      <c r="AB21" s="36">
        <f>IF(AND(AB$4&gt;Resumen_Sprints!$E$8,AB$4&lt;=Resumen_Sprints!$E$8+Resumen_Sprints!$D$8),INDEX('Sprint N°3'!$C$8:$I$8,AB$4-Resumen_Sprints!$E$8),0)</f>
        <v>0</v>
      </c>
      <c r="AC21" s="36">
        <f>IF(AND(AC$4&gt;Resumen_Sprints!$E$8,AC$4&lt;=Resumen_Sprints!$E$8+Resumen_Sprints!$D$8),INDEX('Sprint N°3'!$C$8:$I$8,AC$4-Resumen_Sprints!$E$8),0)</f>
        <v>0</v>
      </c>
      <c r="AD21" s="36">
        <f>IF(AND(AD$4&gt;Resumen_Sprints!$E$8,AD$4&lt;=Resumen_Sprints!$E$8+Resumen_Sprints!$D$8),INDEX('Sprint N°3'!$C$8:$I$8,AD$4-Resumen_Sprints!$E$8),0)</f>
        <v>0</v>
      </c>
      <c r="AE21" s="36">
        <f>IF(AND(AE$4&gt;Resumen_Sprints!$E$8,AE$4&lt;=Resumen_Sprints!$E$8+Resumen_Sprints!$D$8),INDEX('Sprint N°3'!$C$8:$I$8,AE$4-Resumen_Sprints!$E$8),0)</f>
        <v>0</v>
      </c>
      <c r="AF21" s="36">
        <f>IF(AND(AF$4&gt;Resumen_Sprints!$E$8,AF$4&lt;=Resumen_Sprints!$E$8+Resumen_Sprints!$D$8),INDEX('Sprint N°3'!$C$8:$I$8,AF$4-Resumen_Sprints!$E$8),0)</f>
        <v>0</v>
      </c>
      <c r="AG21" s="36">
        <f>IF(AND(AG$4&gt;Resumen_Sprints!$E$8,AG$4&lt;=Resumen_Sprints!$E$8+Resumen_Sprints!$D$8),INDEX('Sprint N°3'!$C$8:$I$8,AG$4-Resumen_Sprints!$E$8),0)</f>
        <v>0</v>
      </c>
      <c r="AH21" s="36">
        <f>IF(AND(AH$4&gt;Resumen_Sprints!$E$8,AH$4&lt;=Resumen_Sprints!$E$8+Resumen_Sprints!$D$8),INDEX('Sprint N°3'!$C$8:$I$8,AH$4-Resumen_Sprints!$E$8),0)</f>
        <v>0</v>
      </c>
      <c r="AI21" s="36">
        <f>IF(AND(AI$4&gt;Resumen_Sprints!$E$8,AI$4&lt;=Resumen_Sprints!$E$8+Resumen_Sprints!$D$8),INDEX('Sprint N°3'!$C$8:$I$8,AI$4-Resumen_Sprints!$E$8),0)</f>
        <v>0</v>
      </c>
      <c r="AJ21" s="36">
        <f>IF(AND(AJ$4&gt;Resumen_Sprints!$E$8,AJ$4&lt;=Resumen_Sprints!$E$8+Resumen_Sprints!$D$8),INDEX('Sprint N°3'!$C$8:$I$8,AJ$4-Resumen_Sprints!$E$8),0)</f>
        <v>0</v>
      </c>
      <c r="AK21" s="36">
        <f>IF(AND(AK$4&gt;Resumen_Sprints!$E$8,AK$4&lt;=Resumen_Sprints!$E$8+Resumen_Sprints!$D$8),INDEX('Sprint N°3'!$C$8:$I$8,AK$4-Resumen_Sprints!$E$8),0)</f>
        <v>0</v>
      </c>
      <c r="AL21" s="36">
        <f>IF(AND(AL$4&gt;Resumen_Sprints!$E$8,AL$4&lt;=Resumen_Sprints!$E$8+Resumen_Sprints!$D$8),INDEX('Sprint N°3'!$C$8:$I$8,AL$4-Resumen_Sprints!$E$8),0)</f>
        <v>0</v>
      </c>
      <c r="AM21" s="36">
        <f>IF(AND(AM$4&gt;Resumen_Sprints!$E$8,AM$4&lt;=Resumen_Sprints!$E$8+Resumen_Sprints!$D$8),INDEX('Sprint N°3'!$C$8:$I$8,AM$4-Resumen_Sprints!$E$8),0)</f>
        <v>0</v>
      </c>
      <c r="AN21" s="36">
        <f>IF(AND(AN$4&gt;Resumen_Sprints!$E$8,AN$4&lt;=Resumen_Sprints!$E$8+Resumen_Sprints!$D$8),INDEX('Sprint N°3'!$C$8:$I$8,AN$4-Resumen_Sprints!$E$8),0)</f>
        <v>0</v>
      </c>
      <c r="AO21" s="36">
        <f>IF(AND(AO$4&gt;Resumen_Sprints!$E$8,AO$4&lt;=Resumen_Sprints!$E$8+Resumen_Sprints!$D$8),INDEX('Sprint N°3'!$C$8:$I$8,AO$4-Resumen_Sprints!$E$8),0)</f>
        <v>0</v>
      </c>
      <c r="AP21" s="36">
        <f>IF(AND(AP$4&gt;Resumen_Sprints!$E$8,AP$4&lt;=Resumen_Sprints!$E$8+Resumen_Sprints!$D$8),INDEX('Sprint N°3'!$C$8:$I$8,AP$4-Resumen_Sprints!$E$8),0)</f>
        <v>0</v>
      </c>
      <c r="AQ21" s="36">
        <f>IF(AND(AQ$4&gt;Resumen_Sprints!$E$8,AQ$4&lt;=Resumen_Sprints!$E$8+Resumen_Sprints!$D$8),INDEX('Sprint N°3'!$C$8:$I$8,AQ$4-Resumen_Sprints!$E$8),0)</f>
        <v>0</v>
      </c>
      <c r="AR21" s="36">
        <f>IF(AND(AR$4&gt;Resumen_Sprints!$E$8,AR$4&lt;=Resumen_Sprints!$E$8+Resumen_Sprints!$D$8),INDEX('Sprint N°3'!$C$8:$I$8,AR$4-Resumen_Sprints!$E$8),0)</f>
        <v>0</v>
      </c>
      <c r="AS21" s="36">
        <f>IF(AND(AS$4&gt;Resumen_Sprints!$E$8,AS$4&lt;=Resumen_Sprints!$E$8+Resumen_Sprints!$D$8),INDEX('Sprint N°3'!$C$8:$I$8,AS$4-Resumen_Sprints!$E$8),0)</f>
        <v>0</v>
      </c>
      <c r="AT21" s="36">
        <f>IF(AND(AT$4&gt;Resumen_Sprints!$E$8,AT$4&lt;=Resumen_Sprints!$E$8+Resumen_Sprints!$D$8),INDEX('Sprint N°3'!$C$8:$I$8,AT$4-Resumen_Sprints!$E$8),0)</f>
        <v>0</v>
      </c>
      <c r="AU21" s="36">
        <f>IF(AND(AU$4&gt;Resumen_Sprints!$E$8,AU$4&lt;=Resumen_Sprints!$E$8+Resumen_Sprints!$D$8),INDEX('Sprint N°3'!$C$8:$I$8,AU$4-Resumen_Sprints!$E$8),0)</f>
        <v>0</v>
      </c>
      <c r="AV21" s="36">
        <f>IF(AND(AV$4&gt;Resumen_Sprints!$E$8,AV$4&lt;=Resumen_Sprints!$E$8+Resumen_Sprints!$D$8),INDEX('Sprint N°3'!$C$8:$I$8,AV$4-Resumen_Sprints!$E$8),0)</f>
        <v>0</v>
      </c>
      <c r="AW21" s="36">
        <f>IF(AND(AW$4&gt;Resumen_Sprints!$E$8,AW$4&lt;=Resumen_Sprints!$E$8+Resumen_Sprints!$D$8),INDEX('Sprint N°3'!$C$8:$I$8,AW$4-Resumen_Sprints!$E$8),0)</f>
        <v>0</v>
      </c>
      <c r="AX21" s="36">
        <f>IF(AND(AX$4&gt;Resumen_Sprints!$E$8,AX$4&lt;=Resumen_Sprints!$E$8+Resumen_Sprints!$D$8),INDEX('Sprint N°3'!$C$8:$I$8,AX$4-Resumen_Sprints!$E$8),0)</f>
        <v>0</v>
      </c>
      <c r="AY21" s="36">
        <f>IF(AND(AY$4&gt;Resumen_Sprints!$E$8,AY$4&lt;=Resumen_Sprints!$E$8+Resumen_Sprints!$D$8),INDEX('Sprint N°3'!$C$8:$I$8,AY$4-Resumen_Sprints!$E$8),0)</f>
        <v>0</v>
      </c>
      <c r="AZ21" s="36">
        <f>IF(AND(AZ$4&gt;Resumen_Sprints!$E$8,AZ$4&lt;=Resumen_Sprints!$E$8+Resumen_Sprints!$D$8),INDEX('Sprint N°3'!$C$8:$I$8,AZ$4-Resumen_Sprints!$E$8),0)</f>
        <v>0</v>
      </c>
      <c r="BA21" s="36">
        <f>IF(AND(BA$4&gt;Resumen_Sprints!$E$8,BA$4&lt;=Resumen_Sprints!$E$8+Resumen_Sprints!$D$8),INDEX('Sprint N°3'!$C$8:$I$8,BA$4-Resumen_Sprints!$E$8),0)</f>
        <v>0</v>
      </c>
      <c r="BB21" s="36">
        <f>IF(AND(BB$4&gt;Resumen_Sprints!$E$8,BB$4&lt;=Resumen_Sprints!$E$8+Resumen_Sprints!$D$8),INDEX('Sprint N°3'!$C$8:$I$8,BB$4-Resumen_Sprints!$E$8),0)</f>
        <v>0</v>
      </c>
      <c r="BC21" s="36">
        <f>IF(AND(BC$4&gt;Resumen_Sprints!$E$8,BC$4&lt;=Resumen_Sprints!$E$8+Resumen_Sprints!$D$8),INDEX('Sprint N°3'!$C$8:$I$8,BC$4-Resumen_Sprints!$E$8),0)</f>
        <v>0</v>
      </c>
      <c r="BD21" s="36">
        <f>IF(AND(BD$4&gt;Resumen_Sprints!$E$8,BD$4&lt;=Resumen_Sprints!$E$8+Resumen_Sprints!$D$8),INDEX('Sprint N°3'!$C$8:$I$8,BD$4-Resumen_Sprints!$E$8),0)</f>
        <v>0</v>
      </c>
      <c r="BE21" s="36">
        <f>IF(AND(BE$4&gt;Resumen_Sprints!$E$8,BE$4&lt;=Resumen_Sprints!$E$8+Resumen_Sprints!$D$8),INDEX('Sprint N°3'!$C$8:$I$8,BE$4-Resumen_Sprints!$E$8),0)</f>
        <v>0</v>
      </c>
      <c r="BF21" s="36">
        <f>IF(AND(BF$4&gt;Resumen_Sprints!$E$8,BF$4&lt;=Resumen_Sprints!$E$8+Resumen_Sprints!$D$8),INDEX('Sprint N°3'!$C$8:$I$8,BF$4-Resumen_Sprints!$E$8),0)</f>
        <v>0</v>
      </c>
      <c r="BG21" s="36">
        <f>IF(AND(BG$4&gt;Resumen_Sprints!$E$8,BG$4&lt;=Resumen_Sprints!$E$8+Resumen_Sprints!$D$8),INDEX('Sprint N°3'!$C$8:$I$8,BG$4-Resumen_Sprints!$E$8),0)</f>
        <v>0</v>
      </c>
      <c r="BH21" s="36">
        <f>IF(AND(BH$4&gt;Resumen_Sprints!$E$8,BH$4&lt;=Resumen_Sprints!$E$8+Resumen_Sprints!$D$8),INDEX('Sprint N°3'!$C$8:$I$8,BH$4-Resumen_Sprints!$E$8),0)</f>
        <v>0</v>
      </c>
      <c r="BI21" s="36">
        <f>IF(AND(BI$4&gt;Resumen_Sprints!$E$8,BI$4&lt;=Resumen_Sprints!$E$8+Resumen_Sprints!$D$8),INDEX('Sprint N°3'!$C$8:$I$8,BI$4-Resumen_Sprints!$E$8),0)</f>
        <v>0</v>
      </c>
      <c r="BJ21" s="36">
        <f>IF(AND(BJ$4&gt;Resumen_Sprints!$E$8,BJ$4&lt;=Resumen_Sprints!$E$8+Resumen_Sprints!$D$8),INDEX('Sprint N°3'!$C$8:$I$8,BJ$4-Resumen_Sprints!$E$8),0)</f>
        <v>0</v>
      </c>
      <c r="BK21" s="36">
        <f>IF(AND(BK$4&gt;Resumen_Sprints!$E$8,BK$4&lt;=Resumen_Sprints!$E$8+Resumen_Sprints!$D$8),INDEX('Sprint N°3'!$C$8:$I$8,BK$4-Resumen_Sprints!$E$8),0)</f>
        <v>0</v>
      </c>
      <c r="BL21" s="36">
        <f>IF(AND(BL$4&gt;Resumen_Sprints!$E$8,BL$4&lt;=Resumen_Sprints!$E$8+Resumen_Sprints!$D$8),INDEX('Sprint N°3'!$C$8:$I$8,BL$4-Resumen_Sprints!$E$8),0)</f>
        <v>0</v>
      </c>
      <c r="BM21" s="36">
        <f>IF(AND(BM$4&gt;Resumen_Sprints!$E$8,BM$4&lt;=Resumen_Sprints!$E$8+Resumen_Sprints!$D$8),INDEX('Sprint N°3'!$C$8:$I$8,BM$4-Resumen_Sprints!$E$8),0)</f>
        <v>0</v>
      </c>
      <c r="BN21" s="36">
        <f>IF(AND(BN$4&gt;Resumen_Sprints!$E$8,BN$4&lt;=Resumen_Sprints!$E$8+Resumen_Sprints!$D$8),INDEX('Sprint N°3'!$C$8:$I$8,BN$4-Resumen_Sprints!$E$8),0)</f>
        <v>0</v>
      </c>
      <c r="BO21" s="36">
        <f>IF(AND(BO$4&gt;Resumen_Sprints!$E$8,BO$4&lt;=Resumen_Sprints!$E$8+Resumen_Sprints!$D$8),INDEX('Sprint N°3'!$C$8:$I$8,BO$4-Resumen_Sprints!$E$8),0)</f>
        <v>0</v>
      </c>
      <c r="BP21" s="36">
        <f>IF(AND(BP$4&gt;Resumen_Sprints!$E$8,BP$4&lt;=Resumen_Sprints!$E$8+Resumen_Sprints!$D$8),INDEX('Sprint N°3'!$C$8:$I$8,BP$4-Resumen_Sprints!$E$8),0)</f>
        <v>0</v>
      </c>
      <c r="BQ21" s="36">
        <f>IF(AND(BQ$4&gt;Resumen_Sprints!$E$8,BQ$4&lt;=Resumen_Sprints!$E$8+Resumen_Sprints!$D$8),INDEX('Sprint N°3'!$C$8:$I$8,BQ$4-Resumen_Sprints!$E$8),0)</f>
        <v>0</v>
      </c>
      <c r="BR21" s="36">
        <f>IF(AND(BR$4&gt;Resumen_Sprints!$E$8,BR$4&lt;=Resumen_Sprints!$E$8+Resumen_Sprints!$D$8),INDEX('Sprint N°3'!$C$8:$I$8,BR$4-Resumen_Sprints!$E$8),0)</f>
        <v>0</v>
      </c>
      <c r="BS21" s="36">
        <f>IF(AND(BS$4&gt;Resumen_Sprints!$E$8,BS$4&lt;=Resumen_Sprints!$E$8+Resumen_Sprints!$D$8),INDEX('Sprint N°3'!$C$8:$I$8,BS$4-Resumen_Sprints!$E$8),0)</f>
        <v>0</v>
      </c>
      <c r="BT21" s="36">
        <f>IF(AND(BT$4&gt;Resumen_Sprints!$E$8,BT$4&lt;=Resumen_Sprints!$E$8+Resumen_Sprints!$D$8),INDEX('Sprint N°3'!$C$8:$I$8,BT$4-Resumen_Sprints!$E$8),0)</f>
        <v>0</v>
      </c>
      <c r="BU21" s="36">
        <f>IF(AND(BU$4&gt;Resumen_Sprints!$E$8,BU$4&lt;=Resumen_Sprints!$E$8+Resumen_Sprints!$D$8),INDEX('Sprint N°3'!$C$8:$I$8,BU$4-Resumen_Sprints!$E$8),0)</f>
        <v>0</v>
      </c>
      <c r="BV21" s="36">
        <f>IF(AND(BV$4&gt;Resumen_Sprints!$E$8,BV$4&lt;=Resumen_Sprints!$E$8+Resumen_Sprints!$D$8),INDEX('Sprint N°3'!$C$8:$I$8,BV$4-Resumen_Sprints!$E$8),0)</f>
        <v>0</v>
      </c>
      <c r="BW21" s="36">
        <f>IF(AND(BW$4&gt;Resumen_Sprints!$E$8,BW$4&lt;=Resumen_Sprints!$E$8+Resumen_Sprints!$D$8),INDEX('Sprint N°3'!$C$8:$I$8,BW$4-Resumen_Sprints!$E$8),0)</f>
        <v>0</v>
      </c>
      <c r="BX21" s="36">
        <f>IF(AND(BX$4&gt;Resumen_Sprints!$E$8,BX$4&lt;=Resumen_Sprints!$E$8+Resumen_Sprints!$D$8),INDEX('Sprint N°3'!$C$8:$I$8,BX$4-Resumen_Sprints!$E$8),0)</f>
        <v>0</v>
      </c>
      <c r="BY21" s="36">
        <f>IF(AND(BY$4&gt;Resumen_Sprints!$E$8,BY$4&lt;=Resumen_Sprints!$E$8+Resumen_Sprints!$D$8),INDEX('Sprint N°3'!$C$8:$I$8,BY$4-Resumen_Sprints!$E$8),0)</f>
        <v>0</v>
      </c>
      <c r="BZ21" s="36">
        <f>IF(AND(BZ$4&gt;Resumen_Sprints!$E$8,BZ$4&lt;=Resumen_Sprints!$E$8+Resumen_Sprints!$D$8),INDEX('Sprint N°3'!$C$8:$I$8,BZ$4-Resumen_Sprints!$E$8),0)</f>
        <v>0</v>
      </c>
      <c r="CA21" s="36">
        <f>IF(AND(CA$4&gt;Resumen_Sprints!$E$8,CA$4&lt;=Resumen_Sprints!$E$8+Resumen_Sprints!$D$8),INDEX('Sprint N°3'!$C$8:$I$8,CA$4-Resumen_Sprints!$E$8),0)</f>
        <v>0</v>
      </c>
      <c r="CB21" s="36">
        <f>IF(AND(CB$4&gt;Resumen_Sprints!$E$8,CB$4&lt;=Resumen_Sprints!$E$8+Resumen_Sprints!$D$8),INDEX('Sprint N°3'!$C$8:$I$8,CB$4-Resumen_Sprints!$E$8),0)</f>
        <v>0</v>
      </c>
      <c r="CC21" s="36">
        <f>IF(AND(CC$4&gt;Resumen_Sprints!$E$8,CC$4&lt;=Resumen_Sprints!$E$8+Resumen_Sprints!$D$8),INDEX('Sprint N°3'!$C$8:$I$8,CC$4-Resumen_Sprints!$E$8),0)</f>
        <v>0</v>
      </c>
      <c r="CD21" s="36">
        <f>IF(AND(CD$4&gt;Resumen_Sprints!$E$8,CD$4&lt;=Resumen_Sprints!$E$8+Resumen_Sprints!$D$8),INDEX('Sprint N°3'!$C$8:$I$8,CD$4-Resumen_Sprints!$E$8),0)</f>
        <v>0</v>
      </c>
      <c r="CE21" s="36">
        <f>IF(AND(CE$4&gt;Resumen_Sprints!$E$8,CE$4&lt;=Resumen_Sprints!$E$8+Resumen_Sprints!$D$8),INDEX('Sprint N°3'!$C$8:$I$8,CE$4-Resumen_Sprints!$E$8),0)</f>
        <v>0</v>
      </c>
      <c r="CF21" s="36">
        <f>IF(AND(CF$4&gt;Resumen_Sprints!$E$8,CF$4&lt;=Resumen_Sprints!$E$8+Resumen_Sprints!$D$8),INDEX('Sprint N°3'!$C$8:$I$8,CF$4-Resumen_Sprints!$E$8),0)</f>
        <v>0</v>
      </c>
      <c r="CG21" s="36">
        <f>IF(AND(CG$4&gt;Resumen_Sprints!$E$8,CG$4&lt;=Resumen_Sprints!$E$8+Resumen_Sprints!$D$8),INDEX('Sprint N°3'!$C$8:$I$8,CG$4-Resumen_Sprints!$E$8),0)</f>
        <v>0</v>
      </c>
      <c r="CH21" s="36">
        <f>IF(AND(CH$4&gt;Resumen_Sprints!$E$8,CH$4&lt;=Resumen_Sprints!$E$8+Resumen_Sprints!$D$8),INDEX('Sprint N°3'!$C$8:$I$8,CH$4-Resumen_Sprints!$E$8),0)</f>
        <v>0</v>
      </c>
      <c r="CI21" s="36">
        <f>IF(AND(CI$4&gt;Resumen_Sprints!$E$8,CI$4&lt;=Resumen_Sprints!$E$8+Resumen_Sprints!$D$8),INDEX('Sprint N°3'!$C$8:$I$8,CI$4-Resumen_Sprints!$E$8),0)</f>
        <v>0</v>
      </c>
      <c r="CJ21" s="36">
        <f>IF(AND(CJ$4&gt;Resumen_Sprints!$E$8,CJ$4&lt;=Resumen_Sprints!$E$8+Resumen_Sprints!$D$8),INDEX('Sprint N°3'!$C$8:$I$8,CJ$4-Resumen_Sprints!$E$8),0)</f>
        <v>0</v>
      </c>
      <c r="CK21" s="36">
        <f>IF(AND(CK$4&gt;Resumen_Sprints!$E$8,CK$4&lt;=Resumen_Sprints!$E$8+Resumen_Sprints!$D$8),INDEX('Sprint N°3'!$C$8:$I$8,CK$4-Resumen_Sprints!$E$8),0)</f>
        <v>0</v>
      </c>
      <c r="CL21" s="36">
        <f>IF(AND(CL$4&gt;Resumen_Sprints!$E$8,CL$4&lt;=Resumen_Sprints!$E$8+Resumen_Sprints!$D$8),INDEX('Sprint N°3'!$C$8:$I$8,CL$4-Resumen_Sprints!$E$8),0)</f>
        <v>0</v>
      </c>
      <c r="CM21" s="36">
        <f>IF(AND(CM$4&gt;Resumen_Sprints!$E$8,CM$4&lt;=Resumen_Sprints!$E$8+Resumen_Sprints!$D$8),INDEX('Sprint N°3'!$C$8:$I$8,CM$4-Resumen_Sprints!$E$8),0)</f>
        <v>0</v>
      </c>
      <c r="CN21" s="36">
        <f>IF(AND(CN$4&gt;Resumen_Sprints!$E$8,CN$4&lt;=Resumen_Sprints!$E$8+Resumen_Sprints!$D$8),INDEX('Sprint N°3'!$C$8:$I$8,CN$4-Resumen_Sprints!$E$8),0)</f>
        <v>0</v>
      </c>
      <c r="CO21" s="36">
        <f>IF(AND(CO$4&gt;Resumen_Sprints!$E$8,CO$4&lt;=Resumen_Sprints!$E$8+Resumen_Sprints!$D$8),INDEX('Sprint N°3'!$C$8:$I$8,CO$4-Resumen_Sprints!$E$8),0)</f>
        <v>0</v>
      </c>
      <c r="CP21" s="36">
        <f>IF(AND(CP$4&gt;Resumen_Sprints!$E$8,CP$4&lt;=Resumen_Sprints!$E$8+Resumen_Sprints!$D$8),INDEX('Sprint N°3'!$C$8:$I$8,CP$4-Resumen_Sprints!$E$8),0)</f>
        <v>0</v>
      </c>
      <c r="CQ21" s="36">
        <f>IF(AND(CQ$4&gt;Resumen_Sprints!$E$8,CQ$4&lt;=Resumen_Sprints!$E$8+Resumen_Sprints!$D$8),INDEX('Sprint N°3'!$C$8:$I$8,CQ$4-Resumen_Sprints!$E$8),0)</f>
        <v>0</v>
      </c>
      <c r="CR21" s="36">
        <f>IF(AND(CR$4&gt;Resumen_Sprints!$E$8,CR$4&lt;=Resumen_Sprints!$E$8+Resumen_Sprints!$D$8),INDEX('Sprint N°3'!$C$8:$I$8,CR$4-Resumen_Sprints!$E$8),0)</f>
        <v>0</v>
      </c>
      <c r="CS21" s="36">
        <f>IF(AND(CS$4&gt;Resumen_Sprints!$E$8,CS$4&lt;=Resumen_Sprints!$E$8+Resumen_Sprints!$D$8),INDEX('Sprint N°3'!$C$8:$I$8,CS$4-Resumen_Sprints!$E$8),0)</f>
        <v>0</v>
      </c>
      <c r="CT21" s="36">
        <f>IF(AND(CT$4&gt;Resumen_Sprints!$E$8,CT$4&lt;=Resumen_Sprints!$E$8+Resumen_Sprints!$D$8),INDEX('Sprint N°3'!$C$8:$I$8,CT$4-Resumen_Sprints!$E$8),0)</f>
        <v>0</v>
      </c>
      <c r="CU21" s="10">
        <f>SUM(C21:CT21)</f>
        <v>19</v>
      </c>
    </row>
    <row r="22" spans="1:99" x14ac:dyDescent="0.3">
      <c r="A22" s="22" t="str">
        <f>'Sprint N°3'!A9</f>
        <v>Catálogo de Materiales y Poblamiento Inicial</v>
      </c>
      <c r="B22" s="22">
        <f>'Sprint N°3'!B9</f>
        <v>17</v>
      </c>
      <c r="C22" s="36">
        <f>IF(AND(C$4&gt;Resumen_Sprints!$E$8,C$4&lt;=Resumen_Sprints!$E$8+Resumen_Sprints!$D$8),INDEX('Sprint N°3'!$C$9:$I$9,C$4-Resumen_Sprints!$E$8),0)</f>
        <v>0</v>
      </c>
      <c r="D22" s="36">
        <f>IF(AND(D$4&gt;Resumen_Sprints!$E$8,D$4&lt;=Resumen_Sprints!$E$8+Resumen_Sprints!$D$8),INDEX('Sprint N°3'!$C$9:$I$9,D$4-Resumen_Sprints!$E$8),0)</f>
        <v>0</v>
      </c>
      <c r="E22" s="36">
        <f>IF(AND(E$4&gt;Resumen_Sprints!$E$8,E$4&lt;=Resumen_Sprints!$E$8+Resumen_Sprints!$D$8),INDEX('Sprint N°3'!$C$9:$I$9,E$4-Resumen_Sprints!$E$8),0)</f>
        <v>0</v>
      </c>
      <c r="F22" s="36">
        <f>IF(AND(F$4&gt;Resumen_Sprints!$E$8,F$4&lt;=Resumen_Sprints!$E$8+Resumen_Sprints!$D$8),INDEX('Sprint N°3'!$C$9:$I$9,F$4-Resumen_Sprints!$E$8),0)</f>
        <v>0</v>
      </c>
      <c r="G22" s="36">
        <f>IF(AND(G$4&gt;Resumen_Sprints!$E$8,G$4&lt;=Resumen_Sprints!$E$8+Resumen_Sprints!$D$8),INDEX('Sprint N°3'!$C$9:$I$9,G$4-Resumen_Sprints!$E$8),0)</f>
        <v>0</v>
      </c>
      <c r="H22" s="36">
        <f>IF(AND(H$4&gt;Resumen_Sprints!$E$8,H$4&lt;=Resumen_Sprints!$E$8+Resumen_Sprints!$D$8),INDEX('Sprint N°3'!$C$9:$I$9,H$4-Resumen_Sprints!$E$8),0)</f>
        <v>0</v>
      </c>
      <c r="I22" s="36">
        <f>IF(AND(I$4&gt;Resumen_Sprints!$E$8,I$4&lt;=Resumen_Sprints!$E$8+Resumen_Sprints!$D$8),INDEX('Sprint N°3'!$C$9:$I$9,I$4-Resumen_Sprints!$E$8),0)</f>
        <v>0</v>
      </c>
      <c r="J22" s="36">
        <f>IF(AND(J$4&gt;Resumen_Sprints!$E$8,J$4&lt;=Resumen_Sprints!$E$8+Resumen_Sprints!$D$8),INDEX('Sprint N°3'!$C$9:$I$9,J$4-Resumen_Sprints!$E$8),0)</f>
        <v>0</v>
      </c>
      <c r="K22" s="36">
        <f>IF(AND(K$4&gt;Resumen_Sprints!$E$8,K$4&lt;=Resumen_Sprints!$E$8+Resumen_Sprints!$D$8),INDEX('Sprint N°3'!$C$9:$I$9,K$4-Resumen_Sprints!$E$8),0)</f>
        <v>0</v>
      </c>
      <c r="L22" s="36">
        <f>IF(AND(L$4&gt;Resumen_Sprints!$E$8,L$4&lt;=Resumen_Sprints!$E$8+Resumen_Sprints!$D$8),INDEX('Sprint N°3'!$C$9:$I$9,L$4-Resumen_Sprints!$E$8),0)</f>
        <v>0</v>
      </c>
      <c r="M22" s="36">
        <f>IF(AND(M$4&gt;Resumen_Sprints!$E$8,M$4&lt;=Resumen_Sprints!$E$8+Resumen_Sprints!$D$8),INDEX('Sprint N°3'!$C$9:$I$9,M$4-Resumen_Sprints!$E$8),0)</f>
        <v>0</v>
      </c>
      <c r="N22" s="36">
        <f>IF(AND(N$4&gt;Resumen_Sprints!$E$8,N$4&lt;=Resumen_Sprints!$E$8+Resumen_Sprints!$D$8),INDEX('Sprint N°3'!$C$9:$I$9,N$4-Resumen_Sprints!$E$8),0)</f>
        <v>0</v>
      </c>
      <c r="O22" s="36">
        <f>IF(AND(O$4&gt;Resumen_Sprints!$E$8,O$4&lt;=Resumen_Sprints!$E$8+Resumen_Sprints!$D$8),INDEX('Sprint N°3'!$C$9:$I$9,O$4-Resumen_Sprints!$E$8),0)</f>
        <v>0</v>
      </c>
      <c r="P22" s="36">
        <f>IF(AND(P$4&gt;Resumen_Sprints!$E$8,P$4&lt;=Resumen_Sprints!$E$8+Resumen_Sprints!$D$8),INDEX('Sprint N°3'!$C$9:$I$9,P$4-Resumen_Sprints!$E$8),0)</f>
        <v>0</v>
      </c>
      <c r="Q22" s="36">
        <f>IF(AND(Q$4&gt;Resumen_Sprints!$E$8,Q$4&lt;=Resumen_Sprints!$E$8+Resumen_Sprints!$D$8),INDEX('Sprint N°3'!$C$9:$I$9,Q$4-Resumen_Sprints!$E$8),0)</f>
        <v>0</v>
      </c>
      <c r="R22" s="36">
        <f>IF(AND(R$4&gt;Resumen_Sprints!$E$8,R$4&lt;=Resumen_Sprints!$E$8+Resumen_Sprints!$D$8),INDEX('Sprint N°3'!$C$9:$I$9,R$4-Resumen_Sprints!$E$8),0)</f>
        <v>0</v>
      </c>
      <c r="S22" s="36">
        <f>IF(AND(S$4&gt;Resumen_Sprints!$E$8,S$4&lt;=Resumen_Sprints!$E$8+Resumen_Sprints!$D$8),INDEX('Sprint N°3'!$C$9:$I$9,S$4-Resumen_Sprints!$E$8),0)</f>
        <v>0</v>
      </c>
      <c r="T22" s="36">
        <f>IF(AND(T$4&gt;Resumen_Sprints!$E$8,T$4&lt;=Resumen_Sprints!$E$8+Resumen_Sprints!$D$8),INDEX('Sprint N°3'!$C$9:$I$9,T$4-Resumen_Sprints!$E$8),0)</f>
        <v>0</v>
      </c>
      <c r="U22" s="36">
        <f>IF(AND(U$4&gt;Resumen_Sprints!$E$8,U$4&lt;=Resumen_Sprints!$E$8+Resumen_Sprints!$D$8),INDEX('Sprint N°3'!$C$9:$I$9,U$4-Resumen_Sprints!$E$8),0)</f>
        <v>0</v>
      </c>
      <c r="V22" s="36">
        <f>IF(AND(V$4&gt;Resumen_Sprints!$E$8,V$4&lt;=Resumen_Sprints!$E$8+Resumen_Sprints!$D$8),INDEX('Sprint N°3'!$C$9:$I$9,V$4-Resumen_Sprints!$E$8),0)</f>
        <v>0</v>
      </c>
      <c r="W22" s="36">
        <f>IF(AND(W$4&gt;Resumen_Sprints!$E$8,W$4&lt;=Resumen_Sprints!$E$8+Resumen_Sprints!$D$8),INDEX('Sprint N°3'!$C$9:$I$9,W$4-Resumen_Sprints!$E$8),0)</f>
        <v>0</v>
      </c>
      <c r="X22" s="36">
        <f>IF(AND(X$4&gt;Resumen_Sprints!$E$8,X$4&lt;=Resumen_Sprints!$E$8+Resumen_Sprints!$D$8),INDEX('Sprint N°3'!$C$9:$I$9,X$4-Resumen_Sprints!$E$8),0)</f>
        <v>0</v>
      </c>
      <c r="Y22" s="36">
        <f>IF(AND(Y$4&gt;Resumen_Sprints!$E$8,Y$4&lt;=Resumen_Sprints!$E$8+Resumen_Sprints!$D$8),INDEX('Sprint N°3'!$C$9:$I$9,Y$4-Resumen_Sprints!$E$8),0)</f>
        <v>0</v>
      </c>
      <c r="Z22" s="36">
        <f>IF(AND(Z$4&gt;Resumen_Sprints!$E$8,Z$4&lt;=Resumen_Sprints!$E$8+Resumen_Sprints!$D$8),INDEX('Sprint N°3'!$C$9:$I$9,Z$4-Resumen_Sprints!$E$8),0)</f>
        <v>0</v>
      </c>
      <c r="AA22" s="36">
        <f>IF(AND(AA$4&gt;Resumen_Sprints!$E$8,AA$4&lt;=Resumen_Sprints!$E$8+Resumen_Sprints!$D$8),INDEX('Sprint N°3'!$C$9:$I$9,AA$4-Resumen_Sprints!$E$8),0)</f>
        <v>2</v>
      </c>
      <c r="AB22" s="36">
        <f>IF(AND(AB$4&gt;Resumen_Sprints!$E$8,AB$4&lt;=Resumen_Sprints!$E$8+Resumen_Sprints!$D$8),INDEX('Sprint N°3'!$C$9:$I$9,AB$4-Resumen_Sprints!$E$8),0)</f>
        <v>8</v>
      </c>
      <c r="AC22" s="36">
        <f>IF(AND(AC$4&gt;Resumen_Sprints!$E$8,AC$4&lt;=Resumen_Sprints!$E$8+Resumen_Sprints!$D$8),INDEX('Sprint N°3'!$C$9:$I$9,AC$4-Resumen_Sprints!$E$8),0)</f>
        <v>7</v>
      </c>
      <c r="AD22" s="36">
        <f>IF(AND(AD$4&gt;Resumen_Sprints!$E$8,AD$4&lt;=Resumen_Sprints!$E$8+Resumen_Sprints!$D$8),INDEX('Sprint N°3'!$C$9:$I$9,AD$4-Resumen_Sprints!$E$8),0)</f>
        <v>0</v>
      </c>
      <c r="AE22" s="36">
        <f>IF(AND(AE$4&gt;Resumen_Sprints!$E$8,AE$4&lt;=Resumen_Sprints!$E$8+Resumen_Sprints!$D$8),INDEX('Sprint N°3'!$C$9:$I$9,AE$4-Resumen_Sprints!$E$8),0)</f>
        <v>0</v>
      </c>
      <c r="AF22" s="36">
        <f>IF(AND(AF$4&gt;Resumen_Sprints!$E$8,AF$4&lt;=Resumen_Sprints!$E$8+Resumen_Sprints!$D$8),INDEX('Sprint N°3'!$C$9:$I$9,AF$4-Resumen_Sprints!$E$8),0)</f>
        <v>0</v>
      </c>
      <c r="AG22" s="36">
        <f>IF(AND(AG$4&gt;Resumen_Sprints!$E$8,AG$4&lt;=Resumen_Sprints!$E$8+Resumen_Sprints!$D$8),INDEX('Sprint N°3'!$C$9:$I$9,AG$4-Resumen_Sprints!$E$8),0)</f>
        <v>0</v>
      </c>
      <c r="AH22" s="36">
        <f>IF(AND(AH$4&gt;Resumen_Sprints!$E$8,AH$4&lt;=Resumen_Sprints!$E$8+Resumen_Sprints!$D$8),INDEX('Sprint N°3'!$C$9:$I$9,AH$4-Resumen_Sprints!$E$8),0)</f>
        <v>0</v>
      </c>
      <c r="AI22" s="36">
        <f>IF(AND(AI$4&gt;Resumen_Sprints!$E$8,AI$4&lt;=Resumen_Sprints!$E$8+Resumen_Sprints!$D$8),INDEX('Sprint N°3'!$C$9:$I$9,AI$4-Resumen_Sprints!$E$8),0)</f>
        <v>0</v>
      </c>
      <c r="AJ22" s="36">
        <f>IF(AND(AJ$4&gt;Resumen_Sprints!$E$8,AJ$4&lt;=Resumen_Sprints!$E$8+Resumen_Sprints!$D$8),INDEX('Sprint N°3'!$C$9:$I$9,AJ$4-Resumen_Sprints!$E$8),0)</f>
        <v>0</v>
      </c>
      <c r="AK22" s="36">
        <f>IF(AND(AK$4&gt;Resumen_Sprints!$E$8,AK$4&lt;=Resumen_Sprints!$E$8+Resumen_Sprints!$D$8),INDEX('Sprint N°3'!$C$9:$I$9,AK$4-Resumen_Sprints!$E$8),0)</f>
        <v>0</v>
      </c>
      <c r="AL22" s="36">
        <f>IF(AND(AL$4&gt;Resumen_Sprints!$E$8,AL$4&lt;=Resumen_Sprints!$E$8+Resumen_Sprints!$D$8),INDEX('Sprint N°3'!$C$9:$I$9,AL$4-Resumen_Sprints!$E$8),0)</f>
        <v>0</v>
      </c>
      <c r="AM22" s="36">
        <f>IF(AND(AM$4&gt;Resumen_Sprints!$E$8,AM$4&lt;=Resumen_Sprints!$E$8+Resumen_Sprints!$D$8),INDEX('Sprint N°3'!$C$9:$I$9,AM$4-Resumen_Sprints!$E$8),0)</f>
        <v>0</v>
      </c>
      <c r="AN22" s="36">
        <f>IF(AND(AN$4&gt;Resumen_Sprints!$E$8,AN$4&lt;=Resumen_Sprints!$E$8+Resumen_Sprints!$D$8),INDEX('Sprint N°3'!$C$9:$I$9,AN$4-Resumen_Sprints!$E$8),0)</f>
        <v>0</v>
      </c>
      <c r="AO22" s="36">
        <f>IF(AND(AO$4&gt;Resumen_Sprints!$E$8,AO$4&lt;=Resumen_Sprints!$E$8+Resumen_Sprints!$D$8),INDEX('Sprint N°3'!$C$9:$I$9,AO$4-Resumen_Sprints!$E$8),0)</f>
        <v>0</v>
      </c>
      <c r="AP22" s="36">
        <f>IF(AND(AP$4&gt;Resumen_Sprints!$E$8,AP$4&lt;=Resumen_Sprints!$E$8+Resumen_Sprints!$D$8),INDEX('Sprint N°3'!$C$9:$I$9,AP$4-Resumen_Sprints!$E$8),0)</f>
        <v>0</v>
      </c>
      <c r="AQ22" s="36">
        <f>IF(AND(AQ$4&gt;Resumen_Sprints!$E$8,AQ$4&lt;=Resumen_Sprints!$E$8+Resumen_Sprints!$D$8),INDEX('Sprint N°3'!$C$9:$I$9,AQ$4-Resumen_Sprints!$E$8),0)</f>
        <v>0</v>
      </c>
      <c r="AR22" s="36">
        <f>IF(AND(AR$4&gt;Resumen_Sprints!$E$8,AR$4&lt;=Resumen_Sprints!$E$8+Resumen_Sprints!$D$8),INDEX('Sprint N°3'!$C$9:$I$9,AR$4-Resumen_Sprints!$E$8),0)</f>
        <v>0</v>
      </c>
      <c r="AS22" s="36">
        <f>IF(AND(AS$4&gt;Resumen_Sprints!$E$8,AS$4&lt;=Resumen_Sprints!$E$8+Resumen_Sprints!$D$8),INDEX('Sprint N°3'!$C$9:$I$9,AS$4-Resumen_Sprints!$E$8),0)</f>
        <v>0</v>
      </c>
      <c r="AT22" s="36">
        <f>IF(AND(AT$4&gt;Resumen_Sprints!$E$8,AT$4&lt;=Resumen_Sprints!$E$8+Resumen_Sprints!$D$8),INDEX('Sprint N°3'!$C$9:$I$9,AT$4-Resumen_Sprints!$E$8),0)</f>
        <v>0</v>
      </c>
      <c r="AU22" s="36">
        <f>IF(AND(AU$4&gt;Resumen_Sprints!$E$8,AU$4&lt;=Resumen_Sprints!$E$8+Resumen_Sprints!$D$8),INDEX('Sprint N°3'!$C$9:$I$9,AU$4-Resumen_Sprints!$E$8),0)</f>
        <v>0</v>
      </c>
      <c r="AV22" s="36">
        <f>IF(AND(AV$4&gt;Resumen_Sprints!$E$8,AV$4&lt;=Resumen_Sprints!$E$8+Resumen_Sprints!$D$8),INDEX('Sprint N°3'!$C$9:$I$9,AV$4-Resumen_Sprints!$E$8),0)</f>
        <v>0</v>
      </c>
      <c r="AW22" s="36">
        <f>IF(AND(AW$4&gt;Resumen_Sprints!$E$8,AW$4&lt;=Resumen_Sprints!$E$8+Resumen_Sprints!$D$8),INDEX('Sprint N°3'!$C$9:$I$9,AW$4-Resumen_Sprints!$E$8),0)</f>
        <v>0</v>
      </c>
      <c r="AX22" s="36">
        <f>IF(AND(AX$4&gt;Resumen_Sprints!$E$8,AX$4&lt;=Resumen_Sprints!$E$8+Resumen_Sprints!$D$8),INDEX('Sprint N°3'!$C$9:$I$9,AX$4-Resumen_Sprints!$E$8),0)</f>
        <v>0</v>
      </c>
      <c r="AY22" s="36">
        <f>IF(AND(AY$4&gt;Resumen_Sprints!$E$8,AY$4&lt;=Resumen_Sprints!$E$8+Resumen_Sprints!$D$8),INDEX('Sprint N°3'!$C$9:$I$9,AY$4-Resumen_Sprints!$E$8),0)</f>
        <v>0</v>
      </c>
      <c r="AZ22" s="36">
        <f>IF(AND(AZ$4&gt;Resumen_Sprints!$E$8,AZ$4&lt;=Resumen_Sprints!$E$8+Resumen_Sprints!$D$8),INDEX('Sprint N°3'!$C$9:$I$9,AZ$4-Resumen_Sprints!$E$8),0)</f>
        <v>0</v>
      </c>
      <c r="BA22" s="36">
        <f>IF(AND(BA$4&gt;Resumen_Sprints!$E$8,BA$4&lt;=Resumen_Sprints!$E$8+Resumen_Sprints!$D$8),INDEX('Sprint N°3'!$C$9:$I$9,BA$4-Resumen_Sprints!$E$8),0)</f>
        <v>0</v>
      </c>
      <c r="BB22" s="36">
        <f>IF(AND(BB$4&gt;Resumen_Sprints!$E$8,BB$4&lt;=Resumen_Sprints!$E$8+Resumen_Sprints!$D$8),INDEX('Sprint N°3'!$C$9:$I$9,BB$4-Resumen_Sprints!$E$8),0)</f>
        <v>0</v>
      </c>
      <c r="BC22" s="36">
        <f>IF(AND(BC$4&gt;Resumen_Sprints!$E$8,BC$4&lt;=Resumen_Sprints!$E$8+Resumen_Sprints!$D$8),INDEX('Sprint N°3'!$C$9:$I$9,BC$4-Resumen_Sprints!$E$8),0)</f>
        <v>0</v>
      </c>
      <c r="BD22" s="36">
        <f>IF(AND(BD$4&gt;Resumen_Sprints!$E$8,BD$4&lt;=Resumen_Sprints!$E$8+Resumen_Sprints!$D$8),INDEX('Sprint N°3'!$C$9:$I$9,BD$4-Resumen_Sprints!$E$8),0)</f>
        <v>0</v>
      </c>
      <c r="BE22" s="36">
        <f>IF(AND(BE$4&gt;Resumen_Sprints!$E$8,BE$4&lt;=Resumen_Sprints!$E$8+Resumen_Sprints!$D$8),INDEX('Sprint N°3'!$C$9:$I$9,BE$4-Resumen_Sprints!$E$8),0)</f>
        <v>0</v>
      </c>
      <c r="BF22" s="36">
        <f>IF(AND(BF$4&gt;Resumen_Sprints!$E$8,BF$4&lt;=Resumen_Sprints!$E$8+Resumen_Sprints!$D$8),INDEX('Sprint N°3'!$C$9:$I$9,BF$4-Resumen_Sprints!$E$8),0)</f>
        <v>0</v>
      </c>
      <c r="BG22" s="36">
        <f>IF(AND(BG$4&gt;Resumen_Sprints!$E$8,BG$4&lt;=Resumen_Sprints!$E$8+Resumen_Sprints!$D$8),INDEX('Sprint N°3'!$C$9:$I$9,BG$4-Resumen_Sprints!$E$8),0)</f>
        <v>0</v>
      </c>
      <c r="BH22" s="36">
        <f>IF(AND(BH$4&gt;Resumen_Sprints!$E$8,BH$4&lt;=Resumen_Sprints!$E$8+Resumen_Sprints!$D$8),INDEX('Sprint N°3'!$C$9:$I$9,BH$4-Resumen_Sprints!$E$8),0)</f>
        <v>0</v>
      </c>
      <c r="BI22" s="36">
        <f>IF(AND(BI$4&gt;Resumen_Sprints!$E$8,BI$4&lt;=Resumen_Sprints!$E$8+Resumen_Sprints!$D$8),INDEX('Sprint N°3'!$C$9:$I$9,BI$4-Resumen_Sprints!$E$8),0)</f>
        <v>0</v>
      </c>
      <c r="BJ22" s="36">
        <f>IF(AND(BJ$4&gt;Resumen_Sprints!$E$8,BJ$4&lt;=Resumen_Sprints!$E$8+Resumen_Sprints!$D$8),INDEX('Sprint N°3'!$C$9:$I$9,BJ$4-Resumen_Sprints!$E$8),0)</f>
        <v>0</v>
      </c>
      <c r="BK22" s="36">
        <f>IF(AND(BK$4&gt;Resumen_Sprints!$E$8,BK$4&lt;=Resumen_Sprints!$E$8+Resumen_Sprints!$D$8),INDEX('Sprint N°3'!$C$9:$I$9,BK$4-Resumen_Sprints!$E$8),0)</f>
        <v>0</v>
      </c>
      <c r="BL22" s="36">
        <f>IF(AND(BL$4&gt;Resumen_Sprints!$E$8,BL$4&lt;=Resumen_Sprints!$E$8+Resumen_Sprints!$D$8),INDEX('Sprint N°3'!$C$9:$I$9,BL$4-Resumen_Sprints!$E$8),0)</f>
        <v>0</v>
      </c>
      <c r="BM22" s="36">
        <f>IF(AND(BM$4&gt;Resumen_Sprints!$E$8,BM$4&lt;=Resumen_Sprints!$E$8+Resumen_Sprints!$D$8),INDEX('Sprint N°3'!$C$9:$I$9,BM$4-Resumen_Sprints!$E$8),0)</f>
        <v>0</v>
      </c>
      <c r="BN22" s="36">
        <f>IF(AND(BN$4&gt;Resumen_Sprints!$E$8,BN$4&lt;=Resumen_Sprints!$E$8+Resumen_Sprints!$D$8),INDEX('Sprint N°3'!$C$9:$I$9,BN$4-Resumen_Sprints!$E$8),0)</f>
        <v>0</v>
      </c>
      <c r="BO22" s="36">
        <f>IF(AND(BO$4&gt;Resumen_Sprints!$E$8,BO$4&lt;=Resumen_Sprints!$E$8+Resumen_Sprints!$D$8),INDEX('Sprint N°3'!$C$9:$I$9,BO$4-Resumen_Sprints!$E$8),0)</f>
        <v>0</v>
      </c>
      <c r="BP22" s="36">
        <f>IF(AND(BP$4&gt;Resumen_Sprints!$E$8,BP$4&lt;=Resumen_Sprints!$E$8+Resumen_Sprints!$D$8),INDEX('Sprint N°3'!$C$9:$I$9,BP$4-Resumen_Sprints!$E$8),0)</f>
        <v>0</v>
      </c>
      <c r="BQ22" s="36">
        <f>IF(AND(BQ$4&gt;Resumen_Sprints!$E$8,BQ$4&lt;=Resumen_Sprints!$E$8+Resumen_Sprints!$D$8),INDEX('Sprint N°3'!$C$9:$I$9,BQ$4-Resumen_Sprints!$E$8),0)</f>
        <v>0</v>
      </c>
      <c r="BR22" s="36">
        <f>IF(AND(BR$4&gt;Resumen_Sprints!$E$8,BR$4&lt;=Resumen_Sprints!$E$8+Resumen_Sprints!$D$8),INDEX('Sprint N°3'!$C$9:$I$9,BR$4-Resumen_Sprints!$E$8),0)</f>
        <v>0</v>
      </c>
      <c r="BS22" s="36">
        <f>IF(AND(BS$4&gt;Resumen_Sprints!$E$8,BS$4&lt;=Resumen_Sprints!$E$8+Resumen_Sprints!$D$8),INDEX('Sprint N°3'!$C$9:$I$9,BS$4-Resumen_Sprints!$E$8),0)</f>
        <v>0</v>
      </c>
      <c r="BT22" s="36">
        <f>IF(AND(BT$4&gt;Resumen_Sprints!$E$8,BT$4&lt;=Resumen_Sprints!$E$8+Resumen_Sprints!$D$8),INDEX('Sprint N°3'!$C$9:$I$9,BT$4-Resumen_Sprints!$E$8),0)</f>
        <v>0</v>
      </c>
      <c r="BU22" s="36">
        <f>IF(AND(BU$4&gt;Resumen_Sprints!$E$8,BU$4&lt;=Resumen_Sprints!$E$8+Resumen_Sprints!$D$8),INDEX('Sprint N°3'!$C$9:$I$9,BU$4-Resumen_Sprints!$E$8),0)</f>
        <v>0</v>
      </c>
      <c r="BV22" s="36">
        <f>IF(AND(BV$4&gt;Resumen_Sprints!$E$8,BV$4&lt;=Resumen_Sprints!$E$8+Resumen_Sprints!$D$8),INDEX('Sprint N°3'!$C$9:$I$9,BV$4-Resumen_Sprints!$E$8),0)</f>
        <v>0</v>
      </c>
      <c r="BW22" s="36">
        <f>IF(AND(BW$4&gt;Resumen_Sprints!$E$8,BW$4&lt;=Resumen_Sprints!$E$8+Resumen_Sprints!$D$8),INDEX('Sprint N°3'!$C$9:$I$9,BW$4-Resumen_Sprints!$E$8),0)</f>
        <v>0</v>
      </c>
      <c r="BX22" s="36">
        <f>IF(AND(BX$4&gt;Resumen_Sprints!$E$8,BX$4&lt;=Resumen_Sprints!$E$8+Resumen_Sprints!$D$8),INDEX('Sprint N°3'!$C$9:$I$9,BX$4-Resumen_Sprints!$E$8),0)</f>
        <v>0</v>
      </c>
      <c r="BY22" s="36">
        <f>IF(AND(BY$4&gt;Resumen_Sprints!$E$8,BY$4&lt;=Resumen_Sprints!$E$8+Resumen_Sprints!$D$8),INDEX('Sprint N°3'!$C$9:$I$9,BY$4-Resumen_Sprints!$E$8),0)</f>
        <v>0</v>
      </c>
      <c r="BZ22" s="36">
        <f>IF(AND(BZ$4&gt;Resumen_Sprints!$E$8,BZ$4&lt;=Resumen_Sprints!$E$8+Resumen_Sprints!$D$8),INDEX('Sprint N°3'!$C$9:$I$9,BZ$4-Resumen_Sprints!$E$8),0)</f>
        <v>0</v>
      </c>
      <c r="CA22" s="36">
        <f>IF(AND(CA$4&gt;Resumen_Sprints!$E$8,CA$4&lt;=Resumen_Sprints!$E$8+Resumen_Sprints!$D$8),INDEX('Sprint N°3'!$C$9:$I$9,CA$4-Resumen_Sprints!$E$8),0)</f>
        <v>0</v>
      </c>
      <c r="CB22" s="36">
        <f>IF(AND(CB$4&gt;Resumen_Sprints!$E$8,CB$4&lt;=Resumen_Sprints!$E$8+Resumen_Sprints!$D$8),INDEX('Sprint N°3'!$C$9:$I$9,CB$4-Resumen_Sprints!$E$8),0)</f>
        <v>0</v>
      </c>
      <c r="CC22" s="36">
        <f>IF(AND(CC$4&gt;Resumen_Sprints!$E$8,CC$4&lt;=Resumen_Sprints!$E$8+Resumen_Sprints!$D$8),INDEX('Sprint N°3'!$C$9:$I$9,CC$4-Resumen_Sprints!$E$8),0)</f>
        <v>0</v>
      </c>
      <c r="CD22" s="36">
        <f>IF(AND(CD$4&gt;Resumen_Sprints!$E$8,CD$4&lt;=Resumen_Sprints!$E$8+Resumen_Sprints!$D$8),INDEX('Sprint N°3'!$C$9:$I$9,CD$4-Resumen_Sprints!$E$8),0)</f>
        <v>0</v>
      </c>
      <c r="CE22" s="36">
        <f>IF(AND(CE$4&gt;Resumen_Sprints!$E$8,CE$4&lt;=Resumen_Sprints!$E$8+Resumen_Sprints!$D$8),INDEX('Sprint N°3'!$C$9:$I$9,CE$4-Resumen_Sprints!$E$8),0)</f>
        <v>0</v>
      </c>
      <c r="CF22" s="36">
        <f>IF(AND(CF$4&gt;Resumen_Sprints!$E$8,CF$4&lt;=Resumen_Sprints!$E$8+Resumen_Sprints!$D$8),INDEX('Sprint N°3'!$C$9:$I$9,CF$4-Resumen_Sprints!$E$8),0)</f>
        <v>0</v>
      </c>
      <c r="CG22" s="36">
        <f>IF(AND(CG$4&gt;Resumen_Sprints!$E$8,CG$4&lt;=Resumen_Sprints!$E$8+Resumen_Sprints!$D$8),INDEX('Sprint N°3'!$C$9:$I$9,CG$4-Resumen_Sprints!$E$8),0)</f>
        <v>0</v>
      </c>
      <c r="CH22" s="36">
        <f>IF(AND(CH$4&gt;Resumen_Sprints!$E$8,CH$4&lt;=Resumen_Sprints!$E$8+Resumen_Sprints!$D$8),INDEX('Sprint N°3'!$C$9:$I$9,CH$4-Resumen_Sprints!$E$8),0)</f>
        <v>0</v>
      </c>
      <c r="CI22" s="36">
        <f>IF(AND(CI$4&gt;Resumen_Sprints!$E$8,CI$4&lt;=Resumen_Sprints!$E$8+Resumen_Sprints!$D$8),INDEX('Sprint N°3'!$C$9:$I$9,CI$4-Resumen_Sprints!$E$8),0)</f>
        <v>0</v>
      </c>
      <c r="CJ22" s="36">
        <f>IF(AND(CJ$4&gt;Resumen_Sprints!$E$8,CJ$4&lt;=Resumen_Sprints!$E$8+Resumen_Sprints!$D$8),INDEX('Sprint N°3'!$C$9:$I$9,CJ$4-Resumen_Sprints!$E$8),0)</f>
        <v>0</v>
      </c>
      <c r="CK22" s="36">
        <f>IF(AND(CK$4&gt;Resumen_Sprints!$E$8,CK$4&lt;=Resumen_Sprints!$E$8+Resumen_Sprints!$D$8),INDEX('Sprint N°3'!$C$9:$I$9,CK$4-Resumen_Sprints!$E$8),0)</f>
        <v>0</v>
      </c>
      <c r="CL22" s="36">
        <f>IF(AND(CL$4&gt;Resumen_Sprints!$E$8,CL$4&lt;=Resumen_Sprints!$E$8+Resumen_Sprints!$D$8),INDEX('Sprint N°3'!$C$9:$I$9,CL$4-Resumen_Sprints!$E$8),0)</f>
        <v>0</v>
      </c>
      <c r="CM22" s="36">
        <f>IF(AND(CM$4&gt;Resumen_Sprints!$E$8,CM$4&lt;=Resumen_Sprints!$E$8+Resumen_Sprints!$D$8),INDEX('Sprint N°3'!$C$9:$I$9,CM$4-Resumen_Sprints!$E$8),0)</f>
        <v>0</v>
      </c>
      <c r="CN22" s="36">
        <f>IF(AND(CN$4&gt;Resumen_Sprints!$E$8,CN$4&lt;=Resumen_Sprints!$E$8+Resumen_Sprints!$D$8),INDEX('Sprint N°3'!$C$9:$I$9,CN$4-Resumen_Sprints!$E$8),0)</f>
        <v>0</v>
      </c>
      <c r="CO22" s="36">
        <f>IF(AND(CO$4&gt;Resumen_Sprints!$E$8,CO$4&lt;=Resumen_Sprints!$E$8+Resumen_Sprints!$D$8),INDEX('Sprint N°3'!$C$9:$I$9,CO$4-Resumen_Sprints!$E$8),0)</f>
        <v>0</v>
      </c>
      <c r="CP22" s="36">
        <f>IF(AND(CP$4&gt;Resumen_Sprints!$E$8,CP$4&lt;=Resumen_Sprints!$E$8+Resumen_Sprints!$D$8),INDEX('Sprint N°3'!$C$9:$I$9,CP$4-Resumen_Sprints!$E$8),0)</f>
        <v>0</v>
      </c>
      <c r="CQ22" s="36">
        <f>IF(AND(CQ$4&gt;Resumen_Sprints!$E$8,CQ$4&lt;=Resumen_Sprints!$E$8+Resumen_Sprints!$D$8),INDEX('Sprint N°3'!$C$9:$I$9,CQ$4-Resumen_Sprints!$E$8),0)</f>
        <v>0</v>
      </c>
      <c r="CR22" s="36">
        <f>IF(AND(CR$4&gt;Resumen_Sprints!$E$8,CR$4&lt;=Resumen_Sprints!$E$8+Resumen_Sprints!$D$8),INDEX('Sprint N°3'!$C$9:$I$9,CR$4-Resumen_Sprints!$E$8),0)</f>
        <v>0</v>
      </c>
      <c r="CS22" s="36">
        <f>IF(AND(CS$4&gt;Resumen_Sprints!$E$8,CS$4&lt;=Resumen_Sprints!$E$8+Resumen_Sprints!$D$8),INDEX('Sprint N°3'!$C$9:$I$9,CS$4-Resumen_Sprints!$E$8),0)</f>
        <v>0</v>
      </c>
      <c r="CT22" s="36">
        <f>IF(AND(CT$4&gt;Resumen_Sprints!$E$8,CT$4&lt;=Resumen_Sprints!$E$8+Resumen_Sprints!$D$8),INDEX('Sprint N°3'!$C$9:$I$9,CT$4-Resumen_Sprints!$E$8),0)</f>
        <v>0</v>
      </c>
      <c r="CU22" s="10">
        <f>SUM(C22:CT22)</f>
        <v>17</v>
      </c>
    </row>
    <row r="23" spans="1:99" x14ac:dyDescent="0.3">
      <c r="A23" s="17" t="str">
        <f>"Sprint N°"&amp;Resumen_Sprints!A9&amp;" – "&amp;Resumen_Sprints!B9</f>
        <v>Sprint N°4 – Motor de Simulación y Algoritmo de Cálculo</v>
      </c>
      <c r="B23" s="26">
        <f>SUM(B24:B27)</f>
        <v>91</v>
      </c>
      <c r="CU23" s="44"/>
    </row>
    <row r="24" spans="1:99" x14ac:dyDescent="0.3">
      <c r="A24" s="22" t="str">
        <f>'Sprint N°4'!A6</f>
        <v>Coordinación delObjetivos Sprint 4</v>
      </c>
      <c r="B24" s="22">
        <f>'Sprint N°4'!B6</f>
        <v>1</v>
      </c>
      <c r="C24" s="36">
        <f>IF(AND(C$4&gt;Resumen_Sprints!$E$9,C$4&lt;=Resumen_Sprints!$E$9+Resumen_Sprints!$D$9),INDEX('Sprint N°4'!$C$6:$P$6,C$4-Resumen_Sprints!$E$9),0)</f>
        <v>0</v>
      </c>
      <c r="D24" s="36">
        <f>IF(AND(D$4&gt;Resumen_Sprints!$E$9,D$4&lt;=Resumen_Sprints!$E$9+Resumen_Sprints!$D$9),INDEX('Sprint N°4'!$C$6:$P$6,D$4-Resumen_Sprints!$E$9),0)</f>
        <v>0</v>
      </c>
      <c r="E24" s="36">
        <f>IF(AND(E$4&gt;Resumen_Sprints!$E$9,E$4&lt;=Resumen_Sprints!$E$9+Resumen_Sprints!$D$9),INDEX('Sprint N°4'!$C$6:$P$6,E$4-Resumen_Sprints!$E$9),0)</f>
        <v>0</v>
      </c>
      <c r="F24" s="36">
        <f>IF(AND(F$4&gt;Resumen_Sprints!$E$9,F$4&lt;=Resumen_Sprints!$E$9+Resumen_Sprints!$D$9),INDEX('Sprint N°4'!$C$6:$P$6,F$4-Resumen_Sprints!$E$9),0)</f>
        <v>0</v>
      </c>
      <c r="G24" s="36">
        <f>IF(AND(G$4&gt;Resumen_Sprints!$E$9,G$4&lt;=Resumen_Sprints!$E$9+Resumen_Sprints!$D$9),INDEX('Sprint N°4'!$C$6:$P$6,G$4-Resumen_Sprints!$E$9),0)</f>
        <v>0</v>
      </c>
      <c r="H24" s="36">
        <f>IF(AND(H$4&gt;Resumen_Sprints!$E$9,H$4&lt;=Resumen_Sprints!$E$9+Resumen_Sprints!$D$9),INDEX('Sprint N°4'!$C$6:$P$6,H$4-Resumen_Sprints!$E$9),0)</f>
        <v>0</v>
      </c>
      <c r="I24" s="36">
        <f>IF(AND(I$4&gt;Resumen_Sprints!$E$9,I$4&lt;=Resumen_Sprints!$E$9+Resumen_Sprints!$D$9),INDEX('Sprint N°4'!$C$6:$P$6,I$4-Resumen_Sprints!$E$9),0)</f>
        <v>0</v>
      </c>
      <c r="J24" s="36">
        <f>IF(AND(J$4&gt;Resumen_Sprints!$E$9,J$4&lt;=Resumen_Sprints!$E$9+Resumen_Sprints!$D$9),INDEX('Sprint N°4'!$C$6:$P$6,J$4-Resumen_Sprints!$E$9),0)</f>
        <v>0</v>
      </c>
      <c r="K24" s="36">
        <f>IF(AND(K$4&gt;Resumen_Sprints!$E$9,K$4&lt;=Resumen_Sprints!$E$9+Resumen_Sprints!$D$9),INDEX('Sprint N°4'!$C$6:$P$6,K$4-Resumen_Sprints!$E$9),0)</f>
        <v>0</v>
      </c>
      <c r="L24" s="36">
        <f>IF(AND(L$4&gt;Resumen_Sprints!$E$9,L$4&lt;=Resumen_Sprints!$E$9+Resumen_Sprints!$D$9),INDEX('Sprint N°4'!$C$6:$P$6,L$4-Resumen_Sprints!$E$9),0)</f>
        <v>0</v>
      </c>
      <c r="M24" s="36">
        <f>IF(AND(M$4&gt;Resumen_Sprints!$E$9,M$4&lt;=Resumen_Sprints!$E$9+Resumen_Sprints!$D$9),INDEX('Sprint N°4'!$C$6:$P$6,M$4-Resumen_Sprints!$E$9),0)</f>
        <v>0</v>
      </c>
      <c r="N24" s="36">
        <f>IF(AND(N$4&gt;Resumen_Sprints!$E$9,N$4&lt;=Resumen_Sprints!$E$9+Resumen_Sprints!$D$9),INDEX('Sprint N°4'!$C$6:$P$6,N$4-Resumen_Sprints!$E$9),0)</f>
        <v>0</v>
      </c>
      <c r="O24" s="36">
        <f>IF(AND(O$4&gt;Resumen_Sprints!$E$9,O$4&lt;=Resumen_Sprints!$E$9+Resumen_Sprints!$D$9),INDEX('Sprint N°4'!$C$6:$P$6,O$4-Resumen_Sprints!$E$9),0)</f>
        <v>0</v>
      </c>
      <c r="P24" s="36">
        <f>IF(AND(P$4&gt;Resumen_Sprints!$E$9,P$4&lt;=Resumen_Sprints!$E$9+Resumen_Sprints!$D$9),INDEX('Sprint N°4'!$C$6:$P$6,P$4-Resumen_Sprints!$E$9),0)</f>
        <v>0</v>
      </c>
      <c r="Q24" s="36">
        <f>IF(AND(Q$4&gt;Resumen_Sprints!$E$9,Q$4&lt;=Resumen_Sprints!$E$9+Resumen_Sprints!$D$9),INDEX('Sprint N°4'!$C$6:$P$6,Q$4-Resumen_Sprints!$E$9),0)</f>
        <v>0</v>
      </c>
      <c r="R24" s="36">
        <f>IF(AND(R$4&gt;Resumen_Sprints!$E$9,R$4&lt;=Resumen_Sprints!$E$9+Resumen_Sprints!$D$9),INDEX('Sprint N°4'!$C$6:$P$6,R$4-Resumen_Sprints!$E$9),0)</f>
        <v>0</v>
      </c>
      <c r="S24" s="36">
        <f>IF(AND(S$4&gt;Resumen_Sprints!$E$9,S$4&lt;=Resumen_Sprints!$E$9+Resumen_Sprints!$D$9),INDEX('Sprint N°4'!$C$6:$P$6,S$4-Resumen_Sprints!$E$9),0)</f>
        <v>0</v>
      </c>
      <c r="T24" s="36">
        <f>IF(AND(T$4&gt;Resumen_Sprints!$E$9,T$4&lt;=Resumen_Sprints!$E$9+Resumen_Sprints!$D$9),INDEX('Sprint N°4'!$C$6:$P$6,T$4-Resumen_Sprints!$E$9),0)</f>
        <v>0</v>
      </c>
      <c r="U24" s="36">
        <f>IF(AND(U$4&gt;Resumen_Sprints!$E$9,U$4&lt;=Resumen_Sprints!$E$9+Resumen_Sprints!$D$9),INDEX('Sprint N°4'!$C$6:$P$6,U$4-Resumen_Sprints!$E$9),0)</f>
        <v>0</v>
      </c>
      <c r="V24" s="36">
        <f>IF(AND(V$4&gt;Resumen_Sprints!$E$9,V$4&lt;=Resumen_Sprints!$E$9+Resumen_Sprints!$D$9),INDEX('Sprint N°4'!$C$6:$P$6,V$4-Resumen_Sprints!$E$9),0)</f>
        <v>0</v>
      </c>
      <c r="W24" s="36">
        <f>IF(AND(W$4&gt;Resumen_Sprints!$E$9,W$4&lt;=Resumen_Sprints!$E$9+Resumen_Sprints!$D$9),INDEX('Sprint N°4'!$C$6:$P$6,W$4-Resumen_Sprints!$E$9),0)</f>
        <v>0</v>
      </c>
      <c r="X24" s="36">
        <f>IF(AND(X$4&gt;Resumen_Sprints!$E$9,X$4&lt;=Resumen_Sprints!$E$9+Resumen_Sprints!$D$9),INDEX('Sprint N°4'!$C$6:$P$6,X$4-Resumen_Sprints!$E$9),0)</f>
        <v>0</v>
      </c>
      <c r="Y24" s="36">
        <f>IF(AND(Y$4&gt;Resumen_Sprints!$E$9,Y$4&lt;=Resumen_Sprints!$E$9+Resumen_Sprints!$D$9),INDEX('Sprint N°4'!$C$6:$P$6,Y$4-Resumen_Sprints!$E$9),0)</f>
        <v>0</v>
      </c>
      <c r="Z24" s="36">
        <f>IF(AND(Z$4&gt;Resumen_Sprints!$E$9,Z$4&lt;=Resumen_Sprints!$E$9+Resumen_Sprints!$D$9),INDEX('Sprint N°4'!$C$6:$P$6,Z$4-Resumen_Sprints!$E$9),0)</f>
        <v>0</v>
      </c>
      <c r="AA24" s="36">
        <f>IF(AND(AA$4&gt;Resumen_Sprints!$E$9,AA$4&lt;=Resumen_Sprints!$E$9+Resumen_Sprints!$D$9),INDEX('Sprint N°4'!$C$6:$P$6,AA$4-Resumen_Sprints!$E$9),0)</f>
        <v>0</v>
      </c>
      <c r="AB24" s="36">
        <f>IF(AND(AB$4&gt;Resumen_Sprints!$E$9,AB$4&lt;=Resumen_Sprints!$E$9+Resumen_Sprints!$D$9),INDEX('Sprint N°4'!$C$6:$P$6,AB$4-Resumen_Sprints!$E$9),0)</f>
        <v>0</v>
      </c>
      <c r="AC24" s="36">
        <f>IF(AND(AC$4&gt;Resumen_Sprints!$E$9,AC$4&lt;=Resumen_Sprints!$E$9+Resumen_Sprints!$D$9),INDEX('Sprint N°4'!$C$6:$P$6,AC$4-Resumen_Sprints!$E$9),0)</f>
        <v>0</v>
      </c>
      <c r="AD24" s="36">
        <f>IF(AND(AD$4&gt;Resumen_Sprints!$E$9,AD$4&lt;=Resumen_Sprints!$E$9+Resumen_Sprints!$D$9),INDEX('Sprint N°4'!$C$6:$P$6,AD$4-Resumen_Sprints!$E$9),0)</f>
        <v>1</v>
      </c>
      <c r="AE24" s="36">
        <f>IF(AND(AE$4&gt;Resumen_Sprints!$E$9,AE$4&lt;=Resumen_Sprints!$E$9+Resumen_Sprints!$D$9),INDEX('Sprint N°4'!$C$6:$P$6,AE$4-Resumen_Sprints!$E$9),0)</f>
        <v>0</v>
      </c>
      <c r="AF24" s="36">
        <f>IF(AND(AF$4&gt;Resumen_Sprints!$E$9,AF$4&lt;=Resumen_Sprints!$E$9+Resumen_Sprints!$D$9),INDEX('Sprint N°4'!$C$6:$P$6,AF$4-Resumen_Sprints!$E$9),0)</f>
        <v>0</v>
      </c>
      <c r="AG24" s="36">
        <f>IF(AND(AG$4&gt;Resumen_Sprints!$E$9,AG$4&lt;=Resumen_Sprints!$E$9+Resumen_Sprints!$D$9),INDEX('Sprint N°4'!$C$6:$P$6,AG$4-Resumen_Sprints!$E$9),0)</f>
        <v>0</v>
      </c>
      <c r="AH24" s="36">
        <f>IF(AND(AH$4&gt;Resumen_Sprints!$E$9,AH$4&lt;=Resumen_Sprints!$E$9+Resumen_Sprints!$D$9),INDEX('Sprint N°4'!$C$6:$P$6,AH$4-Resumen_Sprints!$E$9),0)</f>
        <v>0</v>
      </c>
      <c r="AI24" s="36">
        <f>IF(AND(AI$4&gt;Resumen_Sprints!$E$9,AI$4&lt;=Resumen_Sprints!$E$9+Resumen_Sprints!$D$9),INDEX('Sprint N°4'!$C$6:$P$6,AI$4-Resumen_Sprints!$E$9),0)</f>
        <v>0</v>
      </c>
      <c r="AJ24" s="36">
        <f>IF(AND(AJ$4&gt;Resumen_Sprints!$E$9,AJ$4&lt;=Resumen_Sprints!$E$9+Resumen_Sprints!$D$9),INDEX('Sprint N°4'!$C$6:$P$6,AJ$4-Resumen_Sprints!$E$9),0)</f>
        <v>0</v>
      </c>
      <c r="AK24" s="36">
        <f>IF(AND(AK$4&gt;Resumen_Sprints!$E$9,AK$4&lt;=Resumen_Sprints!$E$9+Resumen_Sprints!$D$9),INDEX('Sprint N°4'!$C$6:$P$6,AK$4-Resumen_Sprints!$E$9),0)</f>
        <v>0</v>
      </c>
      <c r="AL24" s="36">
        <f>IF(AND(AL$4&gt;Resumen_Sprints!$E$9,AL$4&lt;=Resumen_Sprints!$E$9+Resumen_Sprints!$D$9),INDEX('Sprint N°4'!$C$6:$P$6,AL$4-Resumen_Sprints!$E$9),0)</f>
        <v>0</v>
      </c>
      <c r="AM24" s="36">
        <f>IF(AND(AM$4&gt;Resumen_Sprints!$E$9,AM$4&lt;=Resumen_Sprints!$E$9+Resumen_Sprints!$D$9),INDEX('Sprint N°4'!$C$6:$P$6,AM$4-Resumen_Sprints!$E$9),0)</f>
        <v>0</v>
      </c>
      <c r="AN24" s="36">
        <f>IF(AND(AN$4&gt;Resumen_Sprints!$E$9,AN$4&lt;=Resumen_Sprints!$E$9+Resumen_Sprints!$D$9),INDEX('Sprint N°4'!$C$6:$P$6,AN$4-Resumen_Sprints!$E$9),0)</f>
        <v>0</v>
      </c>
      <c r="AO24" s="36">
        <f>IF(AND(AO$4&gt;Resumen_Sprints!$E$9,AO$4&lt;=Resumen_Sprints!$E$9+Resumen_Sprints!$D$9),INDEX('Sprint N°4'!$C$6:$P$6,AO$4-Resumen_Sprints!$E$9),0)</f>
        <v>0</v>
      </c>
      <c r="AP24" s="36">
        <f>IF(AND(AP$4&gt;Resumen_Sprints!$E$9,AP$4&lt;=Resumen_Sprints!$E$9+Resumen_Sprints!$D$9),INDEX('Sprint N°4'!$C$6:$P$6,AP$4-Resumen_Sprints!$E$9),0)</f>
        <v>0</v>
      </c>
      <c r="AQ24" s="36">
        <f>IF(AND(AQ$4&gt;Resumen_Sprints!$E$9,AQ$4&lt;=Resumen_Sprints!$E$9+Resumen_Sprints!$D$9),INDEX('Sprint N°4'!$C$6:$P$6,AQ$4-Resumen_Sprints!$E$9),0)</f>
        <v>0</v>
      </c>
      <c r="AR24" s="36">
        <f>IF(AND(AR$4&gt;Resumen_Sprints!$E$9,AR$4&lt;=Resumen_Sprints!$E$9+Resumen_Sprints!$D$9),INDEX('Sprint N°4'!$C$6:$P$6,AR$4-Resumen_Sprints!$E$9),0)</f>
        <v>0</v>
      </c>
      <c r="AS24" s="36">
        <f>IF(AND(AS$4&gt;Resumen_Sprints!$E$9,AS$4&lt;=Resumen_Sprints!$E$9+Resumen_Sprints!$D$9),INDEX('Sprint N°4'!$C$6:$P$6,AS$4-Resumen_Sprints!$E$9),0)</f>
        <v>0</v>
      </c>
      <c r="AT24" s="36">
        <f>IF(AND(AT$4&gt;Resumen_Sprints!$E$9,AT$4&lt;=Resumen_Sprints!$E$9+Resumen_Sprints!$D$9),INDEX('Sprint N°4'!$C$6:$P$6,AT$4-Resumen_Sprints!$E$9),0)</f>
        <v>0</v>
      </c>
      <c r="AU24" s="36">
        <f>IF(AND(AU$4&gt;Resumen_Sprints!$E$9,AU$4&lt;=Resumen_Sprints!$E$9+Resumen_Sprints!$D$9),INDEX('Sprint N°4'!$C$6:$P$6,AU$4-Resumen_Sprints!$E$9),0)</f>
        <v>0</v>
      </c>
      <c r="AV24" s="36">
        <f>IF(AND(AV$4&gt;Resumen_Sprints!$E$9,AV$4&lt;=Resumen_Sprints!$E$9+Resumen_Sprints!$D$9),INDEX('Sprint N°4'!$C$6:$P$6,AV$4-Resumen_Sprints!$E$9),0)</f>
        <v>0</v>
      </c>
      <c r="AW24" s="36">
        <f>IF(AND(AW$4&gt;Resumen_Sprints!$E$9,AW$4&lt;=Resumen_Sprints!$E$9+Resumen_Sprints!$D$9),INDEX('Sprint N°4'!$C$6:$P$6,AW$4-Resumen_Sprints!$E$9),0)</f>
        <v>0</v>
      </c>
      <c r="AX24" s="36">
        <f>IF(AND(AX$4&gt;Resumen_Sprints!$E$9,AX$4&lt;=Resumen_Sprints!$E$9+Resumen_Sprints!$D$9),INDEX('Sprint N°4'!$C$6:$P$6,AX$4-Resumen_Sprints!$E$9),0)</f>
        <v>0</v>
      </c>
      <c r="AY24" s="36">
        <f>IF(AND(AY$4&gt;Resumen_Sprints!$E$9,AY$4&lt;=Resumen_Sprints!$E$9+Resumen_Sprints!$D$9),INDEX('Sprint N°4'!$C$6:$P$6,AY$4-Resumen_Sprints!$E$9),0)</f>
        <v>0</v>
      </c>
      <c r="AZ24" s="36">
        <f>IF(AND(AZ$4&gt;Resumen_Sprints!$E$9,AZ$4&lt;=Resumen_Sprints!$E$9+Resumen_Sprints!$D$9),INDEX('Sprint N°4'!$C$6:$P$6,AZ$4-Resumen_Sprints!$E$9),0)</f>
        <v>0</v>
      </c>
      <c r="BA24" s="36">
        <f>IF(AND(BA$4&gt;Resumen_Sprints!$E$9,BA$4&lt;=Resumen_Sprints!$E$9+Resumen_Sprints!$D$9),INDEX('Sprint N°4'!$C$6:$P$6,BA$4-Resumen_Sprints!$E$9),0)</f>
        <v>0</v>
      </c>
      <c r="BB24" s="36">
        <f>IF(AND(BB$4&gt;Resumen_Sprints!$E$9,BB$4&lt;=Resumen_Sprints!$E$9+Resumen_Sprints!$D$9),INDEX('Sprint N°4'!$C$6:$P$6,BB$4-Resumen_Sprints!$E$9),0)</f>
        <v>0</v>
      </c>
      <c r="BC24" s="36">
        <f>IF(AND(BC$4&gt;Resumen_Sprints!$E$9,BC$4&lt;=Resumen_Sprints!$E$9+Resumen_Sprints!$D$9),INDEX('Sprint N°4'!$C$6:$P$6,BC$4-Resumen_Sprints!$E$9),0)</f>
        <v>0</v>
      </c>
      <c r="BD24" s="36">
        <f>IF(AND(BD$4&gt;Resumen_Sprints!$E$9,BD$4&lt;=Resumen_Sprints!$E$9+Resumen_Sprints!$D$9),INDEX('Sprint N°4'!$C$6:$P$6,BD$4-Resumen_Sprints!$E$9),0)</f>
        <v>0</v>
      </c>
      <c r="BE24" s="36">
        <f>IF(AND(BE$4&gt;Resumen_Sprints!$E$9,BE$4&lt;=Resumen_Sprints!$E$9+Resumen_Sprints!$D$9),INDEX('Sprint N°4'!$C$6:$P$6,BE$4-Resumen_Sprints!$E$9),0)</f>
        <v>0</v>
      </c>
      <c r="BF24" s="36">
        <f>IF(AND(BF$4&gt;Resumen_Sprints!$E$9,BF$4&lt;=Resumen_Sprints!$E$9+Resumen_Sprints!$D$9),INDEX('Sprint N°4'!$C$6:$P$6,BF$4-Resumen_Sprints!$E$9),0)</f>
        <v>0</v>
      </c>
      <c r="BG24" s="36">
        <f>IF(AND(BG$4&gt;Resumen_Sprints!$E$9,BG$4&lt;=Resumen_Sprints!$E$9+Resumen_Sprints!$D$9),INDEX('Sprint N°4'!$C$6:$P$6,BG$4-Resumen_Sprints!$E$9),0)</f>
        <v>0</v>
      </c>
      <c r="BH24" s="36">
        <f>IF(AND(BH$4&gt;Resumen_Sprints!$E$9,BH$4&lt;=Resumen_Sprints!$E$9+Resumen_Sprints!$D$9),INDEX('Sprint N°4'!$C$6:$P$6,BH$4-Resumen_Sprints!$E$9),0)</f>
        <v>0</v>
      </c>
      <c r="BI24" s="36">
        <f>IF(AND(BI$4&gt;Resumen_Sprints!$E$9,BI$4&lt;=Resumen_Sprints!$E$9+Resumen_Sprints!$D$9),INDEX('Sprint N°4'!$C$6:$P$6,BI$4-Resumen_Sprints!$E$9),0)</f>
        <v>0</v>
      </c>
      <c r="BJ24" s="36">
        <f>IF(AND(BJ$4&gt;Resumen_Sprints!$E$9,BJ$4&lt;=Resumen_Sprints!$E$9+Resumen_Sprints!$D$9),INDEX('Sprint N°4'!$C$6:$P$6,BJ$4-Resumen_Sprints!$E$9),0)</f>
        <v>0</v>
      </c>
      <c r="BK24" s="36">
        <f>IF(AND(BK$4&gt;Resumen_Sprints!$E$9,BK$4&lt;=Resumen_Sprints!$E$9+Resumen_Sprints!$D$9),INDEX('Sprint N°4'!$C$6:$P$6,BK$4-Resumen_Sprints!$E$9),0)</f>
        <v>0</v>
      </c>
      <c r="BL24" s="36">
        <f>IF(AND(BL$4&gt;Resumen_Sprints!$E$9,BL$4&lt;=Resumen_Sprints!$E$9+Resumen_Sprints!$D$9),INDEX('Sprint N°4'!$C$6:$P$6,BL$4-Resumen_Sprints!$E$9),0)</f>
        <v>0</v>
      </c>
      <c r="BM24" s="36">
        <f>IF(AND(BM$4&gt;Resumen_Sprints!$E$9,BM$4&lt;=Resumen_Sprints!$E$9+Resumen_Sprints!$D$9),INDEX('Sprint N°4'!$C$6:$P$6,BM$4-Resumen_Sprints!$E$9),0)</f>
        <v>0</v>
      </c>
      <c r="BN24" s="36">
        <f>IF(AND(BN$4&gt;Resumen_Sprints!$E$9,BN$4&lt;=Resumen_Sprints!$E$9+Resumen_Sprints!$D$9),INDEX('Sprint N°4'!$C$6:$P$6,BN$4-Resumen_Sprints!$E$9),0)</f>
        <v>0</v>
      </c>
      <c r="BO24" s="36">
        <f>IF(AND(BO$4&gt;Resumen_Sprints!$E$9,BO$4&lt;=Resumen_Sprints!$E$9+Resumen_Sprints!$D$9),INDEX('Sprint N°4'!$C$6:$P$6,BO$4-Resumen_Sprints!$E$9),0)</f>
        <v>0</v>
      </c>
      <c r="BP24" s="36">
        <f>IF(AND(BP$4&gt;Resumen_Sprints!$E$9,BP$4&lt;=Resumen_Sprints!$E$9+Resumen_Sprints!$D$9),INDEX('Sprint N°4'!$C$6:$P$6,BP$4-Resumen_Sprints!$E$9),0)</f>
        <v>0</v>
      </c>
      <c r="BQ24" s="36">
        <f>IF(AND(BQ$4&gt;Resumen_Sprints!$E$9,BQ$4&lt;=Resumen_Sprints!$E$9+Resumen_Sprints!$D$9),INDEX('Sprint N°4'!$C$6:$P$6,BQ$4-Resumen_Sprints!$E$9),0)</f>
        <v>0</v>
      </c>
      <c r="BR24" s="36">
        <f>IF(AND(BR$4&gt;Resumen_Sprints!$E$9,BR$4&lt;=Resumen_Sprints!$E$9+Resumen_Sprints!$D$9),INDEX('Sprint N°4'!$C$6:$P$6,BR$4-Resumen_Sprints!$E$9),0)</f>
        <v>0</v>
      </c>
      <c r="BS24" s="36">
        <f>IF(AND(BS$4&gt;Resumen_Sprints!$E$9,BS$4&lt;=Resumen_Sprints!$E$9+Resumen_Sprints!$D$9),INDEX('Sprint N°4'!$C$6:$P$6,BS$4-Resumen_Sprints!$E$9),0)</f>
        <v>0</v>
      </c>
      <c r="BT24" s="36">
        <f>IF(AND(BT$4&gt;Resumen_Sprints!$E$9,BT$4&lt;=Resumen_Sprints!$E$9+Resumen_Sprints!$D$9),INDEX('Sprint N°4'!$C$6:$P$6,BT$4-Resumen_Sprints!$E$9),0)</f>
        <v>0</v>
      </c>
      <c r="BU24" s="36">
        <f>IF(AND(BU$4&gt;Resumen_Sprints!$E$9,BU$4&lt;=Resumen_Sprints!$E$9+Resumen_Sprints!$D$9),INDEX('Sprint N°4'!$C$6:$P$6,BU$4-Resumen_Sprints!$E$9),0)</f>
        <v>0</v>
      </c>
      <c r="BV24" s="36">
        <f>IF(AND(BV$4&gt;Resumen_Sprints!$E$9,BV$4&lt;=Resumen_Sprints!$E$9+Resumen_Sprints!$D$9),INDEX('Sprint N°4'!$C$6:$P$6,BV$4-Resumen_Sprints!$E$9),0)</f>
        <v>0</v>
      </c>
      <c r="BW24" s="36">
        <f>IF(AND(BW$4&gt;Resumen_Sprints!$E$9,BW$4&lt;=Resumen_Sprints!$E$9+Resumen_Sprints!$D$9),INDEX('Sprint N°4'!$C$6:$P$6,BW$4-Resumen_Sprints!$E$9),0)</f>
        <v>0</v>
      </c>
      <c r="BX24" s="36">
        <f>IF(AND(BX$4&gt;Resumen_Sprints!$E$9,BX$4&lt;=Resumen_Sprints!$E$9+Resumen_Sprints!$D$9),INDEX('Sprint N°4'!$C$6:$P$6,BX$4-Resumen_Sprints!$E$9),0)</f>
        <v>0</v>
      </c>
      <c r="BY24" s="36">
        <f>IF(AND(BY$4&gt;Resumen_Sprints!$E$9,BY$4&lt;=Resumen_Sprints!$E$9+Resumen_Sprints!$D$9),INDEX('Sprint N°4'!$C$6:$P$6,BY$4-Resumen_Sprints!$E$9),0)</f>
        <v>0</v>
      </c>
      <c r="BZ24" s="36">
        <f>IF(AND(BZ$4&gt;Resumen_Sprints!$E$9,BZ$4&lt;=Resumen_Sprints!$E$9+Resumen_Sprints!$D$9),INDEX('Sprint N°4'!$C$6:$P$6,BZ$4-Resumen_Sprints!$E$9),0)</f>
        <v>0</v>
      </c>
      <c r="CA24" s="36">
        <f>IF(AND(CA$4&gt;Resumen_Sprints!$E$9,CA$4&lt;=Resumen_Sprints!$E$9+Resumen_Sprints!$D$9),INDEX('Sprint N°4'!$C$6:$P$6,CA$4-Resumen_Sprints!$E$9),0)</f>
        <v>0</v>
      </c>
      <c r="CB24" s="36">
        <f>IF(AND(CB$4&gt;Resumen_Sprints!$E$9,CB$4&lt;=Resumen_Sprints!$E$9+Resumen_Sprints!$D$9),INDEX('Sprint N°4'!$C$6:$P$6,CB$4-Resumen_Sprints!$E$9),0)</f>
        <v>0</v>
      </c>
      <c r="CC24" s="36">
        <f>IF(AND(CC$4&gt;Resumen_Sprints!$E$9,CC$4&lt;=Resumen_Sprints!$E$9+Resumen_Sprints!$D$9),INDEX('Sprint N°4'!$C$6:$P$6,CC$4-Resumen_Sprints!$E$9),0)</f>
        <v>0</v>
      </c>
      <c r="CD24" s="36">
        <f>IF(AND(CD$4&gt;Resumen_Sprints!$E$9,CD$4&lt;=Resumen_Sprints!$E$9+Resumen_Sprints!$D$9),INDEX('Sprint N°4'!$C$6:$P$6,CD$4-Resumen_Sprints!$E$9),0)</f>
        <v>0</v>
      </c>
      <c r="CE24" s="36">
        <f>IF(AND(CE$4&gt;Resumen_Sprints!$E$9,CE$4&lt;=Resumen_Sprints!$E$9+Resumen_Sprints!$D$9),INDEX('Sprint N°4'!$C$6:$P$6,CE$4-Resumen_Sprints!$E$9),0)</f>
        <v>0</v>
      </c>
      <c r="CF24" s="36">
        <f>IF(AND(CF$4&gt;Resumen_Sprints!$E$9,CF$4&lt;=Resumen_Sprints!$E$9+Resumen_Sprints!$D$9),INDEX('Sprint N°4'!$C$6:$P$6,CF$4-Resumen_Sprints!$E$9),0)</f>
        <v>0</v>
      </c>
      <c r="CG24" s="36">
        <f>IF(AND(CG$4&gt;Resumen_Sprints!$E$9,CG$4&lt;=Resumen_Sprints!$E$9+Resumen_Sprints!$D$9),INDEX('Sprint N°4'!$C$6:$P$6,CG$4-Resumen_Sprints!$E$9),0)</f>
        <v>0</v>
      </c>
      <c r="CH24" s="36">
        <f>IF(AND(CH$4&gt;Resumen_Sprints!$E$9,CH$4&lt;=Resumen_Sprints!$E$9+Resumen_Sprints!$D$9),INDEX('Sprint N°4'!$C$6:$P$6,CH$4-Resumen_Sprints!$E$9),0)</f>
        <v>0</v>
      </c>
      <c r="CI24" s="36">
        <f>IF(AND(CI$4&gt;Resumen_Sprints!$E$9,CI$4&lt;=Resumen_Sprints!$E$9+Resumen_Sprints!$D$9),INDEX('Sprint N°4'!$C$6:$P$6,CI$4-Resumen_Sprints!$E$9),0)</f>
        <v>0</v>
      </c>
      <c r="CJ24" s="36">
        <f>IF(AND(CJ$4&gt;Resumen_Sprints!$E$9,CJ$4&lt;=Resumen_Sprints!$E$9+Resumen_Sprints!$D$9),INDEX('Sprint N°4'!$C$6:$P$6,CJ$4-Resumen_Sprints!$E$9),0)</f>
        <v>0</v>
      </c>
      <c r="CK24" s="36">
        <f>IF(AND(CK$4&gt;Resumen_Sprints!$E$9,CK$4&lt;=Resumen_Sprints!$E$9+Resumen_Sprints!$D$9),INDEX('Sprint N°4'!$C$6:$P$6,CK$4-Resumen_Sprints!$E$9),0)</f>
        <v>0</v>
      </c>
      <c r="CL24" s="36">
        <f>IF(AND(CL$4&gt;Resumen_Sprints!$E$9,CL$4&lt;=Resumen_Sprints!$E$9+Resumen_Sprints!$D$9),INDEX('Sprint N°4'!$C$6:$P$6,CL$4-Resumen_Sprints!$E$9),0)</f>
        <v>0</v>
      </c>
      <c r="CM24" s="36">
        <f>IF(AND(CM$4&gt;Resumen_Sprints!$E$9,CM$4&lt;=Resumen_Sprints!$E$9+Resumen_Sprints!$D$9),INDEX('Sprint N°4'!$C$6:$P$6,CM$4-Resumen_Sprints!$E$9),0)</f>
        <v>0</v>
      </c>
      <c r="CN24" s="36">
        <f>IF(AND(CN$4&gt;Resumen_Sprints!$E$9,CN$4&lt;=Resumen_Sprints!$E$9+Resumen_Sprints!$D$9),INDEX('Sprint N°4'!$C$6:$P$6,CN$4-Resumen_Sprints!$E$9),0)</f>
        <v>0</v>
      </c>
      <c r="CO24" s="36">
        <f>IF(AND(CO$4&gt;Resumen_Sprints!$E$9,CO$4&lt;=Resumen_Sprints!$E$9+Resumen_Sprints!$D$9),INDEX('Sprint N°4'!$C$6:$P$6,CO$4-Resumen_Sprints!$E$9),0)</f>
        <v>0</v>
      </c>
      <c r="CP24" s="36">
        <f>IF(AND(CP$4&gt;Resumen_Sprints!$E$9,CP$4&lt;=Resumen_Sprints!$E$9+Resumen_Sprints!$D$9),INDEX('Sprint N°4'!$C$6:$P$6,CP$4-Resumen_Sprints!$E$9),0)</f>
        <v>0</v>
      </c>
      <c r="CQ24" s="36">
        <f>IF(AND(CQ$4&gt;Resumen_Sprints!$E$9,CQ$4&lt;=Resumen_Sprints!$E$9+Resumen_Sprints!$D$9),INDEX('Sprint N°4'!$C$6:$P$6,CQ$4-Resumen_Sprints!$E$9),0)</f>
        <v>0</v>
      </c>
      <c r="CR24" s="36">
        <f>IF(AND(CR$4&gt;Resumen_Sprints!$E$9,CR$4&lt;=Resumen_Sprints!$E$9+Resumen_Sprints!$D$9),INDEX('Sprint N°4'!$C$6:$P$6,CR$4-Resumen_Sprints!$E$9),0)</f>
        <v>0</v>
      </c>
      <c r="CS24" s="36">
        <f>IF(AND(CS$4&gt;Resumen_Sprints!$E$9,CS$4&lt;=Resumen_Sprints!$E$9+Resumen_Sprints!$D$9),INDEX('Sprint N°4'!$C$6:$P$6,CS$4-Resumen_Sprints!$E$9),0)</f>
        <v>0</v>
      </c>
      <c r="CT24" s="36">
        <f>IF(AND(CT$4&gt;Resumen_Sprints!$E$9,CT$4&lt;=Resumen_Sprints!$E$9+Resumen_Sprints!$D$9),INDEX('Sprint N°4'!$C$6:$P$6,CT$4-Resumen_Sprints!$E$9),0)</f>
        <v>0</v>
      </c>
      <c r="CU24" s="10">
        <f>SUM(C24:CT24)</f>
        <v>1</v>
      </c>
    </row>
    <row r="25" spans="1:99" x14ac:dyDescent="0.3">
      <c r="A25" s="22" t="str">
        <f>'Sprint N°4'!A7</f>
        <v>Algoritmo de Cubicación (cálculo de materiales)</v>
      </c>
      <c r="B25" s="22">
        <f>'Sprint N°4'!B7</f>
        <v>39</v>
      </c>
      <c r="C25" s="36">
        <f>IF(AND(C$4&gt;Resumen_Sprints!$E$9,C$4&lt;=Resumen_Sprints!$E$9+Resumen_Sprints!$D$9),INDEX('Sprint N°4'!$C$7:$P$7,C$4-Resumen_Sprints!$E$9),0)</f>
        <v>0</v>
      </c>
      <c r="D25" s="36">
        <f>IF(AND(D$4&gt;Resumen_Sprints!$E$9,D$4&lt;=Resumen_Sprints!$E$9+Resumen_Sprints!$D$9),INDEX('Sprint N°4'!$C$7:$P$7,D$4-Resumen_Sprints!$E$9),0)</f>
        <v>0</v>
      </c>
      <c r="E25" s="36">
        <f>IF(AND(E$4&gt;Resumen_Sprints!$E$9,E$4&lt;=Resumen_Sprints!$E$9+Resumen_Sprints!$D$9),INDEX('Sprint N°4'!$C$7:$P$7,E$4-Resumen_Sprints!$E$9),0)</f>
        <v>0</v>
      </c>
      <c r="F25" s="36">
        <f>IF(AND(F$4&gt;Resumen_Sprints!$E$9,F$4&lt;=Resumen_Sprints!$E$9+Resumen_Sprints!$D$9),INDEX('Sprint N°4'!$C$7:$P$7,F$4-Resumen_Sprints!$E$9),0)</f>
        <v>0</v>
      </c>
      <c r="G25" s="36">
        <f>IF(AND(G$4&gt;Resumen_Sprints!$E$9,G$4&lt;=Resumen_Sprints!$E$9+Resumen_Sprints!$D$9),INDEX('Sprint N°4'!$C$7:$P$7,G$4-Resumen_Sprints!$E$9),0)</f>
        <v>0</v>
      </c>
      <c r="H25" s="36">
        <f>IF(AND(H$4&gt;Resumen_Sprints!$E$9,H$4&lt;=Resumen_Sprints!$E$9+Resumen_Sprints!$D$9),INDEX('Sprint N°4'!$C$7:$P$7,H$4-Resumen_Sprints!$E$9),0)</f>
        <v>0</v>
      </c>
      <c r="I25" s="36">
        <f>IF(AND(I$4&gt;Resumen_Sprints!$E$9,I$4&lt;=Resumen_Sprints!$E$9+Resumen_Sprints!$D$9),INDEX('Sprint N°4'!$C$7:$P$7,I$4-Resumen_Sprints!$E$9),0)</f>
        <v>0</v>
      </c>
      <c r="J25" s="36">
        <f>IF(AND(J$4&gt;Resumen_Sprints!$E$9,J$4&lt;=Resumen_Sprints!$E$9+Resumen_Sprints!$D$9),INDEX('Sprint N°4'!$C$7:$P$7,J$4-Resumen_Sprints!$E$9),0)</f>
        <v>0</v>
      </c>
      <c r="K25" s="36">
        <f>IF(AND(K$4&gt;Resumen_Sprints!$E$9,K$4&lt;=Resumen_Sprints!$E$9+Resumen_Sprints!$D$9),INDEX('Sprint N°4'!$C$7:$P$7,K$4-Resumen_Sprints!$E$9),0)</f>
        <v>0</v>
      </c>
      <c r="L25" s="36">
        <f>IF(AND(L$4&gt;Resumen_Sprints!$E$9,L$4&lt;=Resumen_Sprints!$E$9+Resumen_Sprints!$D$9),INDEX('Sprint N°4'!$C$7:$P$7,L$4-Resumen_Sprints!$E$9),0)</f>
        <v>0</v>
      </c>
      <c r="M25" s="36">
        <f>IF(AND(M$4&gt;Resumen_Sprints!$E$9,M$4&lt;=Resumen_Sprints!$E$9+Resumen_Sprints!$D$9),INDEX('Sprint N°4'!$C$7:$P$7,M$4-Resumen_Sprints!$E$9),0)</f>
        <v>0</v>
      </c>
      <c r="N25" s="36">
        <f>IF(AND(N$4&gt;Resumen_Sprints!$E$9,N$4&lt;=Resumen_Sprints!$E$9+Resumen_Sprints!$D$9),INDEX('Sprint N°4'!$C$7:$P$7,N$4-Resumen_Sprints!$E$9),0)</f>
        <v>0</v>
      </c>
      <c r="O25" s="36">
        <f>IF(AND(O$4&gt;Resumen_Sprints!$E$9,O$4&lt;=Resumen_Sprints!$E$9+Resumen_Sprints!$D$9),INDEX('Sprint N°4'!$C$7:$P$7,O$4-Resumen_Sprints!$E$9),0)</f>
        <v>0</v>
      </c>
      <c r="P25" s="36">
        <f>IF(AND(P$4&gt;Resumen_Sprints!$E$9,P$4&lt;=Resumen_Sprints!$E$9+Resumen_Sprints!$D$9),INDEX('Sprint N°4'!$C$7:$P$7,P$4-Resumen_Sprints!$E$9),0)</f>
        <v>0</v>
      </c>
      <c r="Q25" s="36">
        <f>IF(AND(Q$4&gt;Resumen_Sprints!$E$9,Q$4&lt;=Resumen_Sprints!$E$9+Resumen_Sprints!$D$9),INDEX('Sprint N°4'!$C$7:$P$7,Q$4-Resumen_Sprints!$E$9),0)</f>
        <v>0</v>
      </c>
      <c r="R25" s="36">
        <f>IF(AND(R$4&gt;Resumen_Sprints!$E$9,R$4&lt;=Resumen_Sprints!$E$9+Resumen_Sprints!$D$9),INDEX('Sprint N°4'!$C$7:$P$7,R$4-Resumen_Sprints!$E$9),0)</f>
        <v>0</v>
      </c>
      <c r="S25" s="36">
        <f>IF(AND(S$4&gt;Resumen_Sprints!$E$9,S$4&lt;=Resumen_Sprints!$E$9+Resumen_Sprints!$D$9),INDEX('Sprint N°4'!$C$7:$P$7,S$4-Resumen_Sprints!$E$9),0)</f>
        <v>0</v>
      </c>
      <c r="T25" s="36">
        <f>IF(AND(T$4&gt;Resumen_Sprints!$E$9,T$4&lt;=Resumen_Sprints!$E$9+Resumen_Sprints!$D$9),INDEX('Sprint N°4'!$C$7:$P$7,T$4-Resumen_Sprints!$E$9),0)</f>
        <v>0</v>
      </c>
      <c r="U25" s="36">
        <f>IF(AND(U$4&gt;Resumen_Sprints!$E$9,U$4&lt;=Resumen_Sprints!$E$9+Resumen_Sprints!$D$9),INDEX('Sprint N°4'!$C$7:$P$7,U$4-Resumen_Sprints!$E$9),0)</f>
        <v>0</v>
      </c>
      <c r="V25" s="36">
        <f>IF(AND(V$4&gt;Resumen_Sprints!$E$9,V$4&lt;=Resumen_Sprints!$E$9+Resumen_Sprints!$D$9),INDEX('Sprint N°4'!$C$7:$P$7,V$4-Resumen_Sprints!$E$9),0)</f>
        <v>0</v>
      </c>
      <c r="W25" s="36">
        <f>IF(AND(W$4&gt;Resumen_Sprints!$E$9,W$4&lt;=Resumen_Sprints!$E$9+Resumen_Sprints!$D$9),INDEX('Sprint N°4'!$C$7:$P$7,W$4-Resumen_Sprints!$E$9),0)</f>
        <v>0</v>
      </c>
      <c r="X25" s="36">
        <f>IF(AND(X$4&gt;Resumen_Sprints!$E$9,X$4&lt;=Resumen_Sprints!$E$9+Resumen_Sprints!$D$9),INDEX('Sprint N°4'!$C$7:$P$7,X$4-Resumen_Sprints!$E$9),0)</f>
        <v>0</v>
      </c>
      <c r="Y25" s="36">
        <f>IF(AND(Y$4&gt;Resumen_Sprints!$E$9,Y$4&lt;=Resumen_Sprints!$E$9+Resumen_Sprints!$D$9),INDEX('Sprint N°4'!$C$7:$P$7,Y$4-Resumen_Sprints!$E$9),0)</f>
        <v>0</v>
      </c>
      <c r="Z25" s="36">
        <f>IF(AND(Z$4&gt;Resumen_Sprints!$E$9,Z$4&lt;=Resumen_Sprints!$E$9+Resumen_Sprints!$D$9),INDEX('Sprint N°4'!$C$7:$P$7,Z$4-Resumen_Sprints!$E$9),0)</f>
        <v>0</v>
      </c>
      <c r="AA25" s="36">
        <f>IF(AND(AA$4&gt;Resumen_Sprints!$E$9,AA$4&lt;=Resumen_Sprints!$E$9+Resumen_Sprints!$D$9),INDEX('Sprint N°4'!$C$7:$P$7,AA$4-Resumen_Sprints!$E$9),0)</f>
        <v>0</v>
      </c>
      <c r="AB25" s="36">
        <f>IF(AND(AB$4&gt;Resumen_Sprints!$E$9,AB$4&lt;=Resumen_Sprints!$E$9+Resumen_Sprints!$D$9),INDEX('Sprint N°4'!$C$7:$P$7,AB$4-Resumen_Sprints!$E$9),0)</f>
        <v>0</v>
      </c>
      <c r="AC25" s="36">
        <f>IF(AND(AC$4&gt;Resumen_Sprints!$E$9,AC$4&lt;=Resumen_Sprints!$E$9+Resumen_Sprints!$D$9),INDEX('Sprint N°4'!$C$7:$P$7,AC$4-Resumen_Sprints!$E$9),0)</f>
        <v>0</v>
      </c>
      <c r="AD25" s="36">
        <f>IF(AND(AD$4&gt;Resumen_Sprints!$E$9,AD$4&lt;=Resumen_Sprints!$E$9+Resumen_Sprints!$D$9),INDEX('Sprint N°4'!$C$7:$P$7,AD$4-Resumen_Sprints!$E$9),0)</f>
        <v>4</v>
      </c>
      <c r="AE25" s="36">
        <f>IF(AND(AE$4&gt;Resumen_Sprints!$E$9,AE$4&lt;=Resumen_Sprints!$E$9+Resumen_Sprints!$D$9),INDEX('Sprint N°4'!$C$7:$P$7,AE$4-Resumen_Sprints!$E$9),0)</f>
        <v>5</v>
      </c>
      <c r="AF25" s="36">
        <f>IF(AND(AF$4&gt;Resumen_Sprints!$E$9,AF$4&lt;=Resumen_Sprints!$E$9+Resumen_Sprints!$D$9),INDEX('Sprint N°4'!$C$7:$P$7,AF$4-Resumen_Sprints!$E$9),0)</f>
        <v>5</v>
      </c>
      <c r="AG25" s="36">
        <f>IF(AND(AG$4&gt;Resumen_Sprints!$E$9,AG$4&lt;=Resumen_Sprints!$E$9+Resumen_Sprints!$D$9),INDEX('Sprint N°4'!$C$7:$P$7,AG$4-Resumen_Sprints!$E$9),0)</f>
        <v>7</v>
      </c>
      <c r="AH25" s="36">
        <f>IF(AND(AH$4&gt;Resumen_Sprints!$E$9,AH$4&lt;=Resumen_Sprints!$E$9+Resumen_Sprints!$D$9),INDEX('Sprint N°4'!$C$7:$P$7,AH$4-Resumen_Sprints!$E$9),0)</f>
        <v>6</v>
      </c>
      <c r="AI25" s="36">
        <f>IF(AND(AI$4&gt;Resumen_Sprints!$E$9,AI$4&lt;=Resumen_Sprints!$E$9+Resumen_Sprints!$D$9),INDEX('Sprint N°4'!$C$7:$P$7,AI$4-Resumen_Sprints!$E$9),0)</f>
        <v>7</v>
      </c>
      <c r="AJ25" s="36">
        <f>IF(AND(AJ$4&gt;Resumen_Sprints!$E$9,AJ$4&lt;=Resumen_Sprints!$E$9+Resumen_Sprints!$D$9),INDEX('Sprint N°4'!$C$7:$P$7,AJ$4-Resumen_Sprints!$E$9),0)</f>
        <v>4</v>
      </c>
      <c r="AK25" s="36">
        <f>IF(AND(AK$4&gt;Resumen_Sprints!$E$9,AK$4&lt;=Resumen_Sprints!$E$9+Resumen_Sprints!$D$9),INDEX('Sprint N°4'!$C$7:$P$7,AK$4-Resumen_Sprints!$E$9),0)</f>
        <v>0</v>
      </c>
      <c r="AL25" s="36">
        <f>IF(AND(AL$4&gt;Resumen_Sprints!$E$9,AL$4&lt;=Resumen_Sprints!$E$9+Resumen_Sprints!$D$9),INDEX('Sprint N°4'!$C$7:$P$7,AL$4-Resumen_Sprints!$E$9),0)</f>
        <v>0</v>
      </c>
      <c r="AM25" s="36">
        <f>IF(AND(AM$4&gt;Resumen_Sprints!$E$9,AM$4&lt;=Resumen_Sprints!$E$9+Resumen_Sprints!$D$9),INDEX('Sprint N°4'!$C$7:$P$7,AM$4-Resumen_Sprints!$E$9),0)</f>
        <v>0</v>
      </c>
      <c r="AN25" s="36">
        <f>IF(AND(AN$4&gt;Resumen_Sprints!$E$9,AN$4&lt;=Resumen_Sprints!$E$9+Resumen_Sprints!$D$9),INDEX('Sprint N°4'!$C$7:$P$7,AN$4-Resumen_Sprints!$E$9),0)</f>
        <v>0</v>
      </c>
      <c r="AO25" s="36">
        <f>IF(AND(AO$4&gt;Resumen_Sprints!$E$9,AO$4&lt;=Resumen_Sprints!$E$9+Resumen_Sprints!$D$9),INDEX('Sprint N°4'!$C$7:$P$7,AO$4-Resumen_Sprints!$E$9),0)</f>
        <v>0</v>
      </c>
      <c r="AP25" s="36">
        <f>IF(AND(AP$4&gt;Resumen_Sprints!$E$9,AP$4&lt;=Resumen_Sprints!$E$9+Resumen_Sprints!$D$9),INDEX('Sprint N°4'!$C$7:$P$7,AP$4-Resumen_Sprints!$E$9),0)</f>
        <v>0</v>
      </c>
      <c r="AQ25" s="36">
        <f>IF(AND(AQ$4&gt;Resumen_Sprints!$E$9,AQ$4&lt;=Resumen_Sprints!$E$9+Resumen_Sprints!$D$9),INDEX('Sprint N°4'!$C$7:$P$7,AQ$4-Resumen_Sprints!$E$9),0)</f>
        <v>0</v>
      </c>
      <c r="AR25" s="36">
        <f>IF(AND(AR$4&gt;Resumen_Sprints!$E$9,AR$4&lt;=Resumen_Sprints!$E$9+Resumen_Sprints!$D$9),INDEX('Sprint N°4'!$C$7:$P$7,AR$4-Resumen_Sprints!$E$9),0)</f>
        <v>0</v>
      </c>
      <c r="AS25" s="36">
        <f>IF(AND(AS$4&gt;Resumen_Sprints!$E$9,AS$4&lt;=Resumen_Sprints!$E$9+Resumen_Sprints!$D$9),INDEX('Sprint N°4'!$C$7:$P$7,AS$4-Resumen_Sprints!$E$9),0)</f>
        <v>0</v>
      </c>
      <c r="AT25" s="36">
        <f>IF(AND(AT$4&gt;Resumen_Sprints!$E$9,AT$4&lt;=Resumen_Sprints!$E$9+Resumen_Sprints!$D$9),INDEX('Sprint N°4'!$C$7:$P$7,AT$4-Resumen_Sprints!$E$9),0)</f>
        <v>0</v>
      </c>
      <c r="AU25" s="36">
        <f>IF(AND(AU$4&gt;Resumen_Sprints!$E$9,AU$4&lt;=Resumen_Sprints!$E$9+Resumen_Sprints!$D$9),INDEX('Sprint N°4'!$C$7:$P$7,AU$4-Resumen_Sprints!$E$9),0)</f>
        <v>0</v>
      </c>
      <c r="AV25" s="36">
        <f>IF(AND(AV$4&gt;Resumen_Sprints!$E$9,AV$4&lt;=Resumen_Sprints!$E$9+Resumen_Sprints!$D$9),INDEX('Sprint N°4'!$C$7:$P$7,AV$4-Resumen_Sprints!$E$9),0)</f>
        <v>0</v>
      </c>
      <c r="AW25" s="36">
        <f>IF(AND(AW$4&gt;Resumen_Sprints!$E$9,AW$4&lt;=Resumen_Sprints!$E$9+Resumen_Sprints!$D$9),INDEX('Sprint N°4'!$C$7:$P$7,AW$4-Resumen_Sprints!$E$9),0)</f>
        <v>0</v>
      </c>
      <c r="AX25" s="36">
        <f>IF(AND(AX$4&gt;Resumen_Sprints!$E$9,AX$4&lt;=Resumen_Sprints!$E$9+Resumen_Sprints!$D$9),INDEX('Sprint N°4'!$C$7:$P$7,AX$4-Resumen_Sprints!$E$9),0)</f>
        <v>0</v>
      </c>
      <c r="AY25" s="36">
        <f>IF(AND(AY$4&gt;Resumen_Sprints!$E$9,AY$4&lt;=Resumen_Sprints!$E$9+Resumen_Sprints!$D$9),INDEX('Sprint N°4'!$C$7:$P$7,AY$4-Resumen_Sprints!$E$9),0)</f>
        <v>0</v>
      </c>
      <c r="AZ25" s="36">
        <f>IF(AND(AZ$4&gt;Resumen_Sprints!$E$9,AZ$4&lt;=Resumen_Sprints!$E$9+Resumen_Sprints!$D$9),INDEX('Sprint N°4'!$C$7:$P$7,AZ$4-Resumen_Sprints!$E$9),0)</f>
        <v>0</v>
      </c>
      <c r="BA25" s="36">
        <f>IF(AND(BA$4&gt;Resumen_Sprints!$E$9,BA$4&lt;=Resumen_Sprints!$E$9+Resumen_Sprints!$D$9),INDEX('Sprint N°4'!$C$7:$P$7,BA$4-Resumen_Sprints!$E$9),0)</f>
        <v>0</v>
      </c>
      <c r="BB25" s="36">
        <f>IF(AND(BB$4&gt;Resumen_Sprints!$E$9,BB$4&lt;=Resumen_Sprints!$E$9+Resumen_Sprints!$D$9),INDEX('Sprint N°4'!$C$7:$P$7,BB$4-Resumen_Sprints!$E$9),0)</f>
        <v>0</v>
      </c>
      <c r="BC25" s="36">
        <f>IF(AND(BC$4&gt;Resumen_Sprints!$E$9,BC$4&lt;=Resumen_Sprints!$E$9+Resumen_Sprints!$D$9),INDEX('Sprint N°4'!$C$7:$P$7,BC$4-Resumen_Sprints!$E$9),0)</f>
        <v>0</v>
      </c>
      <c r="BD25" s="36">
        <f>IF(AND(BD$4&gt;Resumen_Sprints!$E$9,BD$4&lt;=Resumen_Sprints!$E$9+Resumen_Sprints!$D$9),INDEX('Sprint N°4'!$C$7:$P$7,BD$4-Resumen_Sprints!$E$9),0)</f>
        <v>0</v>
      </c>
      <c r="BE25" s="36">
        <f>IF(AND(BE$4&gt;Resumen_Sprints!$E$9,BE$4&lt;=Resumen_Sprints!$E$9+Resumen_Sprints!$D$9),INDEX('Sprint N°4'!$C$7:$P$7,BE$4-Resumen_Sprints!$E$9),0)</f>
        <v>0</v>
      </c>
      <c r="BF25" s="36">
        <f>IF(AND(BF$4&gt;Resumen_Sprints!$E$9,BF$4&lt;=Resumen_Sprints!$E$9+Resumen_Sprints!$D$9),INDEX('Sprint N°4'!$C$7:$P$7,BF$4-Resumen_Sprints!$E$9),0)</f>
        <v>0</v>
      </c>
      <c r="BG25" s="36">
        <f>IF(AND(BG$4&gt;Resumen_Sprints!$E$9,BG$4&lt;=Resumen_Sprints!$E$9+Resumen_Sprints!$D$9),INDEX('Sprint N°4'!$C$7:$P$7,BG$4-Resumen_Sprints!$E$9),0)</f>
        <v>0</v>
      </c>
      <c r="BH25" s="36">
        <f>IF(AND(BH$4&gt;Resumen_Sprints!$E$9,BH$4&lt;=Resumen_Sprints!$E$9+Resumen_Sprints!$D$9),INDEX('Sprint N°4'!$C$7:$P$7,BH$4-Resumen_Sprints!$E$9),0)</f>
        <v>0</v>
      </c>
      <c r="BI25" s="36">
        <f>IF(AND(BI$4&gt;Resumen_Sprints!$E$9,BI$4&lt;=Resumen_Sprints!$E$9+Resumen_Sprints!$D$9),INDEX('Sprint N°4'!$C$7:$P$7,BI$4-Resumen_Sprints!$E$9),0)</f>
        <v>0</v>
      </c>
      <c r="BJ25" s="36">
        <f>IF(AND(BJ$4&gt;Resumen_Sprints!$E$9,BJ$4&lt;=Resumen_Sprints!$E$9+Resumen_Sprints!$D$9),INDEX('Sprint N°4'!$C$7:$P$7,BJ$4-Resumen_Sprints!$E$9),0)</f>
        <v>0</v>
      </c>
      <c r="BK25" s="36">
        <f>IF(AND(BK$4&gt;Resumen_Sprints!$E$9,BK$4&lt;=Resumen_Sprints!$E$9+Resumen_Sprints!$D$9),INDEX('Sprint N°4'!$C$7:$P$7,BK$4-Resumen_Sprints!$E$9),0)</f>
        <v>0</v>
      </c>
      <c r="BL25" s="36">
        <f>IF(AND(BL$4&gt;Resumen_Sprints!$E$9,BL$4&lt;=Resumen_Sprints!$E$9+Resumen_Sprints!$D$9),INDEX('Sprint N°4'!$C$7:$P$7,BL$4-Resumen_Sprints!$E$9),0)</f>
        <v>0</v>
      </c>
      <c r="BM25" s="36">
        <f>IF(AND(BM$4&gt;Resumen_Sprints!$E$9,BM$4&lt;=Resumen_Sprints!$E$9+Resumen_Sprints!$D$9),INDEX('Sprint N°4'!$C$7:$P$7,BM$4-Resumen_Sprints!$E$9),0)</f>
        <v>0</v>
      </c>
      <c r="BN25" s="36">
        <f>IF(AND(BN$4&gt;Resumen_Sprints!$E$9,BN$4&lt;=Resumen_Sprints!$E$9+Resumen_Sprints!$D$9),INDEX('Sprint N°4'!$C$7:$P$7,BN$4-Resumen_Sprints!$E$9),0)</f>
        <v>0</v>
      </c>
      <c r="BO25" s="36">
        <f>IF(AND(BO$4&gt;Resumen_Sprints!$E$9,BO$4&lt;=Resumen_Sprints!$E$9+Resumen_Sprints!$D$9),INDEX('Sprint N°4'!$C$7:$P$7,BO$4-Resumen_Sprints!$E$9),0)</f>
        <v>0</v>
      </c>
      <c r="BP25" s="36">
        <f>IF(AND(BP$4&gt;Resumen_Sprints!$E$9,BP$4&lt;=Resumen_Sprints!$E$9+Resumen_Sprints!$D$9),INDEX('Sprint N°4'!$C$7:$P$7,BP$4-Resumen_Sprints!$E$9),0)</f>
        <v>0</v>
      </c>
      <c r="BQ25" s="36">
        <f>IF(AND(BQ$4&gt;Resumen_Sprints!$E$9,BQ$4&lt;=Resumen_Sprints!$E$9+Resumen_Sprints!$D$9),INDEX('Sprint N°4'!$C$7:$P$7,BQ$4-Resumen_Sprints!$E$9),0)</f>
        <v>0</v>
      </c>
      <c r="BR25" s="36">
        <f>IF(AND(BR$4&gt;Resumen_Sprints!$E$9,BR$4&lt;=Resumen_Sprints!$E$9+Resumen_Sprints!$D$9),INDEX('Sprint N°4'!$C$7:$P$7,BR$4-Resumen_Sprints!$E$9),0)</f>
        <v>0</v>
      </c>
      <c r="BS25" s="36">
        <f>IF(AND(BS$4&gt;Resumen_Sprints!$E$9,BS$4&lt;=Resumen_Sprints!$E$9+Resumen_Sprints!$D$9),INDEX('Sprint N°4'!$C$7:$P$7,BS$4-Resumen_Sprints!$E$9),0)</f>
        <v>0</v>
      </c>
      <c r="BT25" s="36">
        <f>IF(AND(BT$4&gt;Resumen_Sprints!$E$9,BT$4&lt;=Resumen_Sprints!$E$9+Resumen_Sprints!$D$9),INDEX('Sprint N°4'!$C$7:$P$7,BT$4-Resumen_Sprints!$E$9),0)</f>
        <v>0</v>
      </c>
      <c r="BU25" s="36">
        <f>IF(AND(BU$4&gt;Resumen_Sprints!$E$9,BU$4&lt;=Resumen_Sprints!$E$9+Resumen_Sprints!$D$9),INDEX('Sprint N°4'!$C$7:$P$7,BU$4-Resumen_Sprints!$E$9),0)</f>
        <v>0</v>
      </c>
      <c r="BV25" s="36">
        <f>IF(AND(BV$4&gt;Resumen_Sprints!$E$9,BV$4&lt;=Resumen_Sprints!$E$9+Resumen_Sprints!$D$9),INDEX('Sprint N°4'!$C$7:$P$7,BV$4-Resumen_Sprints!$E$9),0)</f>
        <v>0</v>
      </c>
      <c r="BW25" s="36">
        <f>IF(AND(BW$4&gt;Resumen_Sprints!$E$9,BW$4&lt;=Resumen_Sprints!$E$9+Resumen_Sprints!$D$9),INDEX('Sprint N°4'!$C$7:$P$7,BW$4-Resumen_Sprints!$E$9),0)</f>
        <v>0</v>
      </c>
      <c r="BX25" s="36">
        <f>IF(AND(BX$4&gt;Resumen_Sprints!$E$9,BX$4&lt;=Resumen_Sprints!$E$9+Resumen_Sprints!$D$9),INDEX('Sprint N°4'!$C$7:$P$7,BX$4-Resumen_Sprints!$E$9),0)</f>
        <v>0</v>
      </c>
      <c r="BY25" s="36">
        <f>IF(AND(BY$4&gt;Resumen_Sprints!$E$9,BY$4&lt;=Resumen_Sprints!$E$9+Resumen_Sprints!$D$9),INDEX('Sprint N°4'!$C$7:$P$7,BY$4-Resumen_Sprints!$E$9),0)</f>
        <v>0</v>
      </c>
      <c r="BZ25" s="36">
        <f>IF(AND(BZ$4&gt;Resumen_Sprints!$E$9,BZ$4&lt;=Resumen_Sprints!$E$9+Resumen_Sprints!$D$9),INDEX('Sprint N°4'!$C$7:$P$7,BZ$4-Resumen_Sprints!$E$9),0)</f>
        <v>0</v>
      </c>
      <c r="CA25" s="36">
        <f>IF(AND(CA$4&gt;Resumen_Sprints!$E$9,CA$4&lt;=Resumen_Sprints!$E$9+Resumen_Sprints!$D$9),INDEX('Sprint N°4'!$C$7:$P$7,CA$4-Resumen_Sprints!$E$9),0)</f>
        <v>0</v>
      </c>
      <c r="CB25" s="36">
        <f>IF(AND(CB$4&gt;Resumen_Sprints!$E$9,CB$4&lt;=Resumen_Sprints!$E$9+Resumen_Sprints!$D$9),INDEX('Sprint N°4'!$C$7:$P$7,CB$4-Resumen_Sprints!$E$9),0)</f>
        <v>0</v>
      </c>
      <c r="CC25" s="36">
        <f>IF(AND(CC$4&gt;Resumen_Sprints!$E$9,CC$4&lt;=Resumen_Sprints!$E$9+Resumen_Sprints!$D$9),INDEX('Sprint N°4'!$C$7:$P$7,CC$4-Resumen_Sprints!$E$9),0)</f>
        <v>0</v>
      </c>
      <c r="CD25" s="36">
        <f>IF(AND(CD$4&gt;Resumen_Sprints!$E$9,CD$4&lt;=Resumen_Sprints!$E$9+Resumen_Sprints!$D$9),INDEX('Sprint N°4'!$C$7:$P$7,CD$4-Resumen_Sprints!$E$9),0)</f>
        <v>0</v>
      </c>
      <c r="CE25" s="36">
        <f>IF(AND(CE$4&gt;Resumen_Sprints!$E$9,CE$4&lt;=Resumen_Sprints!$E$9+Resumen_Sprints!$D$9),INDEX('Sprint N°4'!$C$7:$P$7,CE$4-Resumen_Sprints!$E$9),0)</f>
        <v>0</v>
      </c>
      <c r="CF25" s="36">
        <f>IF(AND(CF$4&gt;Resumen_Sprints!$E$9,CF$4&lt;=Resumen_Sprints!$E$9+Resumen_Sprints!$D$9),INDEX('Sprint N°4'!$C$7:$P$7,CF$4-Resumen_Sprints!$E$9),0)</f>
        <v>0</v>
      </c>
      <c r="CG25" s="36">
        <f>IF(AND(CG$4&gt;Resumen_Sprints!$E$9,CG$4&lt;=Resumen_Sprints!$E$9+Resumen_Sprints!$D$9),INDEX('Sprint N°4'!$C$7:$P$7,CG$4-Resumen_Sprints!$E$9),0)</f>
        <v>0</v>
      </c>
      <c r="CH25" s="36">
        <f>IF(AND(CH$4&gt;Resumen_Sprints!$E$9,CH$4&lt;=Resumen_Sprints!$E$9+Resumen_Sprints!$D$9),INDEX('Sprint N°4'!$C$7:$P$7,CH$4-Resumen_Sprints!$E$9),0)</f>
        <v>0</v>
      </c>
      <c r="CI25" s="36">
        <f>IF(AND(CI$4&gt;Resumen_Sprints!$E$9,CI$4&lt;=Resumen_Sprints!$E$9+Resumen_Sprints!$D$9),INDEX('Sprint N°4'!$C$7:$P$7,CI$4-Resumen_Sprints!$E$9),0)</f>
        <v>0</v>
      </c>
      <c r="CJ25" s="36">
        <f>IF(AND(CJ$4&gt;Resumen_Sprints!$E$9,CJ$4&lt;=Resumen_Sprints!$E$9+Resumen_Sprints!$D$9),INDEX('Sprint N°4'!$C$7:$P$7,CJ$4-Resumen_Sprints!$E$9),0)</f>
        <v>0</v>
      </c>
      <c r="CK25" s="36">
        <f>IF(AND(CK$4&gt;Resumen_Sprints!$E$9,CK$4&lt;=Resumen_Sprints!$E$9+Resumen_Sprints!$D$9),INDEX('Sprint N°4'!$C$7:$P$7,CK$4-Resumen_Sprints!$E$9),0)</f>
        <v>0</v>
      </c>
      <c r="CL25" s="36">
        <f>IF(AND(CL$4&gt;Resumen_Sprints!$E$9,CL$4&lt;=Resumen_Sprints!$E$9+Resumen_Sprints!$D$9),INDEX('Sprint N°4'!$C$7:$P$7,CL$4-Resumen_Sprints!$E$9),0)</f>
        <v>0</v>
      </c>
      <c r="CM25" s="36">
        <f>IF(AND(CM$4&gt;Resumen_Sprints!$E$9,CM$4&lt;=Resumen_Sprints!$E$9+Resumen_Sprints!$D$9),INDEX('Sprint N°4'!$C$7:$P$7,CM$4-Resumen_Sprints!$E$9),0)</f>
        <v>0</v>
      </c>
      <c r="CN25" s="36">
        <f>IF(AND(CN$4&gt;Resumen_Sprints!$E$9,CN$4&lt;=Resumen_Sprints!$E$9+Resumen_Sprints!$D$9),INDEX('Sprint N°4'!$C$7:$P$7,CN$4-Resumen_Sprints!$E$9),0)</f>
        <v>0</v>
      </c>
      <c r="CO25" s="36">
        <f>IF(AND(CO$4&gt;Resumen_Sprints!$E$9,CO$4&lt;=Resumen_Sprints!$E$9+Resumen_Sprints!$D$9),INDEX('Sprint N°4'!$C$7:$P$7,CO$4-Resumen_Sprints!$E$9),0)</f>
        <v>0</v>
      </c>
      <c r="CP25" s="36">
        <f>IF(AND(CP$4&gt;Resumen_Sprints!$E$9,CP$4&lt;=Resumen_Sprints!$E$9+Resumen_Sprints!$D$9),INDEX('Sprint N°4'!$C$7:$P$7,CP$4-Resumen_Sprints!$E$9),0)</f>
        <v>0</v>
      </c>
      <c r="CQ25" s="36">
        <f>IF(AND(CQ$4&gt;Resumen_Sprints!$E$9,CQ$4&lt;=Resumen_Sprints!$E$9+Resumen_Sprints!$D$9),INDEX('Sprint N°4'!$C$7:$P$7,CQ$4-Resumen_Sprints!$E$9),0)</f>
        <v>0</v>
      </c>
      <c r="CR25" s="36">
        <f>IF(AND(CR$4&gt;Resumen_Sprints!$E$9,CR$4&lt;=Resumen_Sprints!$E$9+Resumen_Sprints!$D$9),INDEX('Sprint N°4'!$C$7:$P$7,CR$4-Resumen_Sprints!$E$9),0)</f>
        <v>0</v>
      </c>
      <c r="CS25" s="36">
        <f>IF(AND(CS$4&gt;Resumen_Sprints!$E$9,CS$4&lt;=Resumen_Sprints!$E$9+Resumen_Sprints!$D$9),INDEX('Sprint N°4'!$C$7:$P$7,CS$4-Resumen_Sprints!$E$9),0)</f>
        <v>0</v>
      </c>
      <c r="CT25" s="36">
        <f>IF(AND(CT$4&gt;Resumen_Sprints!$E$9,CT$4&lt;=Resumen_Sprints!$E$9+Resumen_Sprints!$D$9),INDEX('Sprint N°4'!$C$7:$P$7,CT$4-Resumen_Sprints!$E$9),0)</f>
        <v>0</v>
      </c>
      <c r="CU25" s="10">
        <f>SUM(C25:CT25)</f>
        <v>38</v>
      </c>
    </row>
    <row r="26" spans="1:99" x14ac:dyDescent="0.3">
      <c r="A26" s="22" t="str">
        <f>'Sprint N°4'!A8</f>
        <v>Ajuste a Presupuesto Máximo del Usuario</v>
      </c>
      <c r="B26" s="22">
        <f>'Sprint N°4'!B8</f>
        <v>36</v>
      </c>
      <c r="C26" s="36">
        <f>IF(AND(C$4&gt;Resumen_Sprints!$E$9,C$4&lt;=Resumen_Sprints!$E$9+Resumen_Sprints!$D$9),INDEX('Sprint N°4'!$C$8:$P$8,C$4-Resumen_Sprints!$E$9),0)</f>
        <v>0</v>
      </c>
      <c r="D26" s="36">
        <f>IF(AND(D$4&gt;Resumen_Sprints!$E$9,D$4&lt;=Resumen_Sprints!$E$9+Resumen_Sprints!$D$9),INDEX('Sprint N°4'!$C$8:$P$8,D$4-Resumen_Sprints!$E$9),0)</f>
        <v>0</v>
      </c>
      <c r="E26" s="36">
        <f>IF(AND(E$4&gt;Resumen_Sprints!$E$9,E$4&lt;=Resumen_Sprints!$E$9+Resumen_Sprints!$D$9),INDEX('Sprint N°4'!$C$8:$P$8,E$4-Resumen_Sprints!$E$9),0)</f>
        <v>0</v>
      </c>
      <c r="F26" s="36">
        <f>IF(AND(F$4&gt;Resumen_Sprints!$E$9,F$4&lt;=Resumen_Sprints!$E$9+Resumen_Sprints!$D$9),INDEX('Sprint N°4'!$C$8:$P$8,F$4-Resumen_Sprints!$E$9),0)</f>
        <v>0</v>
      </c>
      <c r="G26" s="36">
        <f>IF(AND(G$4&gt;Resumen_Sprints!$E$9,G$4&lt;=Resumen_Sprints!$E$9+Resumen_Sprints!$D$9),INDEX('Sprint N°4'!$C$8:$P$8,G$4-Resumen_Sprints!$E$9),0)</f>
        <v>0</v>
      </c>
      <c r="H26" s="36">
        <f>IF(AND(H$4&gt;Resumen_Sprints!$E$9,H$4&lt;=Resumen_Sprints!$E$9+Resumen_Sprints!$D$9),INDEX('Sprint N°4'!$C$8:$P$8,H$4-Resumen_Sprints!$E$9),0)</f>
        <v>0</v>
      </c>
      <c r="I26" s="36">
        <f>IF(AND(I$4&gt;Resumen_Sprints!$E$9,I$4&lt;=Resumen_Sprints!$E$9+Resumen_Sprints!$D$9),INDEX('Sprint N°4'!$C$8:$P$8,I$4-Resumen_Sprints!$E$9),0)</f>
        <v>0</v>
      </c>
      <c r="J26" s="36">
        <f>IF(AND(J$4&gt;Resumen_Sprints!$E$9,J$4&lt;=Resumen_Sprints!$E$9+Resumen_Sprints!$D$9),INDEX('Sprint N°4'!$C$8:$P$8,J$4-Resumen_Sprints!$E$9),0)</f>
        <v>0</v>
      </c>
      <c r="K26" s="36">
        <f>IF(AND(K$4&gt;Resumen_Sprints!$E$9,K$4&lt;=Resumen_Sprints!$E$9+Resumen_Sprints!$D$9),INDEX('Sprint N°4'!$C$8:$P$8,K$4-Resumen_Sprints!$E$9),0)</f>
        <v>0</v>
      </c>
      <c r="L26" s="36">
        <f>IF(AND(L$4&gt;Resumen_Sprints!$E$9,L$4&lt;=Resumen_Sprints!$E$9+Resumen_Sprints!$D$9),INDEX('Sprint N°4'!$C$8:$P$8,L$4-Resumen_Sprints!$E$9),0)</f>
        <v>0</v>
      </c>
      <c r="M26" s="36">
        <f>IF(AND(M$4&gt;Resumen_Sprints!$E$9,M$4&lt;=Resumen_Sprints!$E$9+Resumen_Sprints!$D$9),INDEX('Sprint N°4'!$C$8:$P$8,M$4-Resumen_Sprints!$E$9),0)</f>
        <v>0</v>
      </c>
      <c r="N26" s="36">
        <f>IF(AND(N$4&gt;Resumen_Sprints!$E$9,N$4&lt;=Resumen_Sprints!$E$9+Resumen_Sprints!$D$9),INDEX('Sprint N°4'!$C$8:$P$8,N$4-Resumen_Sprints!$E$9),0)</f>
        <v>0</v>
      </c>
      <c r="O26" s="36">
        <f>IF(AND(O$4&gt;Resumen_Sprints!$E$9,O$4&lt;=Resumen_Sprints!$E$9+Resumen_Sprints!$D$9),INDEX('Sprint N°4'!$C$8:$P$8,O$4-Resumen_Sprints!$E$9),0)</f>
        <v>0</v>
      </c>
      <c r="P26" s="36">
        <f>IF(AND(P$4&gt;Resumen_Sprints!$E$9,P$4&lt;=Resumen_Sprints!$E$9+Resumen_Sprints!$D$9),INDEX('Sprint N°4'!$C$8:$P$8,P$4-Resumen_Sprints!$E$9),0)</f>
        <v>0</v>
      </c>
      <c r="Q26" s="36">
        <f>IF(AND(Q$4&gt;Resumen_Sprints!$E$9,Q$4&lt;=Resumen_Sprints!$E$9+Resumen_Sprints!$D$9),INDEX('Sprint N°4'!$C$8:$P$8,Q$4-Resumen_Sprints!$E$9),0)</f>
        <v>0</v>
      </c>
      <c r="R26" s="36">
        <f>IF(AND(R$4&gt;Resumen_Sprints!$E$9,R$4&lt;=Resumen_Sprints!$E$9+Resumen_Sprints!$D$9),INDEX('Sprint N°4'!$C$8:$P$8,R$4-Resumen_Sprints!$E$9),0)</f>
        <v>0</v>
      </c>
      <c r="S26" s="36">
        <f>IF(AND(S$4&gt;Resumen_Sprints!$E$9,S$4&lt;=Resumen_Sprints!$E$9+Resumen_Sprints!$D$9),INDEX('Sprint N°4'!$C$8:$P$8,S$4-Resumen_Sprints!$E$9),0)</f>
        <v>0</v>
      </c>
      <c r="T26" s="36">
        <f>IF(AND(T$4&gt;Resumen_Sprints!$E$9,T$4&lt;=Resumen_Sprints!$E$9+Resumen_Sprints!$D$9),INDEX('Sprint N°4'!$C$8:$P$8,T$4-Resumen_Sprints!$E$9),0)</f>
        <v>0</v>
      </c>
      <c r="U26" s="36">
        <f>IF(AND(U$4&gt;Resumen_Sprints!$E$9,U$4&lt;=Resumen_Sprints!$E$9+Resumen_Sprints!$D$9),INDEX('Sprint N°4'!$C$8:$P$8,U$4-Resumen_Sprints!$E$9),0)</f>
        <v>0</v>
      </c>
      <c r="V26" s="36">
        <f>IF(AND(V$4&gt;Resumen_Sprints!$E$9,V$4&lt;=Resumen_Sprints!$E$9+Resumen_Sprints!$D$9),INDEX('Sprint N°4'!$C$8:$P$8,V$4-Resumen_Sprints!$E$9),0)</f>
        <v>0</v>
      </c>
      <c r="W26" s="36">
        <f>IF(AND(W$4&gt;Resumen_Sprints!$E$9,W$4&lt;=Resumen_Sprints!$E$9+Resumen_Sprints!$D$9),INDEX('Sprint N°4'!$C$8:$P$8,W$4-Resumen_Sprints!$E$9),0)</f>
        <v>0</v>
      </c>
      <c r="X26" s="36">
        <f>IF(AND(X$4&gt;Resumen_Sprints!$E$9,X$4&lt;=Resumen_Sprints!$E$9+Resumen_Sprints!$D$9),INDEX('Sprint N°4'!$C$8:$P$8,X$4-Resumen_Sprints!$E$9),0)</f>
        <v>0</v>
      </c>
      <c r="Y26" s="36">
        <f>IF(AND(Y$4&gt;Resumen_Sprints!$E$9,Y$4&lt;=Resumen_Sprints!$E$9+Resumen_Sprints!$D$9),INDEX('Sprint N°4'!$C$8:$P$8,Y$4-Resumen_Sprints!$E$9),0)</f>
        <v>0</v>
      </c>
      <c r="Z26" s="36">
        <f>IF(AND(Z$4&gt;Resumen_Sprints!$E$9,Z$4&lt;=Resumen_Sprints!$E$9+Resumen_Sprints!$D$9),INDEX('Sprint N°4'!$C$8:$P$8,Z$4-Resumen_Sprints!$E$9),0)</f>
        <v>0</v>
      </c>
      <c r="AA26" s="36">
        <f>IF(AND(AA$4&gt;Resumen_Sprints!$E$9,AA$4&lt;=Resumen_Sprints!$E$9+Resumen_Sprints!$D$9),INDEX('Sprint N°4'!$C$8:$P$8,AA$4-Resumen_Sprints!$E$9),0)</f>
        <v>0</v>
      </c>
      <c r="AB26" s="36">
        <f>IF(AND(AB$4&gt;Resumen_Sprints!$E$9,AB$4&lt;=Resumen_Sprints!$E$9+Resumen_Sprints!$D$9),INDEX('Sprint N°4'!$C$8:$P$8,AB$4-Resumen_Sprints!$E$9),0)</f>
        <v>0</v>
      </c>
      <c r="AC26" s="36">
        <f>IF(AND(AC$4&gt;Resumen_Sprints!$E$9,AC$4&lt;=Resumen_Sprints!$E$9+Resumen_Sprints!$D$9),INDEX('Sprint N°4'!$C$8:$P$8,AC$4-Resumen_Sprints!$E$9),0)</f>
        <v>0</v>
      </c>
      <c r="AD26" s="36">
        <f>IF(AND(AD$4&gt;Resumen_Sprints!$E$9,AD$4&lt;=Resumen_Sprints!$E$9+Resumen_Sprints!$D$9),INDEX('Sprint N°4'!$C$8:$P$8,AD$4-Resumen_Sprints!$E$9),0)</f>
        <v>0</v>
      </c>
      <c r="AE26" s="36">
        <f>IF(AND(AE$4&gt;Resumen_Sprints!$E$9,AE$4&lt;=Resumen_Sprints!$E$9+Resumen_Sprints!$D$9),INDEX('Sprint N°4'!$C$8:$P$8,AE$4-Resumen_Sprints!$E$9),0)</f>
        <v>0</v>
      </c>
      <c r="AF26" s="36">
        <f>IF(AND(AF$4&gt;Resumen_Sprints!$E$9,AF$4&lt;=Resumen_Sprints!$E$9+Resumen_Sprints!$D$9),INDEX('Sprint N°4'!$C$8:$P$8,AF$4-Resumen_Sprints!$E$9),0)</f>
        <v>0</v>
      </c>
      <c r="AG26" s="36">
        <f>IF(AND(AG$4&gt;Resumen_Sprints!$E$9,AG$4&lt;=Resumen_Sprints!$E$9+Resumen_Sprints!$D$9),INDEX('Sprint N°4'!$C$8:$P$8,AG$4-Resumen_Sprints!$E$9),0)</f>
        <v>0</v>
      </c>
      <c r="AH26" s="36">
        <f>IF(AND(AH$4&gt;Resumen_Sprints!$E$9,AH$4&lt;=Resumen_Sprints!$E$9+Resumen_Sprints!$D$9),INDEX('Sprint N°4'!$C$8:$P$8,AH$4-Resumen_Sprints!$E$9),0)</f>
        <v>0</v>
      </c>
      <c r="AI26" s="36">
        <f>IF(AND(AI$4&gt;Resumen_Sprints!$E$9,AI$4&lt;=Resumen_Sprints!$E$9+Resumen_Sprints!$D$9),INDEX('Sprint N°4'!$C$8:$P$8,AI$4-Resumen_Sprints!$E$9),0)</f>
        <v>0</v>
      </c>
      <c r="AJ26" s="36">
        <f>IF(AND(AJ$4&gt;Resumen_Sprints!$E$9,AJ$4&lt;=Resumen_Sprints!$E$9+Resumen_Sprints!$D$9),INDEX('Sprint N°4'!$C$8:$P$8,AJ$4-Resumen_Sprints!$E$9),0)</f>
        <v>3</v>
      </c>
      <c r="AK26" s="36">
        <f>IF(AND(AK$4&gt;Resumen_Sprints!$E$9,AK$4&lt;=Resumen_Sprints!$E$9+Resumen_Sprints!$D$9),INDEX('Sprint N°4'!$C$8:$P$8,AK$4-Resumen_Sprints!$E$9),0)</f>
        <v>7</v>
      </c>
      <c r="AL26" s="36">
        <f>IF(AND(AL$4&gt;Resumen_Sprints!$E$9,AL$4&lt;=Resumen_Sprints!$E$9+Resumen_Sprints!$D$9),INDEX('Sprint N°4'!$C$8:$P$8,AL$4-Resumen_Sprints!$E$9),0)</f>
        <v>6</v>
      </c>
      <c r="AM26" s="36">
        <f>IF(AND(AM$4&gt;Resumen_Sprints!$E$9,AM$4&lt;=Resumen_Sprints!$E$9+Resumen_Sprints!$D$9),INDEX('Sprint N°4'!$C$8:$P$8,AM$4-Resumen_Sprints!$E$9),0)</f>
        <v>8</v>
      </c>
      <c r="AN26" s="36">
        <f>IF(AND(AN$4&gt;Resumen_Sprints!$E$9,AN$4&lt;=Resumen_Sprints!$E$9+Resumen_Sprints!$D$9),INDEX('Sprint N°4'!$C$8:$P$8,AN$4-Resumen_Sprints!$E$9),0)</f>
        <v>7</v>
      </c>
      <c r="AO26" s="36">
        <f>IF(AND(AO$4&gt;Resumen_Sprints!$E$9,AO$4&lt;=Resumen_Sprints!$E$9+Resumen_Sprints!$D$9),INDEX('Sprint N°4'!$C$8:$P$8,AO$4-Resumen_Sprints!$E$9),0)</f>
        <v>5</v>
      </c>
      <c r="AP26" s="36">
        <f>IF(AND(AP$4&gt;Resumen_Sprints!$E$9,AP$4&lt;=Resumen_Sprints!$E$9+Resumen_Sprints!$D$9),INDEX('Sprint N°4'!$C$8:$P$8,AP$4-Resumen_Sprints!$E$9),0)</f>
        <v>0</v>
      </c>
      <c r="AQ26" s="36">
        <f>IF(AND(AQ$4&gt;Resumen_Sprints!$E$9,AQ$4&lt;=Resumen_Sprints!$E$9+Resumen_Sprints!$D$9),INDEX('Sprint N°4'!$C$8:$P$8,AQ$4-Resumen_Sprints!$E$9),0)</f>
        <v>0</v>
      </c>
      <c r="AR26" s="36">
        <f>IF(AND(AR$4&gt;Resumen_Sprints!$E$9,AR$4&lt;=Resumen_Sprints!$E$9+Resumen_Sprints!$D$9),INDEX('Sprint N°4'!$C$8:$P$8,AR$4-Resumen_Sprints!$E$9),0)</f>
        <v>0</v>
      </c>
      <c r="AS26" s="36">
        <f>IF(AND(AS$4&gt;Resumen_Sprints!$E$9,AS$4&lt;=Resumen_Sprints!$E$9+Resumen_Sprints!$D$9),INDEX('Sprint N°4'!$C$8:$P$8,AS$4-Resumen_Sprints!$E$9),0)</f>
        <v>0</v>
      </c>
      <c r="AT26" s="36">
        <f>IF(AND(AT$4&gt;Resumen_Sprints!$E$9,AT$4&lt;=Resumen_Sprints!$E$9+Resumen_Sprints!$D$9),INDEX('Sprint N°4'!$C$8:$P$8,AT$4-Resumen_Sprints!$E$9),0)</f>
        <v>0</v>
      </c>
      <c r="AU26" s="36">
        <f>IF(AND(AU$4&gt;Resumen_Sprints!$E$9,AU$4&lt;=Resumen_Sprints!$E$9+Resumen_Sprints!$D$9),INDEX('Sprint N°4'!$C$8:$P$8,AU$4-Resumen_Sprints!$E$9),0)</f>
        <v>0</v>
      </c>
      <c r="AV26" s="36">
        <f>IF(AND(AV$4&gt;Resumen_Sprints!$E$9,AV$4&lt;=Resumen_Sprints!$E$9+Resumen_Sprints!$D$9),INDEX('Sprint N°4'!$C$8:$P$8,AV$4-Resumen_Sprints!$E$9),0)</f>
        <v>0</v>
      </c>
      <c r="AW26" s="36">
        <f>IF(AND(AW$4&gt;Resumen_Sprints!$E$9,AW$4&lt;=Resumen_Sprints!$E$9+Resumen_Sprints!$D$9),INDEX('Sprint N°4'!$C$8:$P$8,AW$4-Resumen_Sprints!$E$9),0)</f>
        <v>0</v>
      </c>
      <c r="AX26" s="36">
        <f>IF(AND(AX$4&gt;Resumen_Sprints!$E$9,AX$4&lt;=Resumen_Sprints!$E$9+Resumen_Sprints!$D$9),INDEX('Sprint N°4'!$C$8:$P$8,AX$4-Resumen_Sprints!$E$9),0)</f>
        <v>0</v>
      </c>
      <c r="AY26" s="36">
        <f>IF(AND(AY$4&gt;Resumen_Sprints!$E$9,AY$4&lt;=Resumen_Sprints!$E$9+Resumen_Sprints!$D$9),INDEX('Sprint N°4'!$C$8:$P$8,AY$4-Resumen_Sprints!$E$9),0)</f>
        <v>0</v>
      </c>
      <c r="AZ26" s="36">
        <f>IF(AND(AZ$4&gt;Resumen_Sprints!$E$9,AZ$4&lt;=Resumen_Sprints!$E$9+Resumen_Sprints!$D$9),INDEX('Sprint N°4'!$C$8:$P$8,AZ$4-Resumen_Sprints!$E$9),0)</f>
        <v>0</v>
      </c>
      <c r="BA26" s="36">
        <f>IF(AND(BA$4&gt;Resumen_Sprints!$E$9,BA$4&lt;=Resumen_Sprints!$E$9+Resumen_Sprints!$D$9),INDEX('Sprint N°4'!$C$8:$P$8,BA$4-Resumen_Sprints!$E$9),0)</f>
        <v>0</v>
      </c>
      <c r="BB26" s="36">
        <f>IF(AND(BB$4&gt;Resumen_Sprints!$E$9,BB$4&lt;=Resumen_Sprints!$E$9+Resumen_Sprints!$D$9),INDEX('Sprint N°4'!$C$8:$P$8,BB$4-Resumen_Sprints!$E$9),0)</f>
        <v>0</v>
      </c>
      <c r="BC26" s="36">
        <f>IF(AND(BC$4&gt;Resumen_Sprints!$E$9,BC$4&lt;=Resumen_Sprints!$E$9+Resumen_Sprints!$D$9),INDEX('Sprint N°4'!$C$8:$P$8,BC$4-Resumen_Sprints!$E$9),0)</f>
        <v>0</v>
      </c>
      <c r="BD26" s="36">
        <f>IF(AND(BD$4&gt;Resumen_Sprints!$E$9,BD$4&lt;=Resumen_Sprints!$E$9+Resumen_Sprints!$D$9),INDEX('Sprint N°4'!$C$8:$P$8,BD$4-Resumen_Sprints!$E$9),0)</f>
        <v>0</v>
      </c>
      <c r="BE26" s="36">
        <f>IF(AND(BE$4&gt;Resumen_Sprints!$E$9,BE$4&lt;=Resumen_Sprints!$E$9+Resumen_Sprints!$D$9),INDEX('Sprint N°4'!$C$8:$P$8,BE$4-Resumen_Sprints!$E$9),0)</f>
        <v>0</v>
      </c>
      <c r="BF26" s="36">
        <f>IF(AND(BF$4&gt;Resumen_Sprints!$E$9,BF$4&lt;=Resumen_Sprints!$E$9+Resumen_Sprints!$D$9),INDEX('Sprint N°4'!$C$8:$P$8,BF$4-Resumen_Sprints!$E$9),0)</f>
        <v>0</v>
      </c>
      <c r="BG26" s="36">
        <f>IF(AND(BG$4&gt;Resumen_Sprints!$E$9,BG$4&lt;=Resumen_Sprints!$E$9+Resumen_Sprints!$D$9),INDEX('Sprint N°4'!$C$8:$P$8,BG$4-Resumen_Sprints!$E$9),0)</f>
        <v>0</v>
      </c>
      <c r="BH26" s="36">
        <f>IF(AND(BH$4&gt;Resumen_Sprints!$E$9,BH$4&lt;=Resumen_Sprints!$E$9+Resumen_Sprints!$D$9),INDEX('Sprint N°4'!$C$8:$P$8,BH$4-Resumen_Sprints!$E$9),0)</f>
        <v>0</v>
      </c>
      <c r="BI26" s="36">
        <f>IF(AND(BI$4&gt;Resumen_Sprints!$E$9,BI$4&lt;=Resumen_Sprints!$E$9+Resumen_Sprints!$D$9),INDEX('Sprint N°4'!$C$8:$P$8,BI$4-Resumen_Sprints!$E$9),0)</f>
        <v>0</v>
      </c>
      <c r="BJ26" s="36">
        <f>IF(AND(BJ$4&gt;Resumen_Sprints!$E$9,BJ$4&lt;=Resumen_Sprints!$E$9+Resumen_Sprints!$D$9),INDEX('Sprint N°4'!$C$8:$P$8,BJ$4-Resumen_Sprints!$E$9),0)</f>
        <v>0</v>
      </c>
      <c r="BK26" s="36">
        <f>IF(AND(BK$4&gt;Resumen_Sprints!$E$9,BK$4&lt;=Resumen_Sprints!$E$9+Resumen_Sprints!$D$9),INDEX('Sprint N°4'!$C$8:$P$8,BK$4-Resumen_Sprints!$E$9),0)</f>
        <v>0</v>
      </c>
      <c r="BL26" s="36">
        <f>IF(AND(BL$4&gt;Resumen_Sprints!$E$9,BL$4&lt;=Resumen_Sprints!$E$9+Resumen_Sprints!$D$9),INDEX('Sprint N°4'!$C$8:$P$8,BL$4-Resumen_Sprints!$E$9),0)</f>
        <v>0</v>
      </c>
      <c r="BM26" s="36">
        <f>IF(AND(BM$4&gt;Resumen_Sprints!$E$9,BM$4&lt;=Resumen_Sprints!$E$9+Resumen_Sprints!$D$9),INDEX('Sprint N°4'!$C$8:$P$8,BM$4-Resumen_Sprints!$E$9),0)</f>
        <v>0</v>
      </c>
      <c r="BN26" s="36">
        <f>IF(AND(BN$4&gt;Resumen_Sprints!$E$9,BN$4&lt;=Resumen_Sprints!$E$9+Resumen_Sprints!$D$9),INDEX('Sprint N°4'!$C$8:$P$8,BN$4-Resumen_Sprints!$E$9),0)</f>
        <v>0</v>
      </c>
      <c r="BO26" s="36">
        <f>IF(AND(BO$4&gt;Resumen_Sprints!$E$9,BO$4&lt;=Resumen_Sprints!$E$9+Resumen_Sprints!$D$9),INDEX('Sprint N°4'!$C$8:$P$8,BO$4-Resumen_Sprints!$E$9),0)</f>
        <v>0</v>
      </c>
      <c r="BP26" s="36">
        <f>IF(AND(BP$4&gt;Resumen_Sprints!$E$9,BP$4&lt;=Resumen_Sprints!$E$9+Resumen_Sprints!$D$9),INDEX('Sprint N°4'!$C$8:$P$8,BP$4-Resumen_Sprints!$E$9),0)</f>
        <v>0</v>
      </c>
      <c r="BQ26" s="36">
        <f>IF(AND(BQ$4&gt;Resumen_Sprints!$E$9,BQ$4&lt;=Resumen_Sprints!$E$9+Resumen_Sprints!$D$9),INDEX('Sprint N°4'!$C$8:$P$8,BQ$4-Resumen_Sprints!$E$9),0)</f>
        <v>0</v>
      </c>
      <c r="BR26" s="36">
        <f>IF(AND(BR$4&gt;Resumen_Sprints!$E$9,BR$4&lt;=Resumen_Sprints!$E$9+Resumen_Sprints!$D$9),INDEX('Sprint N°4'!$C$8:$P$8,BR$4-Resumen_Sprints!$E$9),0)</f>
        <v>0</v>
      </c>
      <c r="BS26" s="36">
        <f>IF(AND(BS$4&gt;Resumen_Sprints!$E$9,BS$4&lt;=Resumen_Sprints!$E$9+Resumen_Sprints!$D$9),INDEX('Sprint N°4'!$C$8:$P$8,BS$4-Resumen_Sprints!$E$9),0)</f>
        <v>0</v>
      </c>
      <c r="BT26" s="36">
        <f>IF(AND(BT$4&gt;Resumen_Sprints!$E$9,BT$4&lt;=Resumen_Sprints!$E$9+Resumen_Sprints!$D$9),INDEX('Sprint N°4'!$C$8:$P$8,BT$4-Resumen_Sprints!$E$9),0)</f>
        <v>0</v>
      </c>
      <c r="BU26" s="36">
        <f>IF(AND(BU$4&gt;Resumen_Sprints!$E$9,BU$4&lt;=Resumen_Sprints!$E$9+Resumen_Sprints!$D$9),INDEX('Sprint N°4'!$C$8:$P$8,BU$4-Resumen_Sprints!$E$9),0)</f>
        <v>0</v>
      </c>
      <c r="BV26" s="36">
        <f>IF(AND(BV$4&gt;Resumen_Sprints!$E$9,BV$4&lt;=Resumen_Sprints!$E$9+Resumen_Sprints!$D$9),INDEX('Sprint N°4'!$C$8:$P$8,BV$4-Resumen_Sprints!$E$9),0)</f>
        <v>0</v>
      </c>
      <c r="BW26" s="36">
        <f>IF(AND(BW$4&gt;Resumen_Sprints!$E$9,BW$4&lt;=Resumen_Sprints!$E$9+Resumen_Sprints!$D$9),INDEX('Sprint N°4'!$C$8:$P$8,BW$4-Resumen_Sprints!$E$9),0)</f>
        <v>0</v>
      </c>
      <c r="BX26" s="36">
        <f>IF(AND(BX$4&gt;Resumen_Sprints!$E$9,BX$4&lt;=Resumen_Sprints!$E$9+Resumen_Sprints!$D$9),INDEX('Sprint N°4'!$C$8:$P$8,BX$4-Resumen_Sprints!$E$9),0)</f>
        <v>0</v>
      </c>
      <c r="BY26" s="36">
        <f>IF(AND(BY$4&gt;Resumen_Sprints!$E$9,BY$4&lt;=Resumen_Sprints!$E$9+Resumen_Sprints!$D$9),INDEX('Sprint N°4'!$C$8:$P$8,BY$4-Resumen_Sprints!$E$9),0)</f>
        <v>0</v>
      </c>
      <c r="BZ26" s="36">
        <f>IF(AND(BZ$4&gt;Resumen_Sprints!$E$9,BZ$4&lt;=Resumen_Sprints!$E$9+Resumen_Sprints!$D$9),INDEX('Sprint N°4'!$C$8:$P$8,BZ$4-Resumen_Sprints!$E$9),0)</f>
        <v>0</v>
      </c>
      <c r="CA26" s="36">
        <f>IF(AND(CA$4&gt;Resumen_Sprints!$E$9,CA$4&lt;=Resumen_Sprints!$E$9+Resumen_Sprints!$D$9),INDEX('Sprint N°4'!$C$8:$P$8,CA$4-Resumen_Sprints!$E$9),0)</f>
        <v>0</v>
      </c>
      <c r="CB26" s="36">
        <f>IF(AND(CB$4&gt;Resumen_Sprints!$E$9,CB$4&lt;=Resumen_Sprints!$E$9+Resumen_Sprints!$D$9),INDEX('Sprint N°4'!$C$8:$P$8,CB$4-Resumen_Sprints!$E$9),0)</f>
        <v>0</v>
      </c>
      <c r="CC26" s="36">
        <f>IF(AND(CC$4&gt;Resumen_Sprints!$E$9,CC$4&lt;=Resumen_Sprints!$E$9+Resumen_Sprints!$D$9),INDEX('Sprint N°4'!$C$8:$P$8,CC$4-Resumen_Sprints!$E$9),0)</f>
        <v>0</v>
      </c>
      <c r="CD26" s="36">
        <f>IF(AND(CD$4&gt;Resumen_Sprints!$E$9,CD$4&lt;=Resumen_Sprints!$E$9+Resumen_Sprints!$D$9),INDEX('Sprint N°4'!$C$8:$P$8,CD$4-Resumen_Sprints!$E$9),0)</f>
        <v>0</v>
      </c>
      <c r="CE26" s="36">
        <f>IF(AND(CE$4&gt;Resumen_Sprints!$E$9,CE$4&lt;=Resumen_Sprints!$E$9+Resumen_Sprints!$D$9),INDEX('Sprint N°4'!$C$8:$P$8,CE$4-Resumen_Sprints!$E$9),0)</f>
        <v>0</v>
      </c>
      <c r="CF26" s="36">
        <f>IF(AND(CF$4&gt;Resumen_Sprints!$E$9,CF$4&lt;=Resumen_Sprints!$E$9+Resumen_Sprints!$D$9),INDEX('Sprint N°4'!$C$8:$P$8,CF$4-Resumen_Sprints!$E$9),0)</f>
        <v>0</v>
      </c>
      <c r="CG26" s="36">
        <f>IF(AND(CG$4&gt;Resumen_Sprints!$E$9,CG$4&lt;=Resumen_Sprints!$E$9+Resumen_Sprints!$D$9),INDEX('Sprint N°4'!$C$8:$P$8,CG$4-Resumen_Sprints!$E$9),0)</f>
        <v>0</v>
      </c>
      <c r="CH26" s="36">
        <f>IF(AND(CH$4&gt;Resumen_Sprints!$E$9,CH$4&lt;=Resumen_Sprints!$E$9+Resumen_Sprints!$D$9),INDEX('Sprint N°4'!$C$8:$P$8,CH$4-Resumen_Sprints!$E$9),0)</f>
        <v>0</v>
      </c>
      <c r="CI26" s="36">
        <f>IF(AND(CI$4&gt;Resumen_Sprints!$E$9,CI$4&lt;=Resumen_Sprints!$E$9+Resumen_Sprints!$D$9),INDEX('Sprint N°4'!$C$8:$P$8,CI$4-Resumen_Sprints!$E$9),0)</f>
        <v>0</v>
      </c>
      <c r="CJ26" s="36">
        <f>IF(AND(CJ$4&gt;Resumen_Sprints!$E$9,CJ$4&lt;=Resumen_Sprints!$E$9+Resumen_Sprints!$D$9),INDEX('Sprint N°4'!$C$8:$P$8,CJ$4-Resumen_Sprints!$E$9),0)</f>
        <v>0</v>
      </c>
      <c r="CK26" s="36">
        <f>IF(AND(CK$4&gt;Resumen_Sprints!$E$9,CK$4&lt;=Resumen_Sprints!$E$9+Resumen_Sprints!$D$9),INDEX('Sprint N°4'!$C$8:$P$8,CK$4-Resumen_Sprints!$E$9),0)</f>
        <v>0</v>
      </c>
      <c r="CL26" s="36">
        <f>IF(AND(CL$4&gt;Resumen_Sprints!$E$9,CL$4&lt;=Resumen_Sprints!$E$9+Resumen_Sprints!$D$9),INDEX('Sprint N°4'!$C$8:$P$8,CL$4-Resumen_Sprints!$E$9),0)</f>
        <v>0</v>
      </c>
      <c r="CM26" s="36">
        <f>IF(AND(CM$4&gt;Resumen_Sprints!$E$9,CM$4&lt;=Resumen_Sprints!$E$9+Resumen_Sprints!$D$9),INDEX('Sprint N°4'!$C$8:$P$8,CM$4-Resumen_Sprints!$E$9),0)</f>
        <v>0</v>
      </c>
      <c r="CN26" s="36">
        <f>IF(AND(CN$4&gt;Resumen_Sprints!$E$9,CN$4&lt;=Resumen_Sprints!$E$9+Resumen_Sprints!$D$9),INDEX('Sprint N°4'!$C$8:$P$8,CN$4-Resumen_Sprints!$E$9),0)</f>
        <v>0</v>
      </c>
      <c r="CO26" s="36">
        <f>IF(AND(CO$4&gt;Resumen_Sprints!$E$9,CO$4&lt;=Resumen_Sprints!$E$9+Resumen_Sprints!$D$9),INDEX('Sprint N°4'!$C$8:$P$8,CO$4-Resumen_Sprints!$E$9),0)</f>
        <v>0</v>
      </c>
      <c r="CP26" s="36">
        <f>IF(AND(CP$4&gt;Resumen_Sprints!$E$9,CP$4&lt;=Resumen_Sprints!$E$9+Resumen_Sprints!$D$9),INDEX('Sprint N°4'!$C$8:$P$8,CP$4-Resumen_Sprints!$E$9),0)</f>
        <v>0</v>
      </c>
      <c r="CQ26" s="36">
        <f>IF(AND(CQ$4&gt;Resumen_Sprints!$E$9,CQ$4&lt;=Resumen_Sprints!$E$9+Resumen_Sprints!$D$9),INDEX('Sprint N°4'!$C$8:$P$8,CQ$4-Resumen_Sprints!$E$9),0)</f>
        <v>0</v>
      </c>
      <c r="CR26" s="36">
        <f>IF(AND(CR$4&gt;Resumen_Sprints!$E$9,CR$4&lt;=Resumen_Sprints!$E$9+Resumen_Sprints!$D$9),INDEX('Sprint N°4'!$C$8:$P$8,CR$4-Resumen_Sprints!$E$9),0)</f>
        <v>0</v>
      </c>
      <c r="CS26" s="36">
        <f>IF(AND(CS$4&gt;Resumen_Sprints!$E$9,CS$4&lt;=Resumen_Sprints!$E$9+Resumen_Sprints!$D$9),INDEX('Sprint N°4'!$C$8:$P$8,CS$4-Resumen_Sprints!$E$9),0)</f>
        <v>0</v>
      </c>
      <c r="CT26" s="36">
        <f>IF(AND(CT$4&gt;Resumen_Sprints!$E$9,CT$4&lt;=Resumen_Sprints!$E$9+Resumen_Sprints!$D$9),INDEX('Sprint N°4'!$C$8:$P$8,CT$4-Resumen_Sprints!$E$9),0)</f>
        <v>0</v>
      </c>
      <c r="CU26" s="10">
        <f>SUM(C26:CT26)</f>
        <v>36</v>
      </c>
    </row>
    <row r="27" spans="1:99" x14ac:dyDescent="0.3">
      <c r="A27" s="22" t="str">
        <f>'Sprint N°4'!A9</f>
        <v>Integración del Motor con el Catálogo de Materiales</v>
      </c>
      <c r="B27" s="22">
        <f>'Sprint N°4'!B9</f>
        <v>15</v>
      </c>
      <c r="C27" s="36">
        <f>IF(AND(C$4&gt;Resumen_Sprints!$E$9,C$4&lt;=Resumen_Sprints!$E$9+Resumen_Sprints!$D$9),INDEX('Sprint N°4'!$C$9:$P$9,C$4-Resumen_Sprints!$E$9),0)</f>
        <v>0</v>
      </c>
      <c r="D27" s="36">
        <f>IF(AND(D$4&gt;Resumen_Sprints!$E$9,D$4&lt;=Resumen_Sprints!$E$9+Resumen_Sprints!$D$9),INDEX('Sprint N°4'!$C$9:$P$9,D$4-Resumen_Sprints!$E$9),0)</f>
        <v>0</v>
      </c>
      <c r="E27" s="36">
        <f>IF(AND(E$4&gt;Resumen_Sprints!$E$9,E$4&lt;=Resumen_Sprints!$E$9+Resumen_Sprints!$D$9),INDEX('Sprint N°4'!$C$9:$P$9,E$4-Resumen_Sprints!$E$9),0)</f>
        <v>0</v>
      </c>
      <c r="F27" s="36">
        <f>IF(AND(F$4&gt;Resumen_Sprints!$E$9,F$4&lt;=Resumen_Sprints!$E$9+Resumen_Sprints!$D$9),INDEX('Sprint N°4'!$C$9:$P$9,F$4-Resumen_Sprints!$E$9),0)</f>
        <v>0</v>
      </c>
      <c r="G27" s="36">
        <f>IF(AND(G$4&gt;Resumen_Sprints!$E$9,G$4&lt;=Resumen_Sprints!$E$9+Resumen_Sprints!$D$9),INDEX('Sprint N°4'!$C$9:$P$9,G$4-Resumen_Sprints!$E$9),0)</f>
        <v>0</v>
      </c>
      <c r="H27" s="36">
        <f>IF(AND(H$4&gt;Resumen_Sprints!$E$9,H$4&lt;=Resumen_Sprints!$E$9+Resumen_Sprints!$D$9),INDEX('Sprint N°4'!$C$9:$P$9,H$4-Resumen_Sprints!$E$9),0)</f>
        <v>0</v>
      </c>
      <c r="I27" s="36">
        <f>IF(AND(I$4&gt;Resumen_Sprints!$E$9,I$4&lt;=Resumen_Sprints!$E$9+Resumen_Sprints!$D$9),INDEX('Sprint N°4'!$C$9:$P$9,I$4-Resumen_Sprints!$E$9),0)</f>
        <v>0</v>
      </c>
      <c r="J27" s="36">
        <f>IF(AND(J$4&gt;Resumen_Sprints!$E$9,J$4&lt;=Resumen_Sprints!$E$9+Resumen_Sprints!$D$9),INDEX('Sprint N°4'!$C$9:$P$9,J$4-Resumen_Sprints!$E$9),0)</f>
        <v>0</v>
      </c>
      <c r="K27" s="36">
        <f>IF(AND(K$4&gt;Resumen_Sprints!$E$9,K$4&lt;=Resumen_Sprints!$E$9+Resumen_Sprints!$D$9),INDEX('Sprint N°4'!$C$9:$P$9,K$4-Resumen_Sprints!$E$9),0)</f>
        <v>0</v>
      </c>
      <c r="L27" s="36">
        <f>IF(AND(L$4&gt;Resumen_Sprints!$E$9,L$4&lt;=Resumen_Sprints!$E$9+Resumen_Sprints!$D$9),INDEX('Sprint N°4'!$C$9:$P$9,L$4-Resumen_Sprints!$E$9),0)</f>
        <v>0</v>
      </c>
      <c r="M27" s="36">
        <f>IF(AND(M$4&gt;Resumen_Sprints!$E$9,M$4&lt;=Resumen_Sprints!$E$9+Resumen_Sprints!$D$9),INDEX('Sprint N°4'!$C$9:$P$9,M$4-Resumen_Sprints!$E$9),0)</f>
        <v>0</v>
      </c>
      <c r="N27" s="36">
        <f>IF(AND(N$4&gt;Resumen_Sprints!$E$9,N$4&lt;=Resumen_Sprints!$E$9+Resumen_Sprints!$D$9),INDEX('Sprint N°4'!$C$9:$P$9,N$4-Resumen_Sprints!$E$9),0)</f>
        <v>0</v>
      </c>
      <c r="O27" s="36">
        <f>IF(AND(O$4&gt;Resumen_Sprints!$E$9,O$4&lt;=Resumen_Sprints!$E$9+Resumen_Sprints!$D$9),INDEX('Sprint N°4'!$C$9:$P$9,O$4-Resumen_Sprints!$E$9),0)</f>
        <v>0</v>
      </c>
      <c r="P27" s="36">
        <f>IF(AND(P$4&gt;Resumen_Sprints!$E$9,P$4&lt;=Resumen_Sprints!$E$9+Resumen_Sprints!$D$9),INDEX('Sprint N°4'!$C$9:$P$9,P$4-Resumen_Sprints!$E$9),0)</f>
        <v>0</v>
      </c>
      <c r="Q27" s="36">
        <f>IF(AND(Q$4&gt;Resumen_Sprints!$E$9,Q$4&lt;=Resumen_Sprints!$E$9+Resumen_Sprints!$D$9),INDEX('Sprint N°4'!$C$9:$P$9,Q$4-Resumen_Sprints!$E$9),0)</f>
        <v>0</v>
      </c>
      <c r="R27" s="36">
        <f>IF(AND(R$4&gt;Resumen_Sprints!$E$9,R$4&lt;=Resumen_Sprints!$E$9+Resumen_Sprints!$D$9),INDEX('Sprint N°4'!$C$9:$P$9,R$4-Resumen_Sprints!$E$9),0)</f>
        <v>0</v>
      </c>
      <c r="S27" s="36">
        <f>IF(AND(S$4&gt;Resumen_Sprints!$E$9,S$4&lt;=Resumen_Sprints!$E$9+Resumen_Sprints!$D$9),INDEX('Sprint N°4'!$C$9:$P$9,S$4-Resumen_Sprints!$E$9),0)</f>
        <v>0</v>
      </c>
      <c r="T27" s="36">
        <f>IF(AND(T$4&gt;Resumen_Sprints!$E$9,T$4&lt;=Resumen_Sprints!$E$9+Resumen_Sprints!$D$9),INDEX('Sprint N°4'!$C$9:$P$9,T$4-Resumen_Sprints!$E$9),0)</f>
        <v>0</v>
      </c>
      <c r="U27" s="36">
        <f>IF(AND(U$4&gt;Resumen_Sprints!$E$9,U$4&lt;=Resumen_Sprints!$E$9+Resumen_Sprints!$D$9),INDEX('Sprint N°4'!$C$9:$P$9,U$4-Resumen_Sprints!$E$9),0)</f>
        <v>0</v>
      </c>
      <c r="V27" s="36">
        <f>IF(AND(V$4&gt;Resumen_Sprints!$E$9,V$4&lt;=Resumen_Sprints!$E$9+Resumen_Sprints!$D$9),INDEX('Sprint N°4'!$C$9:$P$9,V$4-Resumen_Sprints!$E$9),0)</f>
        <v>0</v>
      </c>
      <c r="W27" s="36">
        <f>IF(AND(W$4&gt;Resumen_Sprints!$E$9,W$4&lt;=Resumen_Sprints!$E$9+Resumen_Sprints!$D$9),INDEX('Sprint N°4'!$C$9:$P$9,W$4-Resumen_Sprints!$E$9),0)</f>
        <v>0</v>
      </c>
      <c r="X27" s="36">
        <f>IF(AND(X$4&gt;Resumen_Sprints!$E$9,X$4&lt;=Resumen_Sprints!$E$9+Resumen_Sprints!$D$9),INDEX('Sprint N°4'!$C$9:$P$9,X$4-Resumen_Sprints!$E$9),0)</f>
        <v>0</v>
      </c>
      <c r="Y27" s="36">
        <f>IF(AND(Y$4&gt;Resumen_Sprints!$E$9,Y$4&lt;=Resumen_Sprints!$E$9+Resumen_Sprints!$D$9),INDEX('Sprint N°4'!$C$9:$P$9,Y$4-Resumen_Sprints!$E$9),0)</f>
        <v>0</v>
      </c>
      <c r="Z27" s="36">
        <f>IF(AND(Z$4&gt;Resumen_Sprints!$E$9,Z$4&lt;=Resumen_Sprints!$E$9+Resumen_Sprints!$D$9),INDEX('Sprint N°4'!$C$9:$P$9,Z$4-Resumen_Sprints!$E$9),0)</f>
        <v>0</v>
      </c>
      <c r="AA27" s="36">
        <f>IF(AND(AA$4&gt;Resumen_Sprints!$E$9,AA$4&lt;=Resumen_Sprints!$E$9+Resumen_Sprints!$D$9),INDEX('Sprint N°4'!$C$9:$P$9,AA$4-Resumen_Sprints!$E$9),0)</f>
        <v>0</v>
      </c>
      <c r="AB27" s="36">
        <f>IF(AND(AB$4&gt;Resumen_Sprints!$E$9,AB$4&lt;=Resumen_Sprints!$E$9+Resumen_Sprints!$D$9),INDEX('Sprint N°4'!$C$9:$P$9,AB$4-Resumen_Sprints!$E$9),0)</f>
        <v>0</v>
      </c>
      <c r="AC27" s="36">
        <f>IF(AND(AC$4&gt;Resumen_Sprints!$E$9,AC$4&lt;=Resumen_Sprints!$E$9+Resumen_Sprints!$D$9),INDEX('Sprint N°4'!$C$9:$P$9,AC$4-Resumen_Sprints!$E$9),0)</f>
        <v>0</v>
      </c>
      <c r="AD27" s="36">
        <f>IF(AND(AD$4&gt;Resumen_Sprints!$E$9,AD$4&lt;=Resumen_Sprints!$E$9+Resumen_Sprints!$D$9),INDEX('Sprint N°4'!$C$9:$P$9,AD$4-Resumen_Sprints!$E$9),0)</f>
        <v>0</v>
      </c>
      <c r="AE27" s="36">
        <f>IF(AND(AE$4&gt;Resumen_Sprints!$E$9,AE$4&lt;=Resumen_Sprints!$E$9+Resumen_Sprints!$D$9),INDEX('Sprint N°4'!$C$9:$P$9,AE$4-Resumen_Sprints!$E$9),0)</f>
        <v>0</v>
      </c>
      <c r="AF27" s="36">
        <f>IF(AND(AF$4&gt;Resumen_Sprints!$E$9,AF$4&lt;=Resumen_Sprints!$E$9+Resumen_Sprints!$D$9),INDEX('Sprint N°4'!$C$9:$P$9,AF$4-Resumen_Sprints!$E$9),0)</f>
        <v>0</v>
      </c>
      <c r="AG27" s="36">
        <f>IF(AND(AG$4&gt;Resumen_Sprints!$E$9,AG$4&lt;=Resumen_Sprints!$E$9+Resumen_Sprints!$D$9),INDEX('Sprint N°4'!$C$9:$P$9,AG$4-Resumen_Sprints!$E$9),0)</f>
        <v>0</v>
      </c>
      <c r="AH27" s="36">
        <f>IF(AND(AH$4&gt;Resumen_Sprints!$E$9,AH$4&lt;=Resumen_Sprints!$E$9+Resumen_Sprints!$D$9),INDEX('Sprint N°4'!$C$9:$P$9,AH$4-Resumen_Sprints!$E$9),0)</f>
        <v>0</v>
      </c>
      <c r="AI27" s="36">
        <f>IF(AND(AI$4&gt;Resumen_Sprints!$E$9,AI$4&lt;=Resumen_Sprints!$E$9+Resumen_Sprints!$D$9),INDEX('Sprint N°4'!$C$9:$P$9,AI$4-Resumen_Sprints!$E$9),0)</f>
        <v>0</v>
      </c>
      <c r="AJ27" s="36">
        <f>IF(AND(AJ$4&gt;Resumen_Sprints!$E$9,AJ$4&lt;=Resumen_Sprints!$E$9+Resumen_Sprints!$D$9),INDEX('Sprint N°4'!$C$9:$P$9,AJ$4-Resumen_Sprints!$E$9),0)</f>
        <v>0</v>
      </c>
      <c r="AK27" s="36">
        <f>IF(AND(AK$4&gt;Resumen_Sprints!$E$9,AK$4&lt;=Resumen_Sprints!$E$9+Resumen_Sprints!$D$9),INDEX('Sprint N°4'!$C$9:$P$9,AK$4-Resumen_Sprints!$E$9),0)</f>
        <v>0</v>
      </c>
      <c r="AL27" s="36">
        <f>IF(AND(AL$4&gt;Resumen_Sprints!$E$9,AL$4&lt;=Resumen_Sprints!$E$9+Resumen_Sprints!$D$9),INDEX('Sprint N°4'!$C$9:$P$9,AL$4-Resumen_Sprints!$E$9),0)</f>
        <v>0</v>
      </c>
      <c r="AM27" s="36">
        <f>IF(AND(AM$4&gt;Resumen_Sprints!$E$9,AM$4&lt;=Resumen_Sprints!$E$9+Resumen_Sprints!$D$9),INDEX('Sprint N°4'!$C$9:$P$9,AM$4-Resumen_Sprints!$E$9),0)</f>
        <v>0</v>
      </c>
      <c r="AN27" s="36">
        <f>IF(AND(AN$4&gt;Resumen_Sprints!$E$9,AN$4&lt;=Resumen_Sprints!$E$9+Resumen_Sprints!$D$9),INDEX('Sprint N°4'!$C$9:$P$9,AN$4-Resumen_Sprints!$E$9),0)</f>
        <v>0</v>
      </c>
      <c r="AO27" s="36">
        <f>IF(AND(AO$4&gt;Resumen_Sprints!$E$9,AO$4&lt;=Resumen_Sprints!$E$9+Resumen_Sprints!$D$9),INDEX('Sprint N°4'!$C$9:$P$9,AO$4-Resumen_Sprints!$E$9),0)</f>
        <v>2</v>
      </c>
      <c r="AP27" s="36">
        <f>IF(AND(AP$4&gt;Resumen_Sprints!$E$9,AP$4&lt;=Resumen_Sprints!$E$9+Resumen_Sprints!$D$9),INDEX('Sprint N°4'!$C$9:$P$9,AP$4-Resumen_Sprints!$E$9),0)</f>
        <v>7</v>
      </c>
      <c r="AQ27" s="36">
        <f>IF(AND(AQ$4&gt;Resumen_Sprints!$E$9,AQ$4&lt;=Resumen_Sprints!$E$9+Resumen_Sprints!$D$9),INDEX('Sprint N°4'!$C$9:$P$9,AQ$4-Resumen_Sprints!$E$9),0)</f>
        <v>7</v>
      </c>
      <c r="AR27" s="36">
        <f>IF(AND(AR$4&gt;Resumen_Sprints!$E$9,AR$4&lt;=Resumen_Sprints!$E$9+Resumen_Sprints!$D$9),INDEX('Sprint N°4'!$C$9:$P$9,AR$4-Resumen_Sprints!$E$9),0)</f>
        <v>0</v>
      </c>
      <c r="AS27" s="36">
        <f>IF(AND(AS$4&gt;Resumen_Sprints!$E$9,AS$4&lt;=Resumen_Sprints!$E$9+Resumen_Sprints!$D$9),INDEX('Sprint N°4'!$C$9:$P$9,AS$4-Resumen_Sprints!$E$9),0)</f>
        <v>0</v>
      </c>
      <c r="AT27" s="36">
        <f>IF(AND(AT$4&gt;Resumen_Sprints!$E$9,AT$4&lt;=Resumen_Sprints!$E$9+Resumen_Sprints!$D$9),INDEX('Sprint N°4'!$C$9:$P$9,AT$4-Resumen_Sprints!$E$9),0)</f>
        <v>0</v>
      </c>
      <c r="AU27" s="36">
        <f>IF(AND(AU$4&gt;Resumen_Sprints!$E$9,AU$4&lt;=Resumen_Sprints!$E$9+Resumen_Sprints!$D$9),INDEX('Sprint N°4'!$C$9:$P$9,AU$4-Resumen_Sprints!$E$9),0)</f>
        <v>0</v>
      </c>
      <c r="AV27" s="36">
        <f>IF(AND(AV$4&gt;Resumen_Sprints!$E$9,AV$4&lt;=Resumen_Sprints!$E$9+Resumen_Sprints!$D$9),INDEX('Sprint N°4'!$C$9:$P$9,AV$4-Resumen_Sprints!$E$9),0)</f>
        <v>0</v>
      </c>
      <c r="AW27" s="36">
        <f>IF(AND(AW$4&gt;Resumen_Sprints!$E$9,AW$4&lt;=Resumen_Sprints!$E$9+Resumen_Sprints!$D$9),INDEX('Sprint N°4'!$C$9:$P$9,AW$4-Resumen_Sprints!$E$9),0)</f>
        <v>0</v>
      </c>
      <c r="AX27" s="36">
        <f>IF(AND(AX$4&gt;Resumen_Sprints!$E$9,AX$4&lt;=Resumen_Sprints!$E$9+Resumen_Sprints!$D$9),INDEX('Sprint N°4'!$C$9:$P$9,AX$4-Resumen_Sprints!$E$9),0)</f>
        <v>0</v>
      </c>
      <c r="AY27" s="36">
        <f>IF(AND(AY$4&gt;Resumen_Sprints!$E$9,AY$4&lt;=Resumen_Sprints!$E$9+Resumen_Sprints!$D$9),INDEX('Sprint N°4'!$C$9:$P$9,AY$4-Resumen_Sprints!$E$9),0)</f>
        <v>0</v>
      </c>
      <c r="AZ27" s="36">
        <f>IF(AND(AZ$4&gt;Resumen_Sprints!$E$9,AZ$4&lt;=Resumen_Sprints!$E$9+Resumen_Sprints!$D$9),INDEX('Sprint N°4'!$C$9:$P$9,AZ$4-Resumen_Sprints!$E$9),0)</f>
        <v>0</v>
      </c>
      <c r="BA27" s="36">
        <f>IF(AND(BA$4&gt;Resumen_Sprints!$E$9,BA$4&lt;=Resumen_Sprints!$E$9+Resumen_Sprints!$D$9),INDEX('Sprint N°4'!$C$9:$P$9,BA$4-Resumen_Sprints!$E$9),0)</f>
        <v>0</v>
      </c>
      <c r="BB27" s="36">
        <f>IF(AND(BB$4&gt;Resumen_Sprints!$E$9,BB$4&lt;=Resumen_Sprints!$E$9+Resumen_Sprints!$D$9),INDEX('Sprint N°4'!$C$9:$P$9,BB$4-Resumen_Sprints!$E$9),0)</f>
        <v>0</v>
      </c>
      <c r="BC27" s="36">
        <f>IF(AND(BC$4&gt;Resumen_Sprints!$E$9,BC$4&lt;=Resumen_Sprints!$E$9+Resumen_Sprints!$D$9),INDEX('Sprint N°4'!$C$9:$P$9,BC$4-Resumen_Sprints!$E$9),0)</f>
        <v>0</v>
      </c>
      <c r="BD27" s="36">
        <f>IF(AND(BD$4&gt;Resumen_Sprints!$E$9,BD$4&lt;=Resumen_Sprints!$E$9+Resumen_Sprints!$D$9),INDEX('Sprint N°4'!$C$9:$P$9,BD$4-Resumen_Sprints!$E$9),0)</f>
        <v>0</v>
      </c>
      <c r="BE27" s="36">
        <f>IF(AND(BE$4&gt;Resumen_Sprints!$E$9,BE$4&lt;=Resumen_Sprints!$E$9+Resumen_Sprints!$D$9),INDEX('Sprint N°4'!$C$9:$P$9,BE$4-Resumen_Sprints!$E$9),0)</f>
        <v>0</v>
      </c>
      <c r="BF27" s="36">
        <f>IF(AND(BF$4&gt;Resumen_Sprints!$E$9,BF$4&lt;=Resumen_Sprints!$E$9+Resumen_Sprints!$D$9),INDEX('Sprint N°4'!$C$9:$P$9,BF$4-Resumen_Sprints!$E$9),0)</f>
        <v>0</v>
      </c>
      <c r="BG27" s="36">
        <f>IF(AND(BG$4&gt;Resumen_Sprints!$E$9,BG$4&lt;=Resumen_Sprints!$E$9+Resumen_Sprints!$D$9),INDEX('Sprint N°4'!$C$9:$P$9,BG$4-Resumen_Sprints!$E$9),0)</f>
        <v>0</v>
      </c>
      <c r="BH27" s="36">
        <f>IF(AND(BH$4&gt;Resumen_Sprints!$E$9,BH$4&lt;=Resumen_Sprints!$E$9+Resumen_Sprints!$D$9),INDEX('Sprint N°4'!$C$9:$P$9,BH$4-Resumen_Sprints!$E$9),0)</f>
        <v>0</v>
      </c>
      <c r="BI27" s="36">
        <f>IF(AND(BI$4&gt;Resumen_Sprints!$E$9,BI$4&lt;=Resumen_Sprints!$E$9+Resumen_Sprints!$D$9),INDEX('Sprint N°4'!$C$9:$P$9,BI$4-Resumen_Sprints!$E$9),0)</f>
        <v>0</v>
      </c>
      <c r="BJ27" s="36">
        <f>IF(AND(BJ$4&gt;Resumen_Sprints!$E$9,BJ$4&lt;=Resumen_Sprints!$E$9+Resumen_Sprints!$D$9),INDEX('Sprint N°4'!$C$9:$P$9,BJ$4-Resumen_Sprints!$E$9),0)</f>
        <v>0</v>
      </c>
      <c r="BK27" s="36">
        <f>IF(AND(BK$4&gt;Resumen_Sprints!$E$9,BK$4&lt;=Resumen_Sprints!$E$9+Resumen_Sprints!$D$9),INDEX('Sprint N°4'!$C$9:$P$9,BK$4-Resumen_Sprints!$E$9),0)</f>
        <v>0</v>
      </c>
      <c r="BL27" s="36">
        <f>IF(AND(BL$4&gt;Resumen_Sprints!$E$9,BL$4&lt;=Resumen_Sprints!$E$9+Resumen_Sprints!$D$9),INDEX('Sprint N°4'!$C$9:$P$9,BL$4-Resumen_Sprints!$E$9),0)</f>
        <v>0</v>
      </c>
      <c r="BM27" s="36">
        <f>IF(AND(BM$4&gt;Resumen_Sprints!$E$9,BM$4&lt;=Resumen_Sprints!$E$9+Resumen_Sprints!$D$9),INDEX('Sprint N°4'!$C$9:$P$9,BM$4-Resumen_Sprints!$E$9),0)</f>
        <v>0</v>
      </c>
      <c r="BN27" s="36">
        <f>IF(AND(BN$4&gt;Resumen_Sprints!$E$9,BN$4&lt;=Resumen_Sprints!$E$9+Resumen_Sprints!$D$9),INDEX('Sprint N°4'!$C$9:$P$9,BN$4-Resumen_Sprints!$E$9),0)</f>
        <v>0</v>
      </c>
      <c r="BO27" s="36">
        <f>IF(AND(BO$4&gt;Resumen_Sprints!$E$9,BO$4&lt;=Resumen_Sprints!$E$9+Resumen_Sprints!$D$9),INDEX('Sprint N°4'!$C$9:$P$9,BO$4-Resumen_Sprints!$E$9),0)</f>
        <v>0</v>
      </c>
      <c r="BP27" s="36">
        <f>IF(AND(BP$4&gt;Resumen_Sprints!$E$9,BP$4&lt;=Resumen_Sprints!$E$9+Resumen_Sprints!$D$9),INDEX('Sprint N°4'!$C$9:$P$9,BP$4-Resumen_Sprints!$E$9),0)</f>
        <v>0</v>
      </c>
      <c r="BQ27" s="36">
        <f>IF(AND(BQ$4&gt;Resumen_Sprints!$E$9,BQ$4&lt;=Resumen_Sprints!$E$9+Resumen_Sprints!$D$9),INDEX('Sprint N°4'!$C$9:$P$9,BQ$4-Resumen_Sprints!$E$9),0)</f>
        <v>0</v>
      </c>
      <c r="BR27" s="36">
        <f>IF(AND(BR$4&gt;Resumen_Sprints!$E$9,BR$4&lt;=Resumen_Sprints!$E$9+Resumen_Sprints!$D$9),INDEX('Sprint N°4'!$C$9:$P$9,BR$4-Resumen_Sprints!$E$9),0)</f>
        <v>0</v>
      </c>
      <c r="BS27" s="36">
        <f>IF(AND(BS$4&gt;Resumen_Sprints!$E$9,BS$4&lt;=Resumen_Sprints!$E$9+Resumen_Sprints!$D$9),INDEX('Sprint N°4'!$C$9:$P$9,BS$4-Resumen_Sprints!$E$9),0)</f>
        <v>0</v>
      </c>
      <c r="BT27" s="36">
        <f>IF(AND(BT$4&gt;Resumen_Sprints!$E$9,BT$4&lt;=Resumen_Sprints!$E$9+Resumen_Sprints!$D$9),INDEX('Sprint N°4'!$C$9:$P$9,BT$4-Resumen_Sprints!$E$9),0)</f>
        <v>0</v>
      </c>
      <c r="BU27" s="36">
        <f>IF(AND(BU$4&gt;Resumen_Sprints!$E$9,BU$4&lt;=Resumen_Sprints!$E$9+Resumen_Sprints!$D$9),INDEX('Sprint N°4'!$C$9:$P$9,BU$4-Resumen_Sprints!$E$9),0)</f>
        <v>0</v>
      </c>
      <c r="BV27" s="36">
        <f>IF(AND(BV$4&gt;Resumen_Sprints!$E$9,BV$4&lt;=Resumen_Sprints!$E$9+Resumen_Sprints!$D$9),INDEX('Sprint N°4'!$C$9:$P$9,BV$4-Resumen_Sprints!$E$9),0)</f>
        <v>0</v>
      </c>
      <c r="BW27" s="36">
        <f>IF(AND(BW$4&gt;Resumen_Sprints!$E$9,BW$4&lt;=Resumen_Sprints!$E$9+Resumen_Sprints!$D$9),INDEX('Sprint N°4'!$C$9:$P$9,BW$4-Resumen_Sprints!$E$9),0)</f>
        <v>0</v>
      </c>
      <c r="BX27" s="36">
        <f>IF(AND(BX$4&gt;Resumen_Sprints!$E$9,BX$4&lt;=Resumen_Sprints!$E$9+Resumen_Sprints!$D$9),INDEX('Sprint N°4'!$C$9:$P$9,BX$4-Resumen_Sprints!$E$9),0)</f>
        <v>0</v>
      </c>
      <c r="BY27" s="36">
        <f>IF(AND(BY$4&gt;Resumen_Sprints!$E$9,BY$4&lt;=Resumen_Sprints!$E$9+Resumen_Sprints!$D$9),INDEX('Sprint N°4'!$C$9:$P$9,BY$4-Resumen_Sprints!$E$9),0)</f>
        <v>0</v>
      </c>
      <c r="BZ27" s="36">
        <f>IF(AND(BZ$4&gt;Resumen_Sprints!$E$9,BZ$4&lt;=Resumen_Sprints!$E$9+Resumen_Sprints!$D$9),INDEX('Sprint N°4'!$C$9:$P$9,BZ$4-Resumen_Sprints!$E$9),0)</f>
        <v>0</v>
      </c>
      <c r="CA27" s="36">
        <f>IF(AND(CA$4&gt;Resumen_Sprints!$E$9,CA$4&lt;=Resumen_Sprints!$E$9+Resumen_Sprints!$D$9),INDEX('Sprint N°4'!$C$9:$P$9,CA$4-Resumen_Sprints!$E$9),0)</f>
        <v>0</v>
      </c>
      <c r="CB27" s="36">
        <f>IF(AND(CB$4&gt;Resumen_Sprints!$E$9,CB$4&lt;=Resumen_Sprints!$E$9+Resumen_Sprints!$D$9),INDEX('Sprint N°4'!$C$9:$P$9,CB$4-Resumen_Sprints!$E$9),0)</f>
        <v>0</v>
      </c>
      <c r="CC27" s="36">
        <f>IF(AND(CC$4&gt;Resumen_Sprints!$E$9,CC$4&lt;=Resumen_Sprints!$E$9+Resumen_Sprints!$D$9),INDEX('Sprint N°4'!$C$9:$P$9,CC$4-Resumen_Sprints!$E$9),0)</f>
        <v>0</v>
      </c>
      <c r="CD27" s="36">
        <f>IF(AND(CD$4&gt;Resumen_Sprints!$E$9,CD$4&lt;=Resumen_Sprints!$E$9+Resumen_Sprints!$D$9),INDEX('Sprint N°4'!$C$9:$P$9,CD$4-Resumen_Sprints!$E$9),0)</f>
        <v>0</v>
      </c>
      <c r="CE27" s="36">
        <f>IF(AND(CE$4&gt;Resumen_Sprints!$E$9,CE$4&lt;=Resumen_Sprints!$E$9+Resumen_Sprints!$D$9),INDEX('Sprint N°4'!$C$9:$P$9,CE$4-Resumen_Sprints!$E$9),0)</f>
        <v>0</v>
      </c>
      <c r="CF27" s="36">
        <f>IF(AND(CF$4&gt;Resumen_Sprints!$E$9,CF$4&lt;=Resumen_Sprints!$E$9+Resumen_Sprints!$D$9),INDEX('Sprint N°4'!$C$9:$P$9,CF$4-Resumen_Sprints!$E$9),0)</f>
        <v>0</v>
      </c>
      <c r="CG27" s="36">
        <f>IF(AND(CG$4&gt;Resumen_Sprints!$E$9,CG$4&lt;=Resumen_Sprints!$E$9+Resumen_Sprints!$D$9),INDEX('Sprint N°4'!$C$9:$P$9,CG$4-Resumen_Sprints!$E$9),0)</f>
        <v>0</v>
      </c>
      <c r="CH27" s="36">
        <f>IF(AND(CH$4&gt;Resumen_Sprints!$E$9,CH$4&lt;=Resumen_Sprints!$E$9+Resumen_Sprints!$D$9),INDEX('Sprint N°4'!$C$9:$P$9,CH$4-Resumen_Sprints!$E$9),0)</f>
        <v>0</v>
      </c>
      <c r="CI27" s="36">
        <f>IF(AND(CI$4&gt;Resumen_Sprints!$E$9,CI$4&lt;=Resumen_Sprints!$E$9+Resumen_Sprints!$D$9),INDEX('Sprint N°4'!$C$9:$P$9,CI$4-Resumen_Sprints!$E$9),0)</f>
        <v>0</v>
      </c>
      <c r="CJ27" s="36">
        <f>IF(AND(CJ$4&gt;Resumen_Sprints!$E$9,CJ$4&lt;=Resumen_Sprints!$E$9+Resumen_Sprints!$D$9),INDEX('Sprint N°4'!$C$9:$P$9,CJ$4-Resumen_Sprints!$E$9),0)</f>
        <v>0</v>
      </c>
      <c r="CK27" s="36">
        <f>IF(AND(CK$4&gt;Resumen_Sprints!$E$9,CK$4&lt;=Resumen_Sprints!$E$9+Resumen_Sprints!$D$9),INDEX('Sprint N°4'!$C$9:$P$9,CK$4-Resumen_Sprints!$E$9),0)</f>
        <v>0</v>
      </c>
      <c r="CL27" s="36">
        <f>IF(AND(CL$4&gt;Resumen_Sprints!$E$9,CL$4&lt;=Resumen_Sprints!$E$9+Resumen_Sprints!$D$9),INDEX('Sprint N°4'!$C$9:$P$9,CL$4-Resumen_Sprints!$E$9),0)</f>
        <v>0</v>
      </c>
      <c r="CM27" s="36">
        <f>IF(AND(CM$4&gt;Resumen_Sprints!$E$9,CM$4&lt;=Resumen_Sprints!$E$9+Resumen_Sprints!$D$9),INDEX('Sprint N°4'!$C$9:$P$9,CM$4-Resumen_Sprints!$E$9),0)</f>
        <v>0</v>
      </c>
      <c r="CN27" s="36">
        <f>IF(AND(CN$4&gt;Resumen_Sprints!$E$9,CN$4&lt;=Resumen_Sprints!$E$9+Resumen_Sprints!$D$9),INDEX('Sprint N°4'!$C$9:$P$9,CN$4-Resumen_Sprints!$E$9),0)</f>
        <v>0</v>
      </c>
      <c r="CO27" s="36">
        <f>IF(AND(CO$4&gt;Resumen_Sprints!$E$9,CO$4&lt;=Resumen_Sprints!$E$9+Resumen_Sprints!$D$9),INDEX('Sprint N°4'!$C$9:$P$9,CO$4-Resumen_Sprints!$E$9),0)</f>
        <v>0</v>
      </c>
      <c r="CP27" s="36">
        <f>IF(AND(CP$4&gt;Resumen_Sprints!$E$9,CP$4&lt;=Resumen_Sprints!$E$9+Resumen_Sprints!$D$9),INDEX('Sprint N°4'!$C$9:$P$9,CP$4-Resumen_Sprints!$E$9),0)</f>
        <v>0</v>
      </c>
      <c r="CQ27" s="36">
        <f>IF(AND(CQ$4&gt;Resumen_Sprints!$E$9,CQ$4&lt;=Resumen_Sprints!$E$9+Resumen_Sprints!$D$9),INDEX('Sprint N°4'!$C$9:$P$9,CQ$4-Resumen_Sprints!$E$9),0)</f>
        <v>0</v>
      </c>
      <c r="CR27" s="36">
        <f>IF(AND(CR$4&gt;Resumen_Sprints!$E$9,CR$4&lt;=Resumen_Sprints!$E$9+Resumen_Sprints!$D$9),INDEX('Sprint N°4'!$C$9:$P$9,CR$4-Resumen_Sprints!$E$9),0)</f>
        <v>0</v>
      </c>
      <c r="CS27" s="36">
        <f>IF(AND(CS$4&gt;Resumen_Sprints!$E$9,CS$4&lt;=Resumen_Sprints!$E$9+Resumen_Sprints!$D$9),INDEX('Sprint N°4'!$C$9:$P$9,CS$4-Resumen_Sprints!$E$9),0)</f>
        <v>0</v>
      </c>
      <c r="CT27" s="36">
        <f>IF(AND(CT$4&gt;Resumen_Sprints!$E$9,CT$4&lt;=Resumen_Sprints!$E$9+Resumen_Sprints!$D$9),INDEX('Sprint N°4'!$C$9:$P$9,CT$4-Resumen_Sprints!$E$9),0)</f>
        <v>0</v>
      </c>
      <c r="CU27" s="10">
        <f>SUM(C27:CT27)</f>
        <v>16</v>
      </c>
    </row>
    <row r="28" spans="1:99" x14ac:dyDescent="0.3">
      <c r="A28" s="17" t="str">
        <f>"Sprint N°"&amp;Resumen_Sprints!A10&amp;" – "&amp;Resumen_Sprints!B10</f>
        <v>Sprint N°5 – Interfaz Gráfica Interactiva</v>
      </c>
      <c r="B28" s="26">
        <f>SUM(B29:B32)</f>
        <v>97</v>
      </c>
      <c r="CU28" s="44"/>
    </row>
    <row r="29" spans="1:99" x14ac:dyDescent="0.3">
      <c r="A29" s="22" t="str">
        <f>'Sprint N°5'!A6</f>
        <v>Coordinación del Objetivos Sprint 5</v>
      </c>
      <c r="B29" s="22">
        <f>'Sprint N°5'!B6</f>
        <v>1</v>
      </c>
      <c r="C29" s="36">
        <f>IF(AND(C$4&gt;Resumen_Sprints!$E$10,C$4&lt;=Resumen_Sprints!$E$10+Resumen_Sprints!$D$10),INDEX('Sprint N°5'!$C$6:$R$6,C$4-Resumen_Sprints!$E$10),0)</f>
        <v>0</v>
      </c>
      <c r="D29" s="36">
        <f>IF(AND(D$4&gt;Resumen_Sprints!$E$10,D$4&lt;=Resumen_Sprints!$E$10+Resumen_Sprints!$D$10),INDEX('Sprint N°5'!$C$6:$R$6,D$4-Resumen_Sprints!$E$10),0)</f>
        <v>0</v>
      </c>
      <c r="E29" s="36">
        <f>IF(AND(E$4&gt;Resumen_Sprints!$E$10,E$4&lt;=Resumen_Sprints!$E$10+Resumen_Sprints!$D$10),INDEX('Sprint N°5'!$C$6:$R$6,E$4-Resumen_Sprints!$E$10),0)</f>
        <v>0</v>
      </c>
      <c r="F29" s="36">
        <f>IF(AND(F$4&gt;Resumen_Sprints!$E$10,F$4&lt;=Resumen_Sprints!$E$10+Resumen_Sprints!$D$10),INDEX('Sprint N°5'!$C$6:$R$6,F$4-Resumen_Sprints!$E$10),0)</f>
        <v>0</v>
      </c>
      <c r="G29" s="36">
        <f>IF(AND(G$4&gt;Resumen_Sprints!$E$10,G$4&lt;=Resumen_Sprints!$E$10+Resumen_Sprints!$D$10),INDEX('Sprint N°5'!$C$6:$R$6,G$4-Resumen_Sprints!$E$10),0)</f>
        <v>0</v>
      </c>
      <c r="H29" s="36">
        <f>IF(AND(H$4&gt;Resumen_Sprints!$E$10,H$4&lt;=Resumen_Sprints!$E$10+Resumen_Sprints!$D$10),INDEX('Sprint N°5'!$C$6:$R$6,H$4-Resumen_Sprints!$E$10),0)</f>
        <v>0</v>
      </c>
      <c r="I29" s="36">
        <f>IF(AND(I$4&gt;Resumen_Sprints!$E$10,I$4&lt;=Resumen_Sprints!$E$10+Resumen_Sprints!$D$10),INDEX('Sprint N°5'!$C$6:$R$6,I$4-Resumen_Sprints!$E$10),0)</f>
        <v>0</v>
      </c>
      <c r="J29" s="36">
        <f>IF(AND(J$4&gt;Resumen_Sprints!$E$10,J$4&lt;=Resumen_Sprints!$E$10+Resumen_Sprints!$D$10),INDEX('Sprint N°5'!$C$6:$R$6,J$4-Resumen_Sprints!$E$10),0)</f>
        <v>0</v>
      </c>
      <c r="K29" s="36">
        <f>IF(AND(K$4&gt;Resumen_Sprints!$E$10,K$4&lt;=Resumen_Sprints!$E$10+Resumen_Sprints!$D$10),INDEX('Sprint N°5'!$C$6:$R$6,K$4-Resumen_Sprints!$E$10),0)</f>
        <v>0</v>
      </c>
      <c r="L29" s="36">
        <f>IF(AND(L$4&gt;Resumen_Sprints!$E$10,L$4&lt;=Resumen_Sprints!$E$10+Resumen_Sprints!$D$10),INDEX('Sprint N°5'!$C$6:$R$6,L$4-Resumen_Sprints!$E$10),0)</f>
        <v>0</v>
      </c>
      <c r="M29" s="36">
        <f>IF(AND(M$4&gt;Resumen_Sprints!$E$10,M$4&lt;=Resumen_Sprints!$E$10+Resumen_Sprints!$D$10),INDEX('Sprint N°5'!$C$6:$R$6,M$4-Resumen_Sprints!$E$10),0)</f>
        <v>0</v>
      </c>
      <c r="N29" s="36">
        <f>IF(AND(N$4&gt;Resumen_Sprints!$E$10,N$4&lt;=Resumen_Sprints!$E$10+Resumen_Sprints!$D$10),INDEX('Sprint N°5'!$C$6:$R$6,N$4-Resumen_Sprints!$E$10),0)</f>
        <v>0</v>
      </c>
      <c r="O29" s="36">
        <f>IF(AND(O$4&gt;Resumen_Sprints!$E$10,O$4&lt;=Resumen_Sprints!$E$10+Resumen_Sprints!$D$10),INDEX('Sprint N°5'!$C$6:$R$6,O$4-Resumen_Sprints!$E$10),0)</f>
        <v>0</v>
      </c>
      <c r="P29" s="36">
        <f>IF(AND(P$4&gt;Resumen_Sprints!$E$10,P$4&lt;=Resumen_Sprints!$E$10+Resumen_Sprints!$D$10),INDEX('Sprint N°5'!$C$6:$R$6,P$4-Resumen_Sprints!$E$10),0)</f>
        <v>0</v>
      </c>
      <c r="Q29" s="36">
        <f>IF(AND(Q$4&gt;Resumen_Sprints!$E$10,Q$4&lt;=Resumen_Sprints!$E$10+Resumen_Sprints!$D$10),INDEX('Sprint N°5'!$C$6:$R$6,Q$4-Resumen_Sprints!$E$10),0)</f>
        <v>0</v>
      </c>
      <c r="R29" s="36">
        <f>IF(AND(R$4&gt;Resumen_Sprints!$E$10,R$4&lt;=Resumen_Sprints!$E$10+Resumen_Sprints!$D$10),INDEX('Sprint N°5'!$C$6:$R$6,R$4-Resumen_Sprints!$E$10),0)</f>
        <v>0</v>
      </c>
      <c r="S29" s="36">
        <f>IF(AND(S$4&gt;Resumen_Sprints!$E$10,S$4&lt;=Resumen_Sprints!$E$10+Resumen_Sprints!$D$10),INDEX('Sprint N°5'!$C$6:$R$6,S$4-Resumen_Sprints!$E$10),0)</f>
        <v>0</v>
      </c>
      <c r="T29" s="36">
        <f>IF(AND(T$4&gt;Resumen_Sprints!$E$10,T$4&lt;=Resumen_Sprints!$E$10+Resumen_Sprints!$D$10),INDEX('Sprint N°5'!$C$6:$R$6,T$4-Resumen_Sprints!$E$10),0)</f>
        <v>0</v>
      </c>
      <c r="U29" s="36">
        <f>IF(AND(U$4&gt;Resumen_Sprints!$E$10,U$4&lt;=Resumen_Sprints!$E$10+Resumen_Sprints!$D$10),INDEX('Sprint N°5'!$C$6:$R$6,U$4-Resumen_Sprints!$E$10),0)</f>
        <v>0</v>
      </c>
      <c r="V29" s="36">
        <f>IF(AND(V$4&gt;Resumen_Sprints!$E$10,V$4&lt;=Resumen_Sprints!$E$10+Resumen_Sprints!$D$10),INDEX('Sprint N°5'!$C$6:$R$6,V$4-Resumen_Sprints!$E$10),0)</f>
        <v>0</v>
      </c>
      <c r="W29" s="36">
        <f>IF(AND(W$4&gt;Resumen_Sprints!$E$10,W$4&lt;=Resumen_Sprints!$E$10+Resumen_Sprints!$D$10),INDEX('Sprint N°5'!$C$6:$R$6,W$4-Resumen_Sprints!$E$10),0)</f>
        <v>0</v>
      </c>
      <c r="X29" s="36">
        <f>IF(AND(X$4&gt;Resumen_Sprints!$E$10,X$4&lt;=Resumen_Sprints!$E$10+Resumen_Sprints!$D$10),INDEX('Sprint N°5'!$C$6:$R$6,X$4-Resumen_Sprints!$E$10),0)</f>
        <v>0</v>
      </c>
      <c r="Y29" s="36">
        <f>IF(AND(Y$4&gt;Resumen_Sprints!$E$10,Y$4&lt;=Resumen_Sprints!$E$10+Resumen_Sprints!$D$10),INDEX('Sprint N°5'!$C$6:$R$6,Y$4-Resumen_Sprints!$E$10),0)</f>
        <v>0</v>
      </c>
      <c r="Z29" s="36">
        <f>IF(AND(Z$4&gt;Resumen_Sprints!$E$10,Z$4&lt;=Resumen_Sprints!$E$10+Resumen_Sprints!$D$10),INDEX('Sprint N°5'!$C$6:$R$6,Z$4-Resumen_Sprints!$E$10),0)</f>
        <v>0</v>
      </c>
      <c r="AA29" s="36">
        <f>IF(AND(AA$4&gt;Resumen_Sprints!$E$10,AA$4&lt;=Resumen_Sprints!$E$10+Resumen_Sprints!$D$10),INDEX('Sprint N°5'!$C$6:$R$6,AA$4-Resumen_Sprints!$E$10),0)</f>
        <v>0</v>
      </c>
      <c r="AB29" s="36">
        <f>IF(AND(AB$4&gt;Resumen_Sprints!$E$10,AB$4&lt;=Resumen_Sprints!$E$10+Resumen_Sprints!$D$10),INDEX('Sprint N°5'!$C$6:$R$6,AB$4-Resumen_Sprints!$E$10),0)</f>
        <v>0</v>
      </c>
      <c r="AC29" s="36">
        <f>IF(AND(AC$4&gt;Resumen_Sprints!$E$10,AC$4&lt;=Resumen_Sprints!$E$10+Resumen_Sprints!$D$10),INDEX('Sprint N°5'!$C$6:$R$6,AC$4-Resumen_Sprints!$E$10),0)</f>
        <v>0</v>
      </c>
      <c r="AD29" s="36">
        <f>IF(AND(AD$4&gt;Resumen_Sprints!$E$10,AD$4&lt;=Resumen_Sprints!$E$10+Resumen_Sprints!$D$10),INDEX('Sprint N°5'!$C$6:$R$6,AD$4-Resumen_Sprints!$E$10),0)</f>
        <v>0</v>
      </c>
      <c r="AE29" s="36">
        <f>IF(AND(AE$4&gt;Resumen_Sprints!$E$10,AE$4&lt;=Resumen_Sprints!$E$10+Resumen_Sprints!$D$10),INDEX('Sprint N°5'!$C$6:$R$6,AE$4-Resumen_Sprints!$E$10),0)</f>
        <v>0</v>
      </c>
      <c r="AF29" s="36">
        <f>IF(AND(AF$4&gt;Resumen_Sprints!$E$10,AF$4&lt;=Resumen_Sprints!$E$10+Resumen_Sprints!$D$10),INDEX('Sprint N°5'!$C$6:$R$6,AF$4-Resumen_Sprints!$E$10),0)</f>
        <v>0</v>
      </c>
      <c r="AG29" s="36">
        <f>IF(AND(AG$4&gt;Resumen_Sprints!$E$10,AG$4&lt;=Resumen_Sprints!$E$10+Resumen_Sprints!$D$10),INDEX('Sprint N°5'!$C$6:$R$6,AG$4-Resumen_Sprints!$E$10),0)</f>
        <v>0</v>
      </c>
      <c r="AH29" s="36">
        <f>IF(AND(AH$4&gt;Resumen_Sprints!$E$10,AH$4&lt;=Resumen_Sprints!$E$10+Resumen_Sprints!$D$10),INDEX('Sprint N°5'!$C$6:$R$6,AH$4-Resumen_Sprints!$E$10),0)</f>
        <v>0</v>
      </c>
      <c r="AI29" s="36">
        <f>IF(AND(AI$4&gt;Resumen_Sprints!$E$10,AI$4&lt;=Resumen_Sprints!$E$10+Resumen_Sprints!$D$10),INDEX('Sprint N°5'!$C$6:$R$6,AI$4-Resumen_Sprints!$E$10),0)</f>
        <v>0</v>
      </c>
      <c r="AJ29" s="36">
        <f>IF(AND(AJ$4&gt;Resumen_Sprints!$E$10,AJ$4&lt;=Resumen_Sprints!$E$10+Resumen_Sprints!$D$10),INDEX('Sprint N°5'!$C$6:$R$6,AJ$4-Resumen_Sprints!$E$10),0)</f>
        <v>0</v>
      </c>
      <c r="AK29" s="36">
        <f>IF(AND(AK$4&gt;Resumen_Sprints!$E$10,AK$4&lt;=Resumen_Sprints!$E$10+Resumen_Sprints!$D$10),INDEX('Sprint N°5'!$C$6:$R$6,AK$4-Resumen_Sprints!$E$10),0)</f>
        <v>0</v>
      </c>
      <c r="AL29" s="36">
        <f>IF(AND(AL$4&gt;Resumen_Sprints!$E$10,AL$4&lt;=Resumen_Sprints!$E$10+Resumen_Sprints!$D$10),INDEX('Sprint N°5'!$C$6:$R$6,AL$4-Resumen_Sprints!$E$10),0)</f>
        <v>0</v>
      </c>
      <c r="AM29" s="36">
        <f>IF(AND(AM$4&gt;Resumen_Sprints!$E$10,AM$4&lt;=Resumen_Sprints!$E$10+Resumen_Sprints!$D$10),INDEX('Sprint N°5'!$C$6:$R$6,AM$4-Resumen_Sprints!$E$10),0)</f>
        <v>0</v>
      </c>
      <c r="AN29" s="36">
        <f>IF(AND(AN$4&gt;Resumen_Sprints!$E$10,AN$4&lt;=Resumen_Sprints!$E$10+Resumen_Sprints!$D$10),INDEX('Sprint N°5'!$C$6:$R$6,AN$4-Resumen_Sprints!$E$10),0)</f>
        <v>0</v>
      </c>
      <c r="AO29" s="36">
        <f>IF(AND(AO$4&gt;Resumen_Sprints!$E$10,AO$4&lt;=Resumen_Sprints!$E$10+Resumen_Sprints!$D$10),INDEX('Sprint N°5'!$C$6:$R$6,AO$4-Resumen_Sprints!$E$10),0)</f>
        <v>0</v>
      </c>
      <c r="AP29" s="36">
        <f>IF(AND(AP$4&gt;Resumen_Sprints!$E$10,AP$4&lt;=Resumen_Sprints!$E$10+Resumen_Sprints!$D$10),INDEX('Sprint N°5'!$C$6:$R$6,AP$4-Resumen_Sprints!$E$10),0)</f>
        <v>0</v>
      </c>
      <c r="AQ29" s="36">
        <f>IF(AND(AQ$4&gt;Resumen_Sprints!$E$10,AQ$4&lt;=Resumen_Sprints!$E$10+Resumen_Sprints!$D$10),INDEX('Sprint N°5'!$C$6:$R$6,AQ$4-Resumen_Sprints!$E$10),0)</f>
        <v>0</v>
      </c>
      <c r="AR29" s="36">
        <f>IF(AND(AR$4&gt;Resumen_Sprints!$E$10,AR$4&lt;=Resumen_Sprints!$E$10+Resumen_Sprints!$D$10),INDEX('Sprint N°5'!$C$6:$R$6,AR$4-Resumen_Sprints!$E$10),0)</f>
        <v>1</v>
      </c>
      <c r="AS29" s="36">
        <f>IF(AND(AS$4&gt;Resumen_Sprints!$E$10,AS$4&lt;=Resumen_Sprints!$E$10+Resumen_Sprints!$D$10),INDEX('Sprint N°5'!$C$6:$R$6,AS$4-Resumen_Sprints!$E$10),0)</f>
        <v>0</v>
      </c>
      <c r="AT29" s="36">
        <f>IF(AND(AT$4&gt;Resumen_Sprints!$E$10,AT$4&lt;=Resumen_Sprints!$E$10+Resumen_Sprints!$D$10),INDEX('Sprint N°5'!$C$6:$R$6,AT$4-Resumen_Sprints!$E$10),0)</f>
        <v>0</v>
      </c>
      <c r="AU29" s="36">
        <f>IF(AND(AU$4&gt;Resumen_Sprints!$E$10,AU$4&lt;=Resumen_Sprints!$E$10+Resumen_Sprints!$D$10),INDEX('Sprint N°5'!$C$6:$R$6,AU$4-Resumen_Sprints!$E$10),0)</f>
        <v>0</v>
      </c>
      <c r="AV29" s="36">
        <f>IF(AND(AV$4&gt;Resumen_Sprints!$E$10,AV$4&lt;=Resumen_Sprints!$E$10+Resumen_Sprints!$D$10),INDEX('Sprint N°5'!$C$6:$R$6,AV$4-Resumen_Sprints!$E$10),0)</f>
        <v>0</v>
      </c>
      <c r="AW29" s="36">
        <f>IF(AND(AW$4&gt;Resumen_Sprints!$E$10,AW$4&lt;=Resumen_Sprints!$E$10+Resumen_Sprints!$D$10),INDEX('Sprint N°5'!$C$6:$R$6,AW$4-Resumen_Sprints!$E$10),0)</f>
        <v>0</v>
      </c>
      <c r="AX29" s="36">
        <f>IF(AND(AX$4&gt;Resumen_Sprints!$E$10,AX$4&lt;=Resumen_Sprints!$E$10+Resumen_Sprints!$D$10),INDEX('Sprint N°5'!$C$6:$R$6,AX$4-Resumen_Sprints!$E$10),0)</f>
        <v>0</v>
      </c>
      <c r="AY29" s="36">
        <f>IF(AND(AY$4&gt;Resumen_Sprints!$E$10,AY$4&lt;=Resumen_Sprints!$E$10+Resumen_Sprints!$D$10),INDEX('Sprint N°5'!$C$6:$R$6,AY$4-Resumen_Sprints!$E$10),0)</f>
        <v>0</v>
      </c>
      <c r="AZ29" s="36">
        <f>IF(AND(AZ$4&gt;Resumen_Sprints!$E$10,AZ$4&lt;=Resumen_Sprints!$E$10+Resumen_Sprints!$D$10),INDEX('Sprint N°5'!$C$6:$R$6,AZ$4-Resumen_Sprints!$E$10),0)</f>
        <v>0</v>
      </c>
      <c r="BA29" s="36">
        <f>IF(AND(BA$4&gt;Resumen_Sprints!$E$10,BA$4&lt;=Resumen_Sprints!$E$10+Resumen_Sprints!$D$10),INDEX('Sprint N°5'!$C$6:$R$6,BA$4-Resumen_Sprints!$E$10),0)</f>
        <v>0</v>
      </c>
      <c r="BB29" s="36">
        <f>IF(AND(BB$4&gt;Resumen_Sprints!$E$10,BB$4&lt;=Resumen_Sprints!$E$10+Resumen_Sprints!$D$10),INDEX('Sprint N°5'!$C$6:$R$6,BB$4-Resumen_Sprints!$E$10),0)</f>
        <v>0</v>
      </c>
      <c r="BC29" s="36">
        <f>IF(AND(BC$4&gt;Resumen_Sprints!$E$10,BC$4&lt;=Resumen_Sprints!$E$10+Resumen_Sprints!$D$10),INDEX('Sprint N°5'!$C$6:$R$6,BC$4-Resumen_Sprints!$E$10),0)</f>
        <v>0</v>
      </c>
      <c r="BD29" s="36">
        <f>IF(AND(BD$4&gt;Resumen_Sprints!$E$10,BD$4&lt;=Resumen_Sprints!$E$10+Resumen_Sprints!$D$10),INDEX('Sprint N°5'!$C$6:$R$6,BD$4-Resumen_Sprints!$E$10),0)</f>
        <v>0</v>
      </c>
      <c r="BE29" s="36">
        <f>IF(AND(BE$4&gt;Resumen_Sprints!$E$10,BE$4&lt;=Resumen_Sprints!$E$10+Resumen_Sprints!$D$10),INDEX('Sprint N°5'!$C$6:$R$6,BE$4-Resumen_Sprints!$E$10),0)</f>
        <v>0</v>
      </c>
      <c r="BF29" s="36">
        <f>IF(AND(BF$4&gt;Resumen_Sprints!$E$10,BF$4&lt;=Resumen_Sprints!$E$10+Resumen_Sprints!$D$10),INDEX('Sprint N°5'!$C$6:$R$6,BF$4-Resumen_Sprints!$E$10),0)</f>
        <v>0</v>
      </c>
      <c r="BG29" s="36">
        <f>IF(AND(BG$4&gt;Resumen_Sprints!$E$10,BG$4&lt;=Resumen_Sprints!$E$10+Resumen_Sprints!$D$10),INDEX('Sprint N°5'!$C$6:$R$6,BG$4-Resumen_Sprints!$E$10),0)</f>
        <v>0</v>
      </c>
      <c r="BH29" s="36">
        <f>IF(AND(BH$4&gt;Resumen_Sprints!$E$10,BH$4&lt;=Resumen_Sprints!$E$10+Resumen_Sprints!$D$10),INDEX('Sprint N°5'!$C$6:$R$6,BH$4-Resumen_Sprints!$E$10),0)</f>
        <v>0</v>
      </c>
      <c r="BI29" s="36">
        <f>IF(AND(BI$4&gt;Resumen_Sprints!$E$10,BI$4&lt;=Resumen_Sprints!$E$10+Resumen_Sprints!$D$10),INDEX('Sprint N°5'!$C$6:$R$6,BI$4-Resumen_Sprints!$E$10),0)</f>
        <v>0</v>
      </c>
      <c r="BJ29" s="36">
        <f>IF(AND(BJ$4&gt;Resumen_Sprints!$E$10,BJ$4&lt;=Resumen_Sprints!$E$10+Resumen_Sprints!$D$10),INDEX('Sprint N°5'!$C$6:$R$6,BJ$4-Resumen_Sprints!$E$10),0)</f>
        <v>0</v>
      </c>
      <c r="BK29" s="36">
        <f>IF(AND(BK$4&gt;Resumen_Sprints!$E$10,BK$4&lt;=Resumen_Sprints!$E$10+Resumen_Sprints!$D$10),INDEX('Sprint N°5'!$C$6:$R$6,BK$4-Resumen_Sprints!$E$10),0)</f>
        <v>0</v>
      </c>
      <c r="BL29" s="36">
        <f>IF(AND(BL$4&gt;Resumen_Sprints!$E$10,BL$4&lt;=Resumen_Sprints!$E$10+Resumen_Sprints!$D$10),INDEX('Sprint N°5'!$C$6:$R$6,BL$4-Resumen_Sprints!$E$10),0)</f>
        <v>0</v>
      </c>
      <c r="BM29" s="36">
        <f>IF(AND(BM$4&gt;Resumen_Sprints!$E$10,BM$4&lt;=Resumen_Sprints!$E$10+Resumen_Sprints!$D$10),INDEX('Sprint N°5'!$C$6:$R$6,BM$4-Resumen_Sprints!$E$10),0)</f>
        <v>0</v>
      </c>
      <c r="BN29" s="36">
        <f>IF(AND(BN$4&gt;Resumen_Sprints!$E$10,BN$4&lt;=Resumen_Sprints!$E$10+Resumen_Sprints!$D$10),INDEX('Sprint N°5'!$C$6:$R$6,BN$4-Resumen_Sprints!$E$10),0)</f>
        <v>0</v>
      </c>
      <c r="BO29" s="36">
        <f>IF(AND(BO$4&gt;Resumen_Sprints!$E$10,BO$4&lt;=Resumen_Sprints!$E$10+Resumen_Sprints!$D$10),INDEX('Sprint N°5'!$C$6:$R$6,BO$4-Resumen_Sprints!$E$10),0)</f>
        <v>0</v>
      </c>
      <c r="BP29" s="36">
        <f>IF(AND(BP$4&gt;Resumen_Sprints!$E$10,BP$4&lt;=Resumen_Sprints!$E$10+Resumen_Sprints!$D$10),INDEX('Sprint N°5'!$C$6:$R$6,BP$4-Resumen_Sprints!$E$10),0)</f>
        <v>0</v>
      </c>
      <c r="BQ29" s="36">
        <f>IF(AND(BQ$4&gt;Resumen_Sprints!$E$10,BQ$4&lt;=Resumen_Sprints!$E$10+Resumen_Sprints!$D$10),INDEX('Sprint N°5'!$C$6:$R$6,BQ$4-Resumen_Sprints!$E$10),0)</f>
        <v>0</v>
      </c>
      <c r="BR29" s="36">
        <f>IF(AND(BR$4&gt;Resumen_Sprints!$E$10,BR$4&lt;=Resumen_Sprints!$E$10+Resumen_Sprints!$D$10),INDEX('Sprint N°5'!$C$6:$R$6,BR$4-Resumen_Sprints!$E$10),0)</f>
        <v>0</v>
      </c>
      <c r="BS29" s="36">
        <f>IF(AND(BS$4&gt;Resumen_Sprints!$E$10,BS$4&lt;=Resumen_Sprints!$E$10+Resumen_Sprints!$D$10),INDEX('Sprint N°5'!$C$6:$R$6,BS$4-Resumen_Sprints!$E$10),0)</f>
        <v>0</v>
      </c>
      <c r="BT29" s="36">
        <f>IF(AND(BT$4&gt;Resumen_Sprints!$E$10,BT$4&lt;=Resumen_Sprints!$E$10+Resumen_Sprints!$D$10),INDEX('Sprint N°5'!$C$6:$R$6,BT$4-Resumen_Sprints!$E$10),0)</f>
        <v>0</v>
      </c>
      <c r="BU29" s="36">
        <f>IF(AND(BU$4&gt;Resumen_Sprints!$E$10,BU$4&lt;=Resumen_Sprints!$E$10+Resumen_Sprints!$D$10),INDEX('Sprint N°5'!$C$6:$R$6,BU$4-Resumen_Sprints!$E$10),0)</f>
        <v>0</v>
      </c>
      <c r="BV29" s="36">
        <f>IF(AND(BV$4&gt;Resumen_Sprints!$E$10,BV$4&lt;=Resumen_Sprints!$E$10+Resumen_Sprints!$D$10),INDEX('Sprint N°5'!$C$6:$R$6,BV$4-Resumen_Sprints!$E$10),0)</f>
        <v>0</v>
      </c>
      <c r="BW29" s="36">
        <f>IF(AND(BW$4&gt;Resumen_Sprints!$E$10,BW$4&lt;=Resumen_Sprints!$E$10+Resumen_Sprints!$D$10),INDEX('Sprint N°5'!$C$6:$R$6,BW$4-Resumen_Sprints!$E$10),0)</f>
        <v>0</v>
      </c>
      <c r="BX29" s="36">
        <f>IF(AND(BX$4&gt;Resumen_Sprints!$E$10,BX$4&lt;=Resumen_Sprints!$E$10+Resumen_Sprints!$D$10),INDEX('Sprint N°5'!$C$6:$R$6,BX$4-Resumen_Sprints!$E$10),0)</f>
        <v>0</v>
      </c>
      <c r="BY29" s="36">
        <f>IF(AND(BY$4&gt;Resumen_Sprints!$E$10,BY$4&lt;=Resumen_Sprints!$E$10+Resumen_Sprints!$D$10),INDEX('Sprint N°5'!$C$6:$R$6,BY$4-Resumen_Sprints!$E$10),0)</f>
        <v>0</v>
      </c>
      <c r="BZ29" s="36">
        <f>IF(AND(BZ$4&gt;Resumen_Sprints!$E$10,BZ$4&lt;=Resumen_Sprints!$E$10+Resumen_Sprints!$D$10),INDEX('Sprint N°5'!$C$6:$R$6,BZ$4-Resumen_Sprints!$E$10),0)</f>
        <v>0</v>
      </c>
      <c r="CA29" s="36">
        <f>IF(AND(CA$4&gt;Resumen_Sprints!$E$10,CA$4&lt;=Resumen_Sprints!$E$10+Resumen_Sprints!$D$10),INDEX('Sprint N°5'!$C$6:$R$6,CA$4-Resumen_Sprints!$E$10),0)</f>
        <v>0</v>
      </c>
      <c r="CB29" s="36">
        <f>IF(AND(CB$4&gt;Resumen_Sprints!$E$10,CB$4&lt;=Resumen_Sprints!$E$10+Resumen_Sprints!$D$10),INDEX('Sprint N°5'!$C$6:$R$6,CB$4-Resumen_Sprints!$E$10),0)</f>
        <v>0</v>
      </c>
      <c r="CC29" s="36">
        <f>IF(AND(CC$4&gt;Resumen_Sprints!$E$10,CC$4&lt;=Resumen_Sprints!$E$10+Resumen_Sprints!$D$10),INDEX('Sprint N°5'!$C$6:$R$6,CC$4-Resumen_Sprints!$E$10),0)</f>
        <v>0</v>
      </c>
      <c r="CD29" s="36">
        <f>IF(AND(CD$4&gt;Resumen_Sprints!$E$10,CD$4&lt;=Resumen_Sprints!$E$10+Resumen_Sprints!$D$10),INDEX('Sprint N°5'!$C$6:$R$6,CD$4-Resumen_Sprints!$E$10),0)</f>
        <v>0</v>
      </c>
      <c r="CE29" s="36">
        <f>IF(AND(CE$4&gt;Resumen_Sprints!$E$10,CE$4&lt;=Resumen_Sprints!$E$10+Resumen_Sprints!$D$10),INDEX('Sprint N°5'!$C$6:$R$6,CE$4-Resumen_Sprints!$E$10),0)</f>
        <v>0</v>
      </c>
      <c r="CF29" s="36">
        <f>IF(AND(CF$4&gt;Resumen_Sprints!$E$10,CF$4&lt;=Resumen_Sprints!$E$10+Resumen_Sprints!$D$10),INDEX('Sprint N°5'!$C$6:$R$6,CF$4-Resumen_Sprints!$E$10),0)</f>
        <v>0</v>
      </c>
      <c r="CG29" s="36">
        <f>IF(AND(CG$4&gt;Resumen_Sprints!$E$10,CG$4&lt;=Resumen_Sprints!$E$10+Resumen_Sprints!$D$10),INDEX('Sprint N°5'!$C$6:$R$6,CG$4-Resumen_Sprints!$E$10),0)</f>
        <v>0</v>
      </c>
      <c r="CH29" s="36">
        <f>IF(AND(CH$4&gt;Resumen_Sprints!$E$10,CH$4&lt;=Resumen_Sprints!$E$10+Resumen_Sprints!$D$10),INDEX('Sprint N°5'!$C$6:$R$6,CH$4-Resumen_Sprints!$E$10),0)</f>
        <v>0</v>
      </c>
      <c r="CI29" s="36">
        <f>IF(AND(CI$4&gt;Resumen_Sprints!$E$10,CI$4&lt;=Resumen_Sprints!$E$10+Resumen_Sprints!$D$10),INDEX('Sprint N°5'!$C$6:$R$6,CI$4-Resumen_Sprints!$E$10),0)</f>
        <v>0</v>
      </c>
      <c r="CJ29" s="36">
        <f>IF(AND(CJ$4&gt;Resumen_Sprints!$E$10,CJ$4&lt;=Resumen_Sprints!$E$10+Resumen_Sprints!$D$10),INDEX('Sprint N°5'!$C$6:$R$6,CJ$4-Resumen_Sprints!$E$10),0)</f>
        <v>0</v>
      </c>
      <c r="CK29" s="36">
        <f>IF(AND(CK$4&gt;Resumen_Sprints!$E$10,CK$4&lt;=Resumen_Sprints!$E$10+Resumen_Sprints!$D$10),INDEX('Sprint N°5'!$C$6:$R$6,CK$4-Resumen_Sprints!$E$10),0)</f>
        <v>0</v>
      </c>
      <c r="CL29" s="36">
        <f>IF(AND(CL$4&gt;Resumen_Sprints!$E$10,CL$4&lt;=Resumen_Sprints!$E$10+Resumen_Sprints!$D$10),INDEX('Sprint N°5'!$C$6:$R$6,CL$4-Resumen_Sprints!$E$10),0)</f>
        <v>0</v>
      </c>
      <c r="CM29" s="36">
        <f>IF(AND(CM$4&gt;Resumen_Sprints!$E$10,CM$4&lt;=Resumen_Sprints!$E$10+Resumen_Sprints!$D$10),INDEX('Sprint N°5'!$C$6:$R$6,CM$4-Resumen_Sprints!$E$10),0)</f>
        <v>0</v>
      </c>
      <c r="CN29" s="36">
        <f>IF(AND(CN$4&gt;Resumen_Sprints!$E$10,CN$4&lt;=Resumen_Sprints!$E$10+Resumen_Sprints!$D$10),INDEX('Sprint N°5'!$C$6:$R$6,CN$4-Resumen_Sprints!$E$10),0)</f>
        <v>0</v>
      </c>
      <c r="CO29" s="36">
        <f>IF(AND(CO$4&gt;Resumen_Sprints!$E$10,CO$4&lt;=Resumen_Sprints!$E$10+Resumen_Sprints!$D$10),INDEX('Sprint N°5'!$C$6:$R$6,CO$4-Resumen_Sprints!$E$10),0)</f>
        <v>0</v>
      </c>
      <c r="CP29" s="36">
        <f>IF(AND(CP$4&gt;Resumen_Sprints!$E$10,CP$4&lt;=Resumen_Sprints!$E$10+Resumen_Sprints!$D$10),INDEX('Sprint N°5'!$C$6:$R$6,CP$4-Resumen_Sprints!$E$10),0)</f>
        <v>0</v>
      </c>
      <c r="CQ29" s="36">
        <f>IF(AND(CQ$4&gt;Resumen_Sprints!$E$10,CQ$4&lt;=Resumen_Sprints!$E$10+Resumen_Sprints!$D$10),INDEX('Sprint N°5'!$C$6:$R$6,CQ$4-Resumen_Sprints!$E$10),0)</f>
        <v>0</v>
      </c>
      <c r="CR29" s="36">
        <f>IF(AND(CR$4&gt;Resumen_Sprints!$E$10,CR$4&lt;=Resumen_Sprints!$E$10+Resumen_Sprints!$D$10),INDEX('Sprint N°5'!$C$6:$R$6,CR$4-Resumen_Sprints!$E$10),0)</f>
        <v>0</v>
      </c>
      <c r="CS29" s="36">
        <f>IF(AND(CS$4&gt;Resumen_Sprints!$E$10,CS$4&lt;=Resumen_Sprints!$E$10+Resumen_Sprints!$D$10),INDEX('Sprint N°5'!$C$6:$R$6,CS$4-Resumen_Sprints!$E$10),0)</f>
        <v>0</v>
      </c>
      <c r="CT29" s="36">
        <f>IF(AND(CT$4&gt;Resumen_Sprints!$E$10,CT$4&lt;=Resumen_Sprints!$E$10+Resumen_Sprints!$D$10),INDEX('Sprint N°5'!$C$6:$R$6,CT$4-Resumen_Sprints!$E$10),0)</f>
        <v>0</v>
      </c>
      <c r="CU29" s="10">
        <f>SUM(C29:CT29)</f>
        <v>1</v>
      </c>
    </row>
    <row r="30" spans="1:99" x14ac:dyDescent="0.3">
      <c r="A30" s="22" t="str">
        <f>'Sprint N°5'!A7</f>
        <v>Interfaz Principal y Formulario de Presupuesto</v>
      </c>
      <c r="B30" s="22">
        <f>'Sprint N°5'!B7</f>
        <v>24</v>
      </c>
      <c r="C30" s="36">
        <f>IF(AND(C$4&gt;Resumen_Sprints!$E$10,C$4&lt;=Resumen_Sprints!$E$10+Resumen_Sprints!$D$10),INDEX('Sprint N°5'!$C$7:$R$7,C$4-Resumen_Sprints!$E$10),0)</f>
        <v>0</v>
      </c>
      <c r="D30" s="36">
        <f>IF(AND(D$4&gt;Resumen_Sprints!$E$10,D$4&lt;=Resumen_Sprints!$E$10+Resumen_Sprints!$D$10),INDEX('Sprint N°5'!$C$7:$R$7,D$4-Resumen_Sprints!$E$10),0)</f>
        <v>0</v>
      </c>
      <c r="E30" s="36">
        <f>IF(AND(E$4&gt;Resumen_Sprints!$E$10,E$4&lt;=Resumen_Sprints!$E$10+Resumen_Sprints!$D$10),INDEX('Sprint N°5'!$C$7:$R$7,E$4-Resumen_Sprints!$E$10),0)</f>
        <v>0</v>
      </c>
      <c r="F30" s="36">
        <f>IF(AND(F$4&gt;Resumen_Sprints!$E$10,F$4&lt;=Resumen_Sprints!$E$10+Resumen_Sprints!$D$10),INDEX('Sprint N°5'!$C$7:$R$7,F$4-Resumen_Sprints!$E$10),0)</f>
        <v>0</v>
      </c>
      <c r="G30" s="36">
        <f>IF(AND(G$4&gt;Resumen_Sprints!$E$10,G$4&lt;=Resumen_Sprints!$E$10+Resumen_Sprints!$D$10),INDEX('Sprint N°5'!$C$7:$R$7,G$4-Resumen_Sprints!$E$10),0)</f>
        <v>0</v>
      </c>
      <c r="H30" s="36">
        <f>IF(AND(H$4&gt;Resumen_Sprints!$E$10,H$4&lt;=Resumen_Sprints!$E$10+Resumen_Sprints!$D$10),INDEX('Sprint N°5'!$C$7:$R$7,H$4-Resumen_Sprints!$E$10),0)</f>
        <v>0</v>
      </c>
      <c r="I30" s="36">
        <f>IF(AND(I$4&gt;Resumen_Sprints!$E$10,I$4&lt;=Resumen_Sprints!$E$10+Resumen_Sprints!$D$10),INDEX('Sprint N°5'!$C$7:$R$7,I$4-Resumen_Sprints!$E$10),0)</f>
        <v>0</v>
      </c>
      <c r="J30" s="36">
        <f>IF(AND(J$4&gt;Resumen_Sprints!$E$10,J$4&lt;=Resumen_Sprints!$E$10+Resumen_Sprints!$D$10),INDEX('Sprint N°5'!$C$7:$R$7,J$4-Resumen_Sprints!$E$10),0)</f>
        <v>0</v>
      </c>
      <c r="K30" s="36">
        <f>IF(AND(K$4&gt;Resumen_Sprints!$E$10,K$4&lt;=Resumen_Sprints!$E$10+Resumen_Sprints!$D$10),INDEX('Sprint N°5'!$C$7:$R$7,K$4-Resumen_Sprints!$E$10),0)</f>
        <v>0</v>
      </c>
      <c r="L30" s="36">
        <f>IF(AND(L$4&gt;Resumen_Sprints!$E$10,L$4&lt;=Resumen_Sprints!$E$10+Resumen_Sprints!$D$10),INDEX('Sprint N°5'!$C$7:$R$7,L$4-Resumen_Sprints!$E$10),0)</f>
        <v>0</v>
      </c>
      <c r="M30" s="36">
        <f>IF(AND(M$4&gt;Resumen_Sprints!$E$10,M$4&lt;=Resumen_Sprints!$E$10+Resumen_Sprints!$D$10),INDEX('Sprint N°5'!$C$7:$R$7,M$4-Resumen_Sprints!$E$10),0)</f>
        <v>0</v>
      </c>
      <c r="N30" s="36">
        <f>IF(AND(N$4&gt;Resumen_Sprints!$E$10,N$4&lt;=Resumen_Sprints!$E$10+Resumen_Sprints!$D$10),INDEX('Sprint N°5'!$C$7:$R$7,N$4-Resumen_Sprints!$E$10),0)</f>
        <v>0</v>
      </c>
      <c r="O30" s="36">
        <f>IF(AND(O$4&gt;Resumen_Sprints!$E$10,O$4&lt;=Resumen_Sprints!$E$10+Resumen_Sprints!$D$10),INDEX('Sprint N°5'!$C$7:$R$7,O$4-Resumen_Sprints!$E$10),0)</f>
        <v>0</v>
      </c>
      <c r="P30" s="36">
        <f>IF(AND(P$4&gt;Resumen_Sprints!$E$10,P$4&lt;=Resumen_Sprints!$E$10+Resumen_Sprints!$D$10),INDEX('Sprint N°5'!$C$7:$R$7,P$4-Resumen_Sprints!$E$10),0)</f>
        <v>0</v>
      </c>
      <c r="Q30" s="36">
        <f>IF(AND(Q$4&gt;Resumen_Sprints!$E$10,Q$4&lt;=Resumen_Sprints!$E$10+Resumen_Sprints!$D$10),INDEX('Sprint N°5'!$C$7:$R$7,Q$4-Resumen_Sprints!$E$10),0)</f>
        <v>0</v>
      </c>
      <c r="R30" s="36">
        <f>IF(AND(R$4&gt;Resumen_Sprints!$E$10,R$4&lt;=Resumen_Sprints!$E$10+Resumen_Sprints!$D$10),INDEX('Sprint N°5'!$C$7:$R$7,R$4-Resumen_Sprints!$E$10),0)</f>
        <v>0</v>
      </c>
      <c r="S30" s="36">
        <f>IF(AND(S$4&gt;Resumen_Sprints!$E$10,S$4&lt;=Resumen_Sprints!$E$10+Resumen_Sprints!$D$10),INDEX('Sprint N°5'!$C$7:$R$7,S$4-Resumen_Sprints!$E$10),0)</f>
        <v>0</v>
      </c>
      <c r="T30" s="36">
        <f>IF(AND(T$4&gt;Resumen_Sprints!$E$10,T$4&lt;=Resumen_Sprints!$E$10+Resumen_Sprints!$D$10),INDEX('Sprint N°5'!$C$7:$R$7,T$4-Resumen_Sprints!$E$10),0)</f>
        <v>0</v>
      </c>
      <c r="U30" s="36">
        <f>IF(AND(U$4&gt;Resumen_Sprints!$E$10,U$4&lt;=Resumen_Sprints!$E$10+Resumen_Sprints!$D$10),INDEX('Sprint N°5'!$C$7:$R$7,U$4-Resumen_Sprints!$E$10),0)</f>
        <v>0</v>
      </c>
      <c r="V30" s="36">
        <f>IF(AND(V$4&gt;Resumen_Sprints!$E$10,V$4&lt;=Resumen_Sprints!$E$10+Resumen_Sprints!$D$10),INDEX('Sprint N°5'!$C$7:$R$7,V$4-Resumen_Sprints!$E$10),0)</f>
        <v>0</v>
      </c>
      <c r="W30" s="36">
        <f>IF(AND(W$4&gt;Resumen_Sprints!$E$10,W$4&lt;=Resumen_Sprints!$E$10+Resumen_Sprints!$D$10),INDEX('Sprint N°5'!$C$7:$R$7,W$4-Resumen_Sprints!$E$10),0)</f>
        <v>0</v>
      </c>
      <c r="X30" s="36">
        <f>IF(AND(X$4&gt;Resumen_Sprints!$E$10,X$4&lt;=Resumen_Sprints!$E$10+Resumen_Sprints!$D$10),INDEX('Sprint N°5'!$C$7:$R$7,X$4-Resumen_Sprints!$E$10),0)</f>
        <v>0</v>
      </c>
      <c r="Y30" s="36">
        <f>IF(AND(Y$4&gt;Resumen_Sprints!$E$10,Y$4&lt;=Resumen_Sprints!$E$10+Resumen_Sprints!$D$10),INDEX('Sprint N°5'!$C$7:$R$7,Y$4-Resumen_Sprints!$E$10),0)</f>
        <v>0</v>
      </c>
      <c r="Z30" s="36">
        <f>IF(AND(Z$4&gt;Resumen_Sprints!$E$10,Z$4&lt;=Resumen_Sprints!$E$10+Resumen_Sprints!$D$10),INDEX('Sprint N°5'!$C$7:$R$7,Z$4-Resumen_Sprints!$E$10),0)</f>
        <v>0</v>
      </c>
      <c r="AA30" s="36">
        <f>IF(AND(AA$4&gt;Resumen_Sprints!$E$10,AA$4&lt;=Resumen_Sprints!$E$10+Resumen_Sprints!$D$10),INDEX('Sprint N°5'!$C$7:$R$7,AA$4-Resumen_Sprints!$E$10),0)</f>
        <v>0</v>
      </c>
      <c r="AB30" s="36">
        <f>IF(AND(AB$4&gt;Resumen_Sprints!$E$10,AB$4&lt;=Resumen_Sprints!$E$10+Resumen_Sprints!$D$10),INDEX('Sprint N°5'!$C$7:$R$7,AB$4-Resumen_Sprints!$E$10),0)</f>
        <v>0</v>
      </c>
      <c r="AC30" s="36">
        <f>IF(AND(AC$4&gt;Resumen_Sprints!$E$10,AC$4&lt;=Resumen_Sprints!$E$10+Resumen_Sprints!$D$10),INDEX('Sprint N°5'!$C$7:$R$7,AC$4-Resumen_Sprints!$E$10),0)</f>
        <v>0</v>
      </c>
      <c r="AD30" s="36">
        <f>IF(AND(AD$4&gt;Resumen_Sprints!$E$10,AD$4&lt;=Resumen_Sprints!$E$10+Resumen_Sprints!$D$10),INDEX('Sprint N°5'!$C$7:$R$7,AD$4-Resumen_Sprints!$E$10),0)</f>
        <v>0</v>
      </c>
      <c r="AE30" s="36">
        <f>IF(AND(AE$4&gt;Resumen_Sprints!$E$10,AE$4&lt;=Resumen_Sprints!$E$10+Resumen_Sprints!$D$10),INDEX('Sprint N°5'!$C$7:$R$7,AE$4-Resumen_Sprints!$E$10),0)</f>
        <v>0</v>
      </c>
      <c r="AF30" s="36">
        <f>IF(AND(AF$4&gt;Resumen_Sprints!$E$10,AF$4&lt;=Resumen_Sprints!$E$10+Resumen_Sprints!$D$10),INDEX('Sprint N°5'!$C$7:$R$7,AF$4-Resumen_Sprints!$E$10),0)</f>
        <v>0</v>
      </c>
      <c r="AG30" s="36">
        <f>IF(AND(AG$4&gt;Resumen_Sprints!$E$10,AG$4&lt;=Resumen_Sprints!$E$10+Resumen_Sprints!$D$10),INDEX('Sprint N°5'!$C$7:$R$7,AG$4-Resumen_Sprints!$E$10),0)</f>
        <v>0</v>
      </c>
      <c r="AH30" s="36">
        <f>IF(AND(AH$4&gt;Resumen_Sprints!$E$10,AH$4&lt;=Resumen_Sprints!$E$10+Resumen_Sprints!$D$10),INDEX('Sprint N°5'!$C$7:$R$7,AH$4-Resumen_Sprints!$E$10),0)</f>
        <v>0</v>
      </c>
      <c r="AI30" s="36">
        <f>IF(AND(AI$4&gt;Resumen_Sprints!$E$10,AI$4&lt;=Resumen_Sprints!$E$10+Resumen_Sprints!$D$10),INDEX('Sprint N°5'!$C$7:$R$7,AI$4-Resumen_Sprints!$E$10),0)</f>
        <v>0</v>
      </c>
      <c r="AJ30" s="36">
        <f>IF(AND(AJ$4&gt;Resumen_Sprints!$E$10,AJ$4&lt;=Resumen_Sprints!$E$10+Resumen_Sprints!$D$10),INDEX('Sprint N°5'!$C$7:$R$7,AJ$4-Resumen_Sprints!$E$10),0)</f>
        <v>0</v>
      </c>
      <c r="AK30" s="36">
        <f>IF(AND(AK$4&gt;Resumen_Sprints!$E$10,AK$4&lt;=Resumen_Sprints!$E$10+Resumen_Sprints!$D$10),INDEX('Sprint N°5'!$C$7:$R$7,AK$4-Resumen_Sprints!$E$10),0)</f>
        <v>0</v>
      </c>
      <c r="AL30" s="36">
        <f>IF(AND(AL$4&gt;Resumen_Sprints!$E$10,AL$4&lt;=Resumen_Sprints!$E$10+Resumen_Sprints!$D$10),INDEX('Sprint N°5'!$C$7:$R$7,AL$4-Resumen_Sprints!$E$10),0)</f>
        <v>0</v>
      </c>
      <c r="AM30" s="36">
        <f>IF(AND(AM$4&gt;Resumen_Sprints!$E$10,AM$4&lt;=Resumen_Sprints!$E$10+Resumen_Sprints!$D$10),INDEX('Sprint N°5'!$C$7:$R$7,AM$4-Resumen_Sprints!$E$10),0)</f>
        <v>0</v>
      </c>
      <c r="AN30" s="36">
        <f>IF(AND(AN$4&gt;Resumen_Sprints!$E$10,AN$4&lt;=Resumen_Sprints!$E$10+Resumen_Sprints!$D$10),INDEX('Sprint N°5'!$C$7:$R$7,AN$4-Resumen_Sprints!$E$10),0)</f>
        <v>0</v>
      </c>
      <c r="AO30" s="36">
        <f>IF(AND(AO$4&gt;Resumen_Sprints!$E$10,AO$4&lt;=Resumen_Sprints!$E$10+Resumen_Sprints!$D$10),INDEX('Sprint N°5'!$C$7:$R$7,AO$4-Resumen_Sprints!$E$10),0)</f>
        <v>0</v>
      </c>
      <c r="AP30" s="36">
        <f>IF(AND(AP$4&gt;Resumen_Sprints!$E$10,AP$4&lt;=Resumen_Sprints!$E$10+Resumen_Sprints!$D$10),INDEX('Sprint N°5'!$C$7:$R$7,AP$4-Resumen_Sprints!$E$10),0)</f>
        <v>0</v>
      </c>
      <c r="AQ30" s="36">
        <f>IF(AND(AQ$4&gt;Resumen_Sprints!$E$10,AQ$4&lt;=Resumen_Sprints!$E$10+Resumen_Sprints!$D$10),INDEX('Sprint N°5'!$C$7:$R$7,AQ$4-Resumen_Sprints!$E$10),0)</f>
        <v>0</v>
      </c>
      <c r="AR30" s="36">
        <f>IF(AND(AR$4&gt;Resumen_Sprints!$E$10,AR$4&lt;=Resumen_Sprints!$E$10+Resumen_Sprints!$D$10),INDEX('Sprint N°5'!$C$7:$R$7,AR$4-Resumen_Sprints!$E$10),0)</f>
        <v>4</v>
      </c>
      <c r="AS30" s="36">
        <f>IF(AND(AS$4&gt;Resumen_Sprints!$E$10,AS$4&lt;=Resumen_Sprints!$E$10+Resumen_Sprints!$D$10),INDEX('Sprint N°5'!$C$7:$R$7,AS$4-Resumen_Sprints!$E$10),0)</f>
        <v>8</v>
      </c>
      <c r="AT30" s="36">
        <f>IF(AND(AT$4&gt;Resumen_Sprints!$E$10,AT$4&lt;=Resumen_Sprints!$E$10+Resumen_Sprints!$D$10),INDEX('Sprint N°5'!$C$7:$R$7,AT$4-Resumen_Sprints!$E$10),0)</f>
        <v>5</v>
      </c>
      <c r="AU30" s="36">
        <f>IF(AND(AU$4&gt;Resumen_Sprints!$E$10,AU$4&lt;=Resumen_Sprints!$E$10+Resumen_Sprints!$D$10),INDEX('Sprint N°5'!$C$7:$R$7,AU$4-Resumen_Sprints!$E$10),0)</f>
        <v>6</v>
      </c>
      <c r="AV30" s="36">
        <f>IF(AND(AV$4&gt;Resumen_Sprints!$E$10,AV$4&lt;=Resumen_Sprints!$E$10+Resumen_Sprints!$D$10),INDEX('Sprint N°5'!$C$7:$R$7,AV$4-Resumen_Sprints!$E$10),0)</f>
        <v>1</v>
      </c>
      <c r="AW30" s="36">
        <f>IF(AND(AW$4&gt;Resumen_Sprints!$E$10,AW$4&lt;=Resumen_Sprints!$E$10+Resumen_Sprints!$D$10),INDEX('Sprint N°5'!$C$7:$R$7,AW$4-Resumen_Sprints!$E$10),0)</f>
        <v>0</v>
      </c>
      <c r="AX30" s="36">
        <f>IF(AND(AX$4&gt;Resumen_Sprints!$E$10,AX$4&lt;=Resumen_Sprints!$E$10+Resumen_Sprints!$D$10),INDEX('Sprint N°5'!$C$7:$R$7,AX$4-Resumen_Sprints!$E$10),0)</f>
        <v>0</v>
      </c>
      <c r="AY30" s="36">
        <f>IF(AND(AY$4&gt;Resumen_Sprints!$E$10,AY$4&lt;=Resumen_Sprints!$E$10+Resumen_Sprints!$D$10),INDEX('Sprint N°5'!$C$7:$R$7,AY$4-Resumen_Sprints!$E$10),0)</f>
        <v>0</v>
      </c>
      <c r="AZ30" s="36">
        <f>IF(AND(AZ$4&gt;Resumen_Sprints!$E$10,AZ$4&lt;=Resumen_Sprints!$E$10+Resumen_Sprints!$D$10),INDEX('Sprint N°5'!$C$7:$R$7,AZ$4-Resumen_Sprints!$E$10),0)</f>
        <v>0</v>
      </c>
      <c r="BA30" s="36">
        <f>IF(AND(BA$4&gt;Resumen_Sprints!$E$10,BA$4&lt;=Resumen_Sprints!$E$10+Resumen_Sprints!$D$10),INDEX('Sprint N°5'!$C$7:$R$7,BA$4-Resumen_Sprints!$E$10),0)</f>
        <v>0</v>
      </c>
      <c r="BB30" s="36">
        <f>IF(AND(BB$4&gt;Resumen_Sprints!$E$10,BB$4&lt;=Resumen_Sprints!$E$10+Resumen_Sprints!$D$10),INDEX('Sprint N°5'!$C$7:$R$7,BB$4-Resumen_Sprints!$E$10),0)</f>
        <v>0</v>
      </c>
      <c r="BC30" s="36">
        <f>IF(AND(BC$4&gt;Resumen_Sprints!$E$10,BC$4&lt;=Resumen_Sprints!$E$10+Resumen_Sprints!$D$10),INDEX('Sprint N°5'!$C$7:$R$7,BC$4-Resumen_Sprints!$E$10),0)</f>
        <v>0</v>
      </c>
      <c r="BD30" s="36">
        <f>IF(AND(BD$4&gt;Resumen_Sprints!$E$10,BD$4&lt;=Resumen_Sprints!$E$10+Resumen_Sprints!$D$10),INDEX('Sprint N°5'!$C$7:$R$7,BD$4-Resumen_Sprints!$E$10),0)</f>
        <v>0</v>
      </c>
      <c r="BE30" s="36">
        <f>IF(AND(BE$4&gt;Resumen_Sprints!$E$10,BE$4&lt;=Resumen_Sprints!$E$10+Resumen_Sprints!$D$10),INDEX('Sprint N°5'!$C$7:$R$7,BE$4-Resumen_Sprints!$E$10),0)</f>
        <v>0</v>
      </c>
      <c r="BF30" s="36">
        <f>IF(AND(BF$4&gt;Resumen_Sprints!$E$10,BF$4&lt;=Resumen_Sprints!$E$10+Resumen_Sprints!$D$10),INDEX('Sprint N°5'!$C$7:$R$7,BF$4-Resumen_Sprints!$E$10),0)</f>
        <v>0</v>
      </c>
      <c r="BG30" s="36">
        <f>IF(AND(BG$4&gt;Resumen_Sprints!$E$10,BG$4&lt;=Resumen_Sprints!$E$10+Resumen_Sprints!$D$10),INDEX('Sprint N°5'!$C$7:$R$7,BG$4-Resumen_Sprints!$E$10),0)</f>
        <v>0</v>
      </c>
      <c r="BH30" s="36">
        <f>IF(AND(BH$4&gt;Resumen_Sprints!$E$10,BH$4&lt;=Resumen_Sprints!$E$10+Resumen_Sprints!$D$10),INDEX('Sprint N°5'!$C$7:$R$7,BH$4-Resumen_Sprints!$E$10),0)</f>
        <v>0</v>
      </c>
      <c r="BI30" s="36">
        <f>IF(AND(BI$4&gt;Resumen_Sprints!$E$10,BI$4&lt;=Resumen_Sprints!$E$10+Resumen_Sprints!$D$10),INDEX('Sprint N°5'!$C$7:$R$7,BI$4-Resumen_Sprints!$E$10),0)</f>
        <v>0</v>
      </c>
      <c r="BJ30" s="36">
        <f>IF(AND(BJ$4&gt;Resumen_Sprints!$E$10,BJ$4&lt;=Resumen_Sprints!$E$10+Resumen_Sprints!$D$10),INDEX('Sprint N°5'!$C$7:$R$7,BJ$4-Resumen_Sprints!$E$10),0)</f>
        <v>0</v>
      </c>
      <c r="BK30" s="36">
        <f>IF(AND(BK$4&gt;Resumen_Sprints!$E$10,BK$4&lt;=Resumen_Sprints!$E$10+Resumen_Sprints!$D$10),INDEX('Sprint N°5'!$C$7:$R$7,BK$4-Resumen_Sprints!$E$10),0)</f>
        <v>0</v>
      </c>
      <c r="BL30" s="36">
        <f>IF(AND(BL$4&gt;Resumen_Sprints!$E$10,BL$4&lt;=Resumen_Sprints!$E$10+Resumen_Sprints!$D$10),INDEX('Sprint N°5'!$C$7:$R$7,BL$4-Resumen_Sprints!$E$10),0)</f>
        <v>0</v>
      </c>
      <c r="BM30" s="36">
        <f>IF(AND(BM$4&gt;Resumen_Sprints!$E$10,BM$4&lt;=Resumen_Sprints!$E$10+Resumen_Sprints!$D$10),INDEX('Sprint N°5'!$C$7:$R$7,BM$4-Resumen_Sprints!$E$10),0)</f>
        <v>0</v>
      </c>
      <c r="BN30" s="36">
        <f>IF(AND(BN$4&gt;Resumen_Sprints!$E$10,BN$4&lt;=Resumen_Sprints!$E$10+Resumen_Sprints!$D$10),INDEX('Sprint N°5'!$C$7:$R$7,BN$4-Resumen_Sprints!$E$10),0)</f>
        <v>0</v>
      </c>
      <c r="BO30" s="36">
        <f>IF(AND(BO$4&gt;Resumen_Sprints!$E$10,BO$4&lt;=Resumen_Sprints!$E$10+Resumen_Sprints!$D$10),INDEX('Sprint N°5'!$C$7:$R$7,BO$4-Resumen_Sprints!$E$10),0)</f>
        <v>0</v>
      </c>
      <c r="BP30" s="36">
        <f>IF(AND(BP$4&gt;Resumen_Sprints!$E$10,BP$4&lt;=Resumen_Sprints!$E$10+Resumen_Sprints!$D$10),INDEX('Sprint N°5'!$C$7:$R$7,BP$4-Resumen_Sprints!$E$10),0)</f>
        <v>0</v>
      </c>
      <c r="BQ30" s="36">
        <f>IF(AND(BQ$4&gt;Resumen_Sprints!$E$10,BQ$4&lt;=Resumen_Sprints!$E$10+Resumen_Sprints!$D$10),INDEX('Sprint N°5'!$C$7:$R$7,BQ$4-Resumen_Sprints!$E$10),0)</f>
        <v>0</v>
      </c>
      <c r="BR30" s="36">
        <f>IF(AND(BR$4&gt;Resumen_Sprints!$E$10,BR$4&lt;=Resumen_Sprints!$E$10+Resumen_Sprints!$D$10),INDEX('Sprint N°5'!$C$7:$R$7,BR$4-Resumen_Sprints!$E$10),0)</f>
        <v>0</v>
      </c>
      <c r="BS30" s="36">
        <f>IF(AND(BS$4&gt;Resumen_Sprints!$E$10,BS$4&lt;=Resumen_Sprints!$E$10+Resumen_Sprints!$D$10),INDEX('Sprint N°5'!$C$7:$R$7,BS$4-Resumen_Sprints!$E$10),0)</f>
        <v>0</v>
      </c>
      <c r="BT30" s="36">
        <f>IF(AND(BT$4&gt;Resumen_Sprints!$E$10,BT$4&lt;=Resumen_Sprints!$E$10+Resumen_Sprints!$D$10),INDEX('Sprint N°5'!$C$7:$R$7,BT$4-Resumen_Sprints!$E$10),0)</f>
        <v>0</v>
      </c>
      <c r="BU30" s="36">
        <f>IF(AND(BU$4&gt;Resumen_Sprints!$E$10,BU$4&lt;=Resumen_Sprints!$E$10+Resumen_Sprints!$D$10),INDEX('Sprint N°5'!$C$7:$R$7,BU$4-Resumen_Sprints!$E$10),0)</f>
        <v>0</v>
      </c>
      <c r="BV30" s="36">
        <f>IF(AND(BV$4&gt;Resumen_Sprints!$E$10,BV$4&lt;=Resumen_Sprints!$E$10+Resumen_Sprints!$D$10),INDEX('Sprint N°5'!$C$7:$R$7,BV$4-Resumen_Sprints!$E$10),0)</f>
        <v>0</v>
      </c>
      <c r="BW30" s="36">
        <f>IF(AND(BW$4&gt;Resumen_Sprints!$E$10,BW$4&lt;=Resumen_Sprints!$E$10+Resumen_Sprints!$D$10),INDEX('Sprint N°5'!$C$7:$R$7,BW$4-Resumen_Sprints!$E$10),0)</f>
        <v>0</v>
      </c>
      <c r="BX30" s="36">
        <f>IF(AND(BX$4&gt;Resumen_Sprints!$E$10,BX$4&lt;=Resumen_Sprints!$E$10+Resumen_Sprints!$D$10),INDEX('Sprint N°5'!$C$7:$R$7,BX$4-Resumen_Sprints!$E$10),0)</f>
        <v>0</v>
      </c>
      <c r="BY30" s="36">
        <f>IF(AND(BY$4&gt;Resumen_Sprints!$E$10,BY$4&lt;=Resumen_Sprints!$E$10+Resumen_Sprints!$D$10),INDEX('Sprint N°5'!$C$7:$R$7,BY$4-Resumen_Sprints!$E$10),0)</f>
        <v>0</v>
      </c>
      <c r="BZ30" s="36">
        <f>IF(AND(BZ$4&gt;Resumen_Sprints!$E$10,BZ$4&lt;=Resumen_Sprints!$E$10+Resumen_Sprints!$D$10),INDEX('Sprint N°5'!$C$7:$R$7,BZ$4-Resumen_Sprints!$E$10),0)</f>
        <v>0</v>
      </c>
      <c r="CA30" s="36">
        <f>IF(AND(CA$4&gt;Resumen_Sprints!$E$10,CA$4&lt;=Resumen_Sprints!$E$10+Resumen_Sprints!$D$10),INDEX('Sprint N°5'!$C$7:$R$7,CA$4-Resumen_Sprints!$E$10),0)</f>
        <v>0</v>
      </c>
      <c r="CB30" s="36">
        <f>IF(AND(CB$4&gt;Resumen_Sprints!$E$10,CB$4&lt;=Resumen_Sprints!$E$10+Resumen_Sprints!$D$10),INDEX('Sprint N°5'!$C$7:$R$7,CB$4-Resumen_Sprints!$E$10),0)</f>
        <v>0</v>
      </c>
      <c r="CC30" s="36">
        <f>IF(AND(CC$4&gt;Resumen_Sprints!$E$10,CC$4&lt;=Resumen_Sprints!$E$10+Resumen_Sprints!$D$10),INDEX('Sprint N°5'!$C$7:$R$7,CC$4-Resumen_Sprints!$E$10),0)</f>
        <v>0</v>
      </c>
      <c r="CD30" s="36">
        <f>IF(AND(CD$4&gt;Resumen_Sprints!$E$10,CD$4&lt;=Resumen_Sprints!$E$10+Resumen_Sprints!$D$10),INDEX('Sprint N°5'!$C$7:$R$7,CD$4-Resumen_Sprints!$E$10),0)</f>
        <v>0</v>
      </c>
      <c r="CE30" s="36">
        <f>IF(AND(CE$4&gt;Resumen_Sprints!$E$10,CE$4&lt;=Resumen_Sprints!$E$10+Resumen_Sprints!$D$10),INDEX('Sprint N°5'!$C$7:$R$7,CE$4-Resumen_Sprints!$E$10),0)</f>
        <v>0</v>
      </c>
      <c r="CF30" s="36">
        <f>IF(AND(CF$4&gt;Resumen_Sprints!$E$10,CF$4&lt;=Resumen_Sprints!$E$10+Resumen_Sprints!$D$10),INDEX('Sprint N°5'!$C$7:$R$7,CF$4-Resumen_Sprints!$E$10),0)</f>
        <v>0</v>
      </c>
      <c r="CG30" s="36">
        <f>IF(AND(CG$4&gt;Resumen_Sprints!$E$10,CG$4&lt;=Resumen_Sprints!$E$10+Resumen_Sprints!$D$10),INDEX('Sprint N°5'!$C$7:$R$7,CG$4-Resumen_Sprints!$E$10),0)</f>
        <v>0</v>
      </c>
      <c r="CH30" s="36">
        <f>IF(AND(CH$4&gt;Resumen_Sprints!$E$10,CH$4&lt;=Resumen_Sprints!$E$10+Resumen_Sprints!$D$10),INDEX('Sprint N°5'!$C$7:$R$7,CH$4-Resumen_Sprints!$E$10),0)</f>
        <v>0</v>
      </c>
      <c r="CI30" s="36">
        <f>IF(AND(CI$4&gt;Resumen_Sprints!$E$10,CI$4&lt;=Resumen_Sprints!$E$10+Resumen_Sprints!$D$10),INDEX('Sprint N°5'!$C$7:$R$7,CI$4-Resumen_Sprints!$E$10),0)</f>
        <v>0</v>
      </c>
      <c r="CJ30" s="36">
        <f>IF(AND(CJ$4&gt;Resumen_Sprints!$E$10,CJ$4&lt;=Resumen_Sprints!$E$10+Resumen_Sprints!$D$10),INDEX('Sprint N°5'!$C$7:$R$7,CJ$4-Resumen_Sprints!$E$10),0)</f>
        <v>0</v>
      </c>
      <c r="CK30" s="36">
        <f>IF(AND(CK$4&gt;Resumen_Sprints!$E$10,CK$4&lt;=Resumen_Sprints!$E$10+Resumen_Sprints!$D$10),INDEX('Sprint N°5'!$C$7:$R$7,CK$4-Resumen_Sprints!$E$10),0)</f>
        <v>0</v>
      </c>
      <c r="CL30" s="36">
        <f>IF(AND(CL$4&gt;Resumen_Sprints!$E$10,CL$4&lt;=Resumen_Sprints!$E$10+Resumen_Sprints!$D$10),INDEX('Sprint N°5'!$C$7:$R$7,CL$4-Resumen_Sprints!$E$10),0)</f>
        <v>0</v>
      </c>
      <c r="CM30" s="36">
        <f>IF(AND(CM$4&gt;Resumen_Sprints!$E$10,CM$4&lt;=Resumen_Sprints!$E$10+Resumen_Sprints!$D$10),INDEX('Sprint N°5'!$C$7:$R$7,CM$4-Resumen_Sprints!$E$10),0)</f>
        <v>0</v>
      </c>
      <c r="CN30" s="36">
        <f>IF(AND(CN$4&gt;Resumen_Sprints!$E$10,CN$4&lt;=Resumen_Sprints!$E$10+Resumen_Sprints!$D$10),INDEX('Sprint N°5'!$C$7:$R$7,CN$4-Resumen_Sprints!$E$10),0)</f>
        <v>0</v>
      </c>
      <c r="CO30" s="36">
        <f>IF(AND(CO$4&gt;Resumen_Sprints!$E$10,CO$4&lt;=Resumen_Sprints!$E$10+Resumen_Sprints!$D$10),INDEX('Sprint N°5'!$C$7:$R$7,CO$4-Resumen_Sprints!$E$10),0)</f>
        <v>0</v>
      </c>
      <c r="CP30" s="36">
        <f>IF(AND(CP$4&gt;Resumen_Sprints!$E$10,CP$4&lt;=Resumen_Sprints!$E$10+Resumen_Sprints!$D$10),INDEX('Sprint N°5'!$C$7:$R$7,CP$4-Resumen_Sprints!$E$10),0)</f>
        <v>0</v>
      </c>
      <c r="CQ30" s="36">
        <f>IF(AND(CQ$4&gt;Resumen_Sprints!$E$10,CQ$4&lt;=Resumen_Sprints!$E$10+Resumen_Sprints!$D$10),INDEX('Sprint N°5'!$C$7:$R$7,CQ$4-Resumen_Sprints!$E$10),0)</f>
        <v>0</v>
      </c>
      <c r="CR30" s="36">
        <f>IF(AND(CR$4&gt;Resumen_Sprints!$E$10,CR$4&lt;=Resumen_Sprints!$E$10+Resumen_Sprints!$D$10),INDEX('Sprint N°5'!$C$7:$R$7,CR$4-Resumen_Sprints!$E$10),0)</f>
        <v>0</v>
      </c>
      <c r="CS30" s="36">
        <f>IF(AND(CS$4&gt;Resumen_Sprints!$E$10,CS$4&lt;=Resumen_Sprints!$E$10+Resumen_Sprints!$D$10),INDEX('Sprint N°5'!$C$7:$R$7,CS$4-Resumen_Sprints!$E$10),0)</f>
        <v>0</v>
      </c>
      <c r="CT30" s="36">
        <f>IF(AND(CT$4&gt;Resumen_Sprints!$E$10,CT$4&lt;=Resumen_Sprints!$E$10+Resumen_Sprints!$D$10),INDEX('Sprint N°5'!$C$7:$R$7,CT$4-Resumen_Sprints!$E$10),0)</f>
        <v>0</v>
      </c>
      <c r="CU30" s="10">
        <f>SUM(C30:CT30)</f>
        <v>24</v>
      </c>
    </row>
    <row r="31" spans="1:99" x14ac:dyDescent="0.3">
      <c r="A31" s="22" t="str">
        <f>'Sprint N°5'!A8</f>
        <v>Editor Interactivo de Diseño del Hogar</v>
      </c>
      <c r="B31" s="22">
        <f>'Sprint N°5'!B8</f>
        <v>49</v>
      </c>
      <c r="C31" s="36">
        <f>IF(AND(C$4&gt;Resumen_Sprints!$E$10,C$4&lt;=Resumen_Sprints!$E$10+Resumen_Sprints!$D$10),INDEX('Sprint N°5'!$C$8:$R$8,C$4-Resumen_Sprints!$E$10),0)</f>
        <v>0</v>
      </c>
      <c r="D31" s="36">
        <f>IF(AND(D$4&gt;Resumen_Sprints!$E$10,D$4&lt;=Resumen_Sprints!$E$10+Resumen_Sprints!$D$10),INDEX('Sprint N°5'!$C$8:$R$8,D$4-Resumen_Sprints!$E$10),0)</f>
        <v>0</v>
      </c>
      <c r="E31" s="36">
        <f>IF(AND(E$4&gt;Resumen_Sprints!$E$10,E$4&lt;=Resumen_Sprints!$E$10+Resumen_Sprints!$D$10),INDEX('Sprint N°5'!$C$8:$R$8,E$4-Resumen_Sprints!$E$10),0)</f>
        <v>0</v>
      </c>
      <c r="F31" s="36">
        <f>IF(AND(F$4&gt;Resumen_Sprints!$E$10,F$4&lt;=Resumen_Sprints!$E$10+Resumen_Sprints!$D$10),INDEX('Sprint N°5'!$C$8:$R$8,F$4-Resumen_Sprints!$E$10),0)</f>
        <v>0</v>
      </c>
      <c r="G31" s="36">
        <f>IF(AND(G$4&gt;Resumen_Sprints!$E$10,G$4&lt;=Resumen_Sprints!$E$10+Resumen_Sprints!$D$10),INDEX('Sprint N°5'!$C$8:$R$8,G$4-Resumen_Sprints!$E$10),0)</f>
        <v>0</v>
      </c>
      <c r="H31" s="36">
        <f>IF(AND(H$4&gt;Resumen_Sprints!$E$10,H$4&lt;=Resumen_Sprints!$E$10+Resumen_Sprints!$D$10),INDEX('Sprint N°5'!$C$8:$R$8,H$4-Resumen_Sprints!$E$10),0)</f>
        <v>0</v>
      </c>
      <c r="I31" s="36">
        <f>IF(AND(I$4&gt;Resumen_Sprints!$E$10,I$4&lt;=Resumen_Sprints!$E$10+Resumen_Sprints!$D$10),INDEX('Sprint N°5'!$C$8:$R$8,I$4-Resumen_Sprints!$E$10),0)</f>
        <v>0</v>
      </c>
      <c r="J31" s="36">
        <f>IF(AND(J$4&gt;Resumen_Sprints!$E$10,J$4&lt;=Resumen_Sprints!$E$10+Resumen_Sprints!$D$10),INDEX('Sprint N°5'!$C$8:$R$8,J$4-Resumen_Sprints!$E$10),0)</f>
        <v>0</v>
      </c>
      <c r="K31" s="36">
        <f>IF(AND(K$4&gt;Resumen_Sprints!$E$10,K$4&lt;=Resumen_Sprints!$E$10+Resumen_Sprints!$D$10),INDEX('Sprint N°5'!$C$8:$R$8,K$4-Resumen_Sprints!$E$10),0)</f>
        <v>0</v>
      </c>
      <c r="L31" s="36">
        <f>IF(AND(L$4&gt;Resumen_Sprints!$E$10,L$4&lt;=Resumen_Sprints!$E$10+Resumen_Sprints!$D$10),INDEX('Sprint N°5'!$C$8:$R$8,L$4-Resumen_Sprints!$E$10),0)</f>
        <v>0</v>
      </c>
      <c r="M31" s="36">
        <f>IF(AND(M$4&gt;Resumen_Sprints!$E$10,M$4&lt;=Resumen_Sprints!$E$10+Resumen_Sprints!$D$10),INDEX('Sprint N°5'!$C$8:$R$8,M$4-Resumen_Sprints!$E$10),0)</f>
        <v>0</v>
      </c>
      <c r="N31" s="36">
        <f>IF(AND(N$4&gt;Resumen_Sprints!$E$10,N$4&lt;=Resumen_Sprints!$E$10+Resumen_Sprints!$D$10),INDEX('Sprint N°5'!$C$8:$R$8,N$4-Resumen_Sprints!$E$10),0)</f>
        <v>0</v>
      </c>
      <c r="O31" s="36">
        <f>IF(AND(O$4&gt;Resumen_Sprints!$E$10,O$4&lt;=Resumen_Sprints!$E$10+Resumen_Sprints!$D$10),INDEX('Sprint N°5'!$C$8:$R$8,O$4-Resumen_Sprints!$E$10),0)</f>
        <v>0</v>
      </c>
      <c r="P31" s="36">
        <f>IF(AND(P$4&gt;Resumen_Sprints!$E$10,P$4&lt;=Resumen_Sprints!$E$10+Resumen_Sprints!$D$10),INDEX('Sprint N°5'!$C$8:$R$8,P$4-Resumen_Sprints!$E$10),0)</f>
        <v>0</v>
      </c>
      <c r="Q31" s="36">
        <f>IF(AND(Q$4&gt;Resumen_Sprints!$E$10,Q$4&lt;=Resumen_Sprints!$E$10+Resumen_Sprints!$D$10),INDEX('Sprint N°5'!$C$8:$R$8,Q$4-Resumen_Sprints!$E$10),0)</f>
        <v>0</v>
      </c>
      <c r="R31" s="36">
        <f>IF(AND(R$4&gt;Resumen_Sprints!$E$10,R$4&lt;=Resumen_Sprints!$E$10+Resumen_Sprints!$D$10),INDEX('Sprint N°5'!$C$8:$R$8,R$4-Resumen_Sprints!$E$10),0)</f>
        <v>0</v>
      </c>
      <c r="S31" s="36">
        <f>IF(AND(S$4&gt;Resumen_Sprints!$E$10,S$4&lt;=Resumen_Sprints!$E$10+Resumen_Sprints!$D$10),INDEX('Sprint N°5'!$C$8:$R$8,S$4-Resumen_Sprints!$E$10),0)</f>
        <v>0</v>
      </c>
      <c r="T31" s="36">
        <f>IF(AND(T$4&gt;Resumen_Sprints!$E$10,T$4&lt;=Resumen_Sprints!$E$10+Resumen_Sprints!$D$10),INDEX('Sprint N°5'!$C$8:$R$8,T$4-Resumen_Sprints!$E$10),0)</f>
        <v>0</v>
      </c>
      <c r="U31" s="36">
        <f>IF(AND(U$4&gt;Resumen_Sprints!$E$10,U$4&lt;=Resumen_Sprints!$E$10+Resumen_Sprints!$D$10),INDEX('Sprint N°5'!$C$8:$R$8,U$4-Resumen_Sprints!$E$10),0)</f>
        <v>0</v>
      </c>
      <c r="V31" s="36">
        <f>IF(AND(V$4&gt;Resumen_Sprints!$E$10,V$4&lt;=Resumen_Sprints!$E$10+Resumen_Sprints!$D$10),INDEX('Sprint N°5'!$C$8:$R$8,V$4-Resumen_Sprints!$E$10),0)</f>
        <v>0</v>
      </c>
      <c r="W31" s="36">
        <f>IF(AND(W$4&gt;Resumen_Sprints!$E$10,W$4&lt;=Resumen_Sprints!$E$10+Resumen_Sprints!$D$10),INDEX('Sprint N°5'!$C$8:$R$8,W$4-Resumen_Sprints!$E$10),0)</f>
        <v>0</v>
      </c>
      <c r="X31" s="36">
        <f>IF(AND(X$4&gt;Resumen_Sprints!$E$10,X$4&lt;=Resumen_Sprints!$E$10+Resumen_Sprints!$D$10),INDEX('Sprint N°5'!$C$8:$R$8,X$4-Resumen_Sprints!$E$10),0)</f>
        <v>0</v>
      </c>
      <c r="Y31" s="36">
        <f>IF(AND(Y$4&gt;Resumen_Sprints!$E$10,Y$4&lt;=Resumen_Sprints!$E$10+Resumen_Sprints!$D$10),INDEX('Sprint N°5'!$C$8:$R$8,Y$4-Resumen_Sprints!$E$10),0)</f>
        <v>0</v>
      </c>
      <c r="Z31" s="36">
        <f>IF(AND(Z$4&gt;Resumen_Sprints!$E$10,Z$4&lt;=Resumen_Sprints!$E$10+Resumen_Sprints!$D$10),INDEX('Sprint N°5'!$C$8:$R$8,Z$4-Resumen_Sprints!$E$10),0)</f>
        <v>0</v>
      </c>
      <c r="AA31" s="36">
        <f>IF(AND(AA$4&gt;Resumen_Sprints!$E$10,AA$4&lt;=Resumen_Sprints!$E$10+Resumen_Sprints!$D$10),INDEX('Sprint N°5'!$C$8:$R$8,AA$4-Resumen_Sprints!$E$10),0)</f>
        <v>0</v>
      </c>
      <c r="AB31" s="36">
        <f>IF(AND(AB$4&gt;Resumen_Sprints!$E$10,AB$4&lt;=Resumen_Sprints!$E$10+Resumen_Sprints!$D$10),INDEX('Sprint N°5'!$C$8:$R$8,AB$4-Resumen_Sprints!$E$10),0)</f>
        <v>0</v>
      </c>
      <c r="AC31" s="36">
        <f>IF(AND(AC$4&gt;Resumen_Sprints!$E$10,AC$4&lt;=Resumen_Sprints!$E$10+Resumen_Sprints!$D$10),INDEX('Sprint N°5'!$C$8:$R$8,AC$4-Resumen_Sprints!$E$10),0)</f>
        <v>0</v>
      </c>
      <c r="AD31" s="36">
        <f>IF(AND(AD$4&gt;Resumen_Sprints!$E$10,AD$4&lt;=Resumen_Sprints!$E$10+Resumen_Sprints!$D$10),INDEX('Sprint N°5'!$C$8:$R$8,AD$4-Resumen_Sprints!$E$10),0)</f>
        <v>0</v>
      </c>
      <c r="AE31" s="36">
        <f>IF(AND(AE$4&gt;Resumen_Sprints!$E$10,AE$4&lt;=Resumen_Sprints!$E$10+Resumen_Sprints!$D$10),INDEX('Sprint N°5'!$C$8:$R$8,AE$4-Resumen_Sprints!$E$10),0)</f>
        <v>0</v>
      </c>
      <c r="AF31" s="36">
        <f>IF(AND(AF$4&gt;Resumen_Sprints!$E$10,AF$4&lt;=Resumen_Sprints!$E$10+Resumen_Sprints!$D$10),INDEX('Sprint N°5'!$C$8:$R$8,AF$4-Resumen_Sprints!$E$10),0)</f>
        <v>0</v>
      </c>
      <c r="AG31" s="36">
        <f>IF(AND(AG$4&gt;Resumen_Sprints!$E$10,AG$4&lt;=Resumen_Sprints!$E$10+Resumen_Sprints!$D$10),INDEX('Sprint N°5'!$C$8:$R$8,AG$4-Resumen_Sprints!$E$10),0)</f>
        <v>0</v>
      </c>
      <c r="AH31" s="36">
        <f>IF(AND(AH$4&gt;Resumen_Sprints!$E$10,AH$4&lt;=Resumen_Sprints!$E$10+Resumen_Sprints!$D$10),INDEX('Sprint N°5'!$C$8:$R$8,AH$4-Resumen_Sprints!$E$10),0)</f>
        <v>0</v>
      </c>
      <c r="AI31" s="36">
        <f>IF(AND(AI$4&gt;Resumen_Sprints!$E$10,AI$4&lt;=Resumen_Sprints!$E$10+Resumen_Sprints!$D$10),INDEX('Sprint N°5'!$C$8:$R$8,AI$4-Resumen_Sprints!$E$10),0)</f>
        <v>0</v>
      </c>
      <c r="AJ31" s="36">
        <f>IF(AND(AJ$4&gt;Resumen_Sprints!$E$10,AJ$4&lt;=Resumen_Sprints!$E$10+Resumen_Sprints!$D$10),INDEX('Sprint N°5'!$C$8:$R$8,AJ$4-Resumen_Sprints!$E$10),0)</f>
        <v>0</v>
      </c>
      <c r="AK31" s="36">
        <f>IF(AND(AK$4&gt;Resumen_Sprints!$E$10,AK$4&lt;=Resumen_Sprints!$E$10+Resumen_Sprints!$D$10),INDEX('Sprint N°5'!$C$8:$R$8,AK$4-Resumen_Sprints!$E$10),0)</f>
        <v>0</v>
      </c>
      <c r="AL31" s="36">
        <f>IF(AND(AL$4&gt;Resumen_Sprints!$E$10,AL$4&lt;=Resumen_Sprints!$E$10+Resumen_Sprints!$D$10),INDEX('Sprint N°5'!$C$8:$R$8,AL$4-Resumen_Sprints!$E$10),0)</f>
        <v>0</v>
      </c>
      <c r="AM31" s="36">
        <f>IF(AND(AM$4&gt;Resumen_Sprints!$E$10,AM$4&lt;=Resumen_Sprints!$E$10+Resumen_Sprints!$D$10),INDEX('Sprint N°5'!$C$8:$R$8,AM$4-Resumen_Sprints!$E$10),0)</f>
        <v>0</v>
      </c>
      <c r="AN31" s="36">
        <f>IF(AND(AN$4&gt;Resumen_Sprints!$E$10,AN$4&lt;=Resumen_Sprints!$E$10+Resumen_Sprints!$D$10),INDEX('Sprint N°5'!$C$8:$R$8,AN$4-Resumen_Sprints!$E$10),0)</f>
        <v>0</v>
      </c>
      <c r="AO31" s="36">
        <f>IF(AND(AO$4&gt;Resumen_Sprints!$E$10,AO$4&lt;=Resumen_Sprints!$E$10+Resumen_Sprints!$D$10),INDEX('Sprint N°5'!$C$8:$R$8,AO$4-Resumen_Sprints!$E$10),0)</f>
        <v>0</v>
      </c>
      <c r="AP31" s="36">
        <f>IF(AND(AP$4&gt;Resumen_Sprints!$E$10,AP$4&lt;=Resumen_Sprints!$E$10+Resumen_Sprints!$D$10),INDEX('Sprint N°5'!$C$8:$R$8,AP$4-Resumen_Sprints!$E$10),0)</f>
        <v>0</v>
      </c>
      <c r="AQ31" s="36">
        <f>IF(AND(AQ$4&gt;Resumen_Sprints!$E$10,AQ$4&lt;=Resumen_Sprints!$E$10+Resumen_Sprints!$D$10),INDEX('Sprint N°5'!$C$8:$R$8,AQ$4-Resumen_Sprints!$E$10),0)</f>
        <v>0</v>
      </c>
      <c r="AR31" s="36">
        <f>IF(AND(AR$4&gt;Resumen_Sprints!$E$10,AR$4&lt;=Resumen_Sprints!$E$10+Resumen_Sprints!$D$10),INDEX('Sprint N°5'!$C$8:$R$8,AR$4-Resumen_Sprints!$E$10),0)</f>
        <v>0</v>
      </c>
      <c r="AS31" s="36">
        <f>IF(AND(AS$4&gt;Resumen_Sprints!$E$10,AS$4&lt;=Resumen_Sprints!$E$10+Resumen_Sprints!$D$10),INDEX('Sprint N°5'!$C$8:$R$8,AS$4-Resumen_Sprints!$E$10),0)</f>
        <v>0</v>
      </c>
      <c r="AT31" s="36">
        <f>IF(AND(AT$4&gt;Resumen_Sprints!$E$10,AT$4&lt;=Resumen_Sprints!$E$10+Resumen_Sprints!$D$10),INDEX('Sprint N°5'!$C$8:$R$8,AT$4-Resumen_Sprints!$E$10),0)</f>
        <v>0</v>
      </c>
      <c r="AU31" s="36">
        <f>IF(AND(AU$4&gt;Resumen_Sprints!$E$10,AU$4&lt;=Resumen_Sprints!$E$10+Resumen_Sprints!$D$10),INDEX('Sprint N°5'!$C$8:$R$8,AU$4-Resumen_Sprints!$E$10),0)</f>
        <v>0</v>
      </c>
      <c r="AV31" s="36">
        <f>IF(AND(AV$4&gt;Resumen_Sprints!$E$10,AV$4&lt;=Resumen_Sprints!$E$10+Resumen_Sprints!$D$10),INDEX('Sprint N°5'!$C$8:$R$8,AV$4-Resumen_Sprints!$E$10),0)</f>
        <v>6</v>
      </c>
      <c r="AW31" s="36">
        <f>IF(AND(AW$4&gt;Resumen_Sprints!$E$10,AW$4&lt;=Resumen_Sprints!$E$10+Resumen_Sprints!$D$10),INDEX('Sprint N°5'!$C$8:$R$8,AW$4-Resumen_Sprints!$E$10),0)</f>
        <v>5</v>
      </c>
      <c r="AX31" s="36">
        <f>IF(AND(AX$4&gt;Resumen_Sprints!$E$10,AX$4&lt;=Resumen_Sprints!$E$10+Resumen_Sprints!$D$10),INDEX('Sprint N°5'!$C$8:$R$8,AX$4-Resumen_Sprints!$E$10),0)</f>
        <v>6</v>
      </c>
      <c r="AY31" s="36">
        <f>IF(AND(AY$4&gt;Resumen_Sprints!$E$10,AY$4&lt;=Resumen_Sprints!$E$10+Resumen_Sprints!$D$10),INDEX('Sprint N°5'!$C$8:$R$8,AY$4-Resumen_Sprints!$E$10),0)</f>
        <v>4</v>
      </c>
      <c r="AZ31" s="36">
        <f>IF(AND(AZ$4&gt;Resumen_Sprints!$E$10,AZ$4&lt;=Resumen_Sprints!$E$10+Resumen_Sprints!$D$10),INDEX('Sprint N°5'!$C$8:$R$8,AZ$4-Resumen_Sprints!$E$10),0)</f>
        <v>7</v>
      </c>
      <c r="BA31" s="36">
        <f>IF(AND(BA$4&gt;Resumen_Sprints!$E$10,BA$4&lt;=Resumen_Sprints!$E$10+Resumen_Sprints!$D$10),INDEX('Sprint N°5'!$C$8:$R$8,BA$4-Resumen_Sprints!$E$10),0)</f>
        <v>7</v>
      </c>
      <c r="BB31" s="36">
        <f>IF(AND(BB$4&gt;Resumen_Sprints!$E$10,BB$4&lt;=Resumen_Sprints!$E$10+Resumen_Sprints!$D$10),INDEX('Sprint N°5'!$C$8:$R$8,BB$4-Resumen_Sprints!$E$10),0)</f>
        <v>6</v>
      </c>
      <c r="BC31" s="36">
        <f>IF(AND(BC$4&gt;Resumen_Sprints!$E$10,BC$4&lt;=Resumen_Sprints!$E$10+Resumen_Sprints!$D$10),INDEX('Sprint N°5'!$C$8:$R$8,BC$4-Resumen_Sprints!$E$10),0)</f>
        <v>7</v>
      </c>
      <c r="BD31" s="36">
        <f>IF(AND(BD$4&gt;Resumen_Sprints!$E$10,BD$4&lt;=Resumen_Sprints!$E$10+Resumen_Sprints!$D$10),INDEX('Sprint N°5'!$C$8:$R$8,BD$4-Resumen_Sprints!$E$10),0)</f>
        <v>0</v>
      </c>
      <c r="BE31" s="36">
        <f>IF(AND(BE$4&gt;Resumen_Sprints!$E$10,BE$4&lt;=Resumen_Sprints!$E$10+Resumen_Sprints!$D$10),INDEX('Sprint N°5'!$C$8:$R$8,BE$4-Resumen_Sprints!$E$10),0)</f>
        <v>0</v>
      </c>
      <c r="BF31" s="36">
        <f>IF(AND(BF$4&gt;Resumen_Sprints!$E$10,BF$4&lt;=Resumen_Sprints!$E$10+Resumen_Sprints!$D$10),INDEX('Sprint N°5'!$C$8:$R$8,BF$4-Resumen_Sprints!$E$10),0)</f>
        <v>0</v>
      </c>
      <c r="BG31" s="36">
        <f>IF(AND(BG$4&gt;Resumen_Sprints!$E$10,BG$4&lt;=Resumen_Sprints!$E$10+Resumen_Sprints!$D$10),INDEX('Sprint N°5'!$C$8:$R$8,BG$4-Resumen_Sprints!$E$10),0)</f>
        <v>0</v>
      </c>
      <c r="BH31" s="36">
        <f>IF(AND(BH$4&gt;Resumen_Sprints!$E$10,BH$4&lt;=Resumen_Sprints!$E$10+Resumen_Sprints!$D$10),INDEX('Sprint N°5'!$C$8:$R$8,BH$4-Resumen_Sprints!$E$10),0)</f>
        <v>0</v>
      </c>
      <c r="BI31" s="36">
        <f>IF(AND(BI$4&gt;Resumen_Sprints!$E$10,BI$4&lt;=Resumen_Sprints!$E$10+Resumen_Sprints!$D$10),INDEX('Sprint N°5'!$C$8:$R$8,BI$4-Resumen_Sprints!$E$10),0)</f>
        <v>0</v>
      </c>
      <c r="BJ31" s="36">
        <f>IF(AND(BJ$4&gt;Resumen_Sprints!$E$10,BJ$4&lt;=Resumen_Sprints!$E$10+Resumen_Sprints!$D$10),INDEX('Sprint N°5'!$C$8:$R$8,BJ$4-Resumen_Sprints!$E$10),0)</f>
        <v>0</v>
      </c>
      <c r="BK31" s="36">
        <f>IF(AND(BK$4&gt;Resumen_Sprints!$E$10,BK$4&lt;=Resumen_Sprints!$E$10+Resumen_Sprints!$D$10),INDEX('Sprint N°5'!$C$8:$R$8,BK$4-Resumen_Sprints!$E$10),0)</f>
        <v>0</v>
      </c>
      <c r="BL31" s="36">
        <f>IF(AND(BL$4&gt;Resumen_Sprints!$E$10,BL$4&lt;=Resumen_Sprints!$E$10+Resumen_Sprints!$D$10),INDEX('Sprint N°5'!$C$8:$R$8,BL$4-Resumen_Sprints!$E$10),0)</f>
        <v>0</v>
      </c>
      <c r="BM31" s="36">
        <f>IF(AND(BM$4&gt;Resumen_Sprints!$E$10,BM$4&lt;=Resumen_Sprints!$E$10+Resumen_Sprints!$D$10),INDEX('Sprint N°5'!$C$8:$R$8,BM$4-Resumen_Sprints!$E$10),0)</f>
        <v>0</v>
      </c>
      <c r="BN31" s="36">
        <f>IF(AND(BN$4&gt;Resumen_Sprints!$E$10,BN$4&lt;=Resumen_Sprints!$E$10+Resumen_Sprints!$D$10),INDEX('Sprint N°5'!$C$8:$R$8,BN$4-Resumen_Sprints!$E$10),0)</f>
        <v>0</v>
      </c>
      <c r="BO31" s="36">
        <f>IF(AND(BO$4&gt;Resumen_Sprints!$E$10,BO$4&lt;=Resumen_Sprints!$E$10+Resumen_Sprints!$D$10),INDEX('Sprint N°5'!$C$8:$R$8,BO$4-Resumen_Sprints!$E$10),0)</f>
        <v>0</v>
      </c>
      <c r="BP31" s="36">
        <f>IF(AND(BP$4&gt;Resumen_Sprints!$E$10,BP$4&lt;=Resumen_Sprints!$E$10+Resumen_Sprints!$D$10),INDEX('Sprint N°5'!$C$8:$R$8,BP$4-Resumen_Sprints!$E$10),0)</f>
        <v>0</v>
      </c>
      <c r="BQ31" s="36">
        <f>IF(AND(BQ$4&gt;Resumen_Sprints!$E$10,BQ$4&lt;=Resumen_Sprints!$E$10+Resumen_Sprints!$D$10),INDEX('Sprint N°5'!$C$8:$R$8,BQ$4-Resumen_Sprints!$E$10),0)</f>
        <v>0</v>
      </c>
      <c r="BR31" s="36">
        <f>IF(AND(BR$4&gt;Resumen_Sprints!$E$10,BR$4&lt;=Resumen_Sprints!$E$10+Resumen_Sprints!$D$10),INDEX('Sprint N°5'!$C$8:$R$8,BR$4-Resumen_Sprints!$E$10),0)</f>
        <v>0</v>
      </c>
      <c r="BS31" s="36">
        <f>IF(AND(BS$4&gt;Resumen_Sprints!$E$10,BS$4&lt;=Resumen_Sprints!$E$10+Resumen_Sprints!$D$10),INDEX('Sprint N°5'!$C$8:$R$8,BS$4-Resumen_Sprints!$E$10),0)</f>
        <v>0</v>
      </c>
      <c r="BT31" s="36">
        <f>IF(AND(BT$4&gt;Resumen_Sprints!$E$10,BT$4&lt;=Resumen_Sprints!$E$10+Resumen_Sprints!$D$10),INDEX('Sprint N°5'!$C$8:$R$8,BT$4-Resumen_Sprints!$E$10),0)</f>
        <v>0</v>
      </c>
      <c r="BU31" s="36">
        <f>IF(AND(BU$4&gt;Resumen_Sprints!$E$10,BU$4&lt;=Resumen_Sprints!$E$10+Resumen_Sprints!$D$10),INDEX('Sprint N°5'!$C$8:$R$8,BU$4-Resumen_Sprints!$E$10),0)</f>
        <v>0</v>
      </c>
      <c r="BV31" s="36">
        <f>IF(AND(BV$4&gt;Resumen_Sprints!$E$10,BV$4&lt;=Resumen_Sprints!$E$10+Resumen_Sprints!$D$10),INDEX('Sprint N°5'!$C$8:$R$8,BV$4-Resumen_Sprints!$E$10),0)</f>
        <v>0</v>
      </c>
      <c r="BW31" s="36">
        <f>IF(AND(BW$4&gt;Resumen_Sprints!$E$10,BW$4&lt;=Resumen_Sprints!$E$10+Resumen_Sprints!$D$10),INDEX('Sprint N°5'!$C$8:$R$8,BW$4-Resumen_Sprints!$E$10),0)</f>
        <v>0</v>
      </c>
      <c r="BX31" s="36">
        <f>IF(AND(BX$4&gt;Resumen_Sprints!$E$10,BX$4&lt;=Resumen_Sprints!$E$10+Resumen_Sprints!$D$10),INDEX('Sprint N°5'!$C$8:$R$8,BX$4-Resumen_Sprints!$E$10),0)</f>
        <v>0</v>
      </c>
      <c r="BY31" s="36">
        <f>IF(AND(BY$4&gt;Resumen_Sprints!$E$10,BY$4&lt;=Resumen_Sprints!$E$10+Resumen_Sprints!$D$10),INDEX('Sprint N°5'!$C$8:$R$8,BY$4-Resumen_Sprints!$E$10),0)</f>
        <v>0</v>
      </c>
      <c r="BZ31" s="36">
        <f>IF(AND(BZ$4&gt;Resumen_Sprints!$E$10,BZ$4&lt;=Resumen_Sprints!$E$10+Resumen_Sprints!$D$10),INDEX('Sprint N°5'!$C$8:$R$8,BZ$4-Resumen_Sprints!$E$10),0)</f>
        <v>0</v>
      </c>
      <c r="CA31" s="36">
        <f>IF(AND(CA$4&gt;Resumen_Sprints!$E$10,CA$4&lt;=Resumen_Sprints!$E$10+Resumen_Sprints!$D$10),INDEX('Sprint N°5'!$C$8:$R$8,CA$4-Resumen_Sprints!$E$10),0)</f>
        <v>0</v>
      </c>
      <c r="CB31" s="36">
        <f>IF(AND(CB$4&gt;Resumen_Sprints!$E$10,CB$4&lt;=Resumen_Sprints!$E$10+Resumen_Sprints!$D$10),INDEX('Sprint N°5'!$C$8:$R$8,CB$4-Resumen_Sprints!$E$10),0)</f>
        <v>0</v>
      </c>
      <c r="CC31" s="36">
        <f>IF(AND(CC$4&gt;Resumen_Sprints!$E$10,CC$4&lt;=Resumen_Sprints!$E$10+Resumen_Sprints!$D$10),INDEX('Sprint N°5'!$C$8:$R$8,CC$4-Resumen_Sprints!$E$10),0)</f>
        <v>0</v>
      </c>
      <c r="CD31" s="36">
        <f>IF(AND(CD$4&gt;Resumen_Sprints!$E$10,CD$4&lt;=Resumen_Sprints!$E$10+Resumen_Sprints!$D$10),INDEX('Sprint N°5'!$C$8:$R$8,CD$4-Resumen_Sprints!$E$10),0)</f>
        <v>0</v>
      </c>
      <c r="CE31" s="36">
        <f>IF(AND(CE$4&gt;Resumen_Sprints!$E$10,CE$4&lt;=Resumen_Sprints!$E$10+Resumen_Sprints!$D$10),INDEX('Sprint N°5'!$C$8:$R$8,CE$4-Resumen_Sprints!$E$10),0)</f>
        <v>0</v>
      </c>
      <c r="CF31" s="36">
        <f>IF(AND(CF$4&gt;Resumen_Sprints!$E$10,CF$4&lt;=Resumen_Sprints!$E$10+Resumen_Sprints!$D$10),INDEX('Sprint N°5'!$C$8:$R$8,CF$4-Resumen_Sprints!$E$10),0)</f>
        <v>0</v>
      </c>
      <c r="CG31" s="36">
        <f>IF(AND(CG$4&gt;Resumen_Sprints!$E$10,CG$4&lt;=Resumen_Sprints!$E$10+Resumen_Sprints!$D$10),INDEX('Sprint N°5'!$C$8:$R$8,CG$4-Resumen_Sprints!$E$10),0)</f>
        <v>0</v>
      </c>
      <c r="CH31" s="36">
        <f>IF(AND(CH$4&gt;Resumen_Sprints!$E$10,CH$4&lt;=Resumen_Sprints!$E$10+Resumen_Sprints!$D$10),INDEX('Sprint N°5'!$C$8:$R$8,CH$4-Resumen_Sprints!$E$10),0)</f>
        <v>0</v>
      </c>
      <c r="CI31" s="36">
        <f>IF(AND(CI$4&gt;Resumen_Sprints!$E$10,CI$4&lt;=Resumen_Sprints!$E$10+Resumen_Sprints!$D$10),INDEX('Sprint N°5'!$C$8:$R$8,CI$4-Resumen_Sprints!$E$10),0)</f>
        <v>0</v>
      </c>
      <c r="CJ31" s="36">
        <f>IF(AND(CJ$4&gt;Resumen_Sprints!$E$10,CJ$4&lt;=Resumen_Sprints!$E$10+Resumen_Sprints!$D$10),INDEX('Sprint N°5'!$C$8:$R$8,CJ$4-Resumen_Sprints!$E$10),0)</f>
        <v>0</v>
      </c>
      <c r="CK31" s="36">
        <f>IF(AND(CK$4&gt;Resumen_Sprints!$E$10,CK$4&lt;=Resumen_Sprints!$E$10+Resumen_Sprints!$D$10),INDEX('Sprint N°5'!$C$8:$R$8,CK$4-Resumen_Sprints!$E$10),0)</f>
        <v>0</v>
      </c>
      <c r="CL31" s="36">
        <f>IF(AND(CL$4&gt;Resumen_Sprints!$E$10,CL$4&lt;=Resumen_Sprints!$E$10+Resumen_Sprints!$D$10),INDEX('Sprint N°5'!$C$8:$R$8,CL$4-Resumen_Sprints!$E$10),0)</f>
        <v>0</v>
      </c>
      <c r="CM31" s="36">
        <f>IF(AND(CM$4&gt;Resumen_Sprints!$E$10,CM$4&lt;=Resumen_Sprints!$E$10+Resumen_Sprints!$D$10),INDEX('Sprint N°5'!$C$8:$R$8,CM$4-Resumen_Sprints!$E$10),0)</f>
        <v>0</v>
      </c>
      <c r="CN31" s="36">
        <f>IF(AND(CN$4&gt;Resumen_Sprints!$E$10,CN$4&lt;=Resumen_Sprints!$E$10+Resumen_Sprints!$D$10),INDEX('Sprint N°5'!$C$8:$R$8,CN$4-Resumen_Sprints!$E$10),0)</f>
        <v>0</v>
      </c>
      <c r="CO31" s="36">
        <f>IF(AND(CO$4&gt;Resumen_Sprints!$E$10,CO$4&lt;=Resumen_Sprints!$E$10+Resumen_Sprints!$D$10),INDEX('Sprint N°5'!$C$8:$R$8,CO$4-Resumen_Sprints!$E$10),0)</f>
        <v>0</v>
      </c>
      <c r="CP31" s="36">
        <f>IF(AND(CP$4&gt;Resumen_Sprints!$E$10,CP$4&lt;=Resumen_Sprints!$E$10+Resumen_Sprints!$D$10),INDEX('Sprint N°5'!$C$8:$R$8,CP$4-Resumen_Sprints!$E$10),0)</f>
        <v>0</v>
      </c>
      <c r="CQ31" s="36">
        <f>IF(AND(CQ$4&gt;Resumen_Sprints!$E$10,CQ$4&lt;=Resumen_Sprints!$E$10+Resumen_Sprints!$D$10),INDEX('Sprint N°5'!$C$8:$R$8,CQ$4-Resumen_Sprints!$E$10),0)</f>
        <v>0</v>
      </c>
      <c r="CR31" s="36">
        <f>IF(AND(CR$4&gt;Resumen_Sprints!$E$10,CR$4&lt;=Resumen_Sprints!$E$10+Resumen_Sprints!$D$10),INDEX('Sprint N°5'!$C$8:$R$8,CR$4-Resumen_Sprints!$E$10),0)</f>
        <v>0</v>
      </c>
      <c r="CS31" s="36">
        <f>IF(AND(CS$4&gt;Resumen_Sprints!$E$10,CS$4&lt;=Resumen_Sprints!$E$10+Resumen_Sprints!$D$10),INDEX('Sprint N°5'!$C$8:$R$8,CS$4-Resumen_Sprints!$E$10),0)</f>
        <v>0</v>
      </c>
      <c r="CT31" s="36">
        <f>IF(AND(CT$4&gt;Resumen_Sprints!$E$10,CT$4&lt;=Resumen_Sprints!$E$10+Resumen_Sprints!$D$10),INDEX('Sprint N°5'!$C$8:$R$8,CT$4-Resumen_Sprints!$E$10),0)</f>
        <v>0</v>
      </c>
      <c r="CU31" s="10">
        <f>SUM(C31:CT31)</f>
        <v>48</v>
      </c>
    </row>
    <row r="32" spans="1:99" x14ac:dyDescent="0.3">
      <c r="A32" s="22" t="str">
        <f>'Sprint N°5'!A9</f>
        <v>Visualización de Resultados en Tiempo Real</v>
      </c>
      <c r="B32" s="22">
        <f>'Sprint N°5'!B9</f>
        <v>23</v>
      </c>
      <c r="C32" s="36">
        <f>IF(AND(C$4&gt;Resumen_Sprints!$E$10,C$4&lt;=Resumen_Sprints!$E$10+Resumen_Sprints!$D$10),INDEX('Sprint N°5'!$C$9:$R$9,C$4-Resumen_Sprints!$E$10),0)</f>
        <v>0</v>
      </c>
      <c r="D32" s="36">
        <f>IF(AND(D$4&gt;Resumen_Sprints!$E$10,D$4&lt;=Resumen_Sprints!$E$10+Resumen_Sprints!$D$10),INDEX('Sprint N°5'!$C$9:$R$9,D$4-Resumen_Sprints!$E$10),0)</f>
        <v>0</v>
      </c>
      <c r="E32" s="36">
        <f>IF(AND(E$4&gt;Resumen_Sprints!$E$10,E$4&lt;=Resumen_Sprints!$E$10+Resumen_Sprints!$D$10),INDEX('Sprint N°5'!$C$9:$R$9,E$4-Resumen_Sprints!$E$10),0)</f>
        <v>0</v>
      </c>
      <c r="F32" s="36">
        <f>IF(AND(F$4&gt;Resumen_Sprints!$E$10,F$4&lt;=Resumen_Sprints!$E$10+Resumen_Sprints!$D$10),INDEX('Sprint N°5'!$C$9:$R$9,F$4-Resumen_Sprints!$E$10),0)</f>
        <v>0</v>
      </c>
      <c r="G32" s="36">
        <f>IF(AND(G$4&gt;Resumen_Sprints!$E$10,G$4&lt;=Resumen_Sprints!$E$10+Resumen_Sprints!$D$10),INDEX('Sprint N°5'!$C$9:$R$9,G$4-Resumen_Sprints!$E$10),0)</f>
        <v>0</v>
      </c>
      <c r="H32" s="36">
        <f>IF(AND(H$4&gt;Resumen_Sprints!$E$10,H$4&lt;=Resumen_Sprints!$E$10+Resumen_Sprints!$D$10),INDEX('Sprint N°5'!$C$9:$R$9,H$4-Resumen_Sprints!$E$10),0)</f>
        <v>0</v>
      </c>
      <c r="I32" s="36">
        <f>IF(AND(I$4&gt;Resumen_Sprints!$E$10,I$4&lt;=Resumen_Sprints!$E$10+Resumen_Sprints!$D$10),INDEX('Sprint N°5'!$C$9:$R$9,I$4-Resumen_Sprints!$E$10),0)</f>
        <v>0</v>
      </c>
      <c r="J32" s="36">
        <f>IF(AND(J$4&gt;Resumen_Sprints!$E$10,J$4&lt;=Resumen_Sprints!$E$10+Resumen_Sprints!$D$10),INDEX('Sprint N°5'!$C$9:$R$9,J$4-Resumen_Sprints!$E$10),0)</f>
        <v>0</v>
      </c>
      <c r="K32" s="36">
        <f>IF(AND(K$4&gt;Resumen_Sprints!$E$10,K$4&lt;=Resumen_Sprints!$E$10+Resumen_Sprints!$D$10),INDEX('Sprint N°5'!$C$9:$R$9,K$4-Resumen_Sprints!$E$10),0)</f>
        <v>0</v>
      </c>
      <c r="L32" s="36">
        <f>IF(AND(L$4&gt;Resumen_Sprints!$E$10,L$4&lt;=Resumen_Sprints!$E$10+Resumen_Sprints!$D$10),INDEX('Sprint N°5'!$C$9:$R$9,L$4-Resumen_Sprints!$E$10),0)</f>
        <v>0</v>
      </c>
      <c r="M32" s="36">
        <f>IF(AND(M$4&gt;Resumen_Sprints!$E$10,M$4&lt;=Resumen_Sprints!$E$10+Resumen_Sprints!$D$10),INDEX('Sprint N°5'!$C$9:$R$9,M$4-Resumen_Sprints!$E$10),0)</f>
        <v>0</v>
      </c>
      <c r="N32" s="36">
        <f>IF(AND(N$4&gt;Resumen_Sprints!$E$10,N$4&lt;=Resumen_Sprints!$E$10+Resumen_Sprints!$D$10),INDEX('Sprint N°5'!$C$9:$R$9,N$4-Resumen_Sprints!$E$10),0)</f>
        <v>0</v>
      </c>
      <c r="O32" s="36">
        <f>IF(AND(O$4&gt;Resumen_Sprints!$E$10,O$4&lt;=Resumen_Sprints!$E$10+Resumen_Sprints!$D$10),INDEX('Sprint N°5'!$C$9:$R$9,O$4-Resumen_Sprints!$E$10),0)</f>
        <v>0</v>
      </c>
      <c r="P32" s="36">
        <f>IF(AND(P$4&gt;Resumen_Sprints!$E$10,P$4&lt;=Resumen_Sprints!$E$10+Resumen_Sprints!$D$10),INDEX('Sprint N°5'!$C$9:$R$9,P$4-Resumen_Sprints!$E$10),0)</f>
        <v>0</v>
      </c>
      <c r="Q32" s="36">
        <f>IF(AND(Q$4&gt;Resumen_Sprints!$E$10,Q$4&lt;=Resumen_Sprints!$E$10+Resumen_Sprints!$D$10),INDEX('Sprint N°5'!$C$9:$R$9,Q$4-Resumen_Sprints!$E$10),0)</f>
        <v>0</v>
      </c>
      <c r="R32" s="36">
        <f>IF(AND(R$4&gt;Resumen_Sprints!$E$10,R$4&lt;=Resumen_Sprints!$E$10+Resumen_Sprints!$D$10),INDEX('Sprint N°5'!$C$9:$R$9,R$4-Resumen_Sprints!$E$10),0)</f>
        <v>0</v>
      </c>
      <c r="S32" s="36">
        <f>IF(AND(S$4&gt;Resumen_Sprints!$E$10,S$4&lt;=Resumen_Sprints!$E$10+Resumen_Sprints!$D$10),INDEX('Sprint N°5'!$C$9:$R$9,S$4-Resumen_Sprints!$E$10),0)</f>
        <v>0</v>
      </c>
      <c r="T32" s="36">
        <f>IF(AND(T$4&gt;Resumen_Sprints!$E$10,T$4&lt;=Resumen_Sprints!$E$10+Resumen_Sprints!$D$10),INDEX('Sprint N°5'!$C$9:$R$9,T$4-Resumen_Sprints!$E$10),0)</f>
        <v>0</v>
      </c>
      <c r="U32" s="36">
        <f>IF(AND(U$4&gt;Resumen_Sprints!$E$10,U$4&lt;=Resumen_Sprints!$E$10+Resumen_Sprints!$D$10),INDEX('Sprint N°5'!$C$9:$R$9,U$4-Resumen_Sprints!$E$10),0)</f>
        <v>0</v>
      </c>
      <c r="V32" s="36">
        <f>IF(AND(V$4&gt;Resumen_Sprints!$E$10,V$4&lt;=Resumen_Sprints!$E$10+Resumen_Sprints!$D$10),INDEX('Sprint N°5'!$C$9:$R$9,V$4-Resumen_Sprints!$E$10),0)</f>
        <v>0</v>
      </c>
      <c r="W32" s="36">
        <f>IF(AND(W$4&gt;Resumen_Sprints!$E$10,W$4&lt;=Resumen_Sprints!$E$10+Resumen_Sprints!$D$10),INDEX('Sprint N°5'!$C$9:$R$9,W$4-Resumen_Sprints!$E$10),0)</f>
        <v>0</v>
      </c>
      <c r="X32" s="36">
        <f>IF(AND(X$4&gt;Resumen_Sprints!$E$10,X$4&lt;=Resumen_Sprints!$E$10+Resumen_Sprints!$D$10),INDEX('Sprint N°5'!$C$9:$R$9,X$4-Resumen_Sprints!$E$10),0)</f>
        <v>0</v>
      </c>
      <c r="Y32" s="36">
        <f>IF(AND(Y$4&gt;Resumen_Sprints!$E$10,Y$4&lt;=Resumen_Sprints!$E$10+Resumen_Sprints!$D$10),INDEX('Sprint N°5'!$C$9:$R$9,Y$4-Resumen_Sprints!$E$10),0)</f>
        <v>0</v>
      </c>
      <c r="Z32" s="36">
        <f>IF(AND(Z$4&gt;Resumen_Sprints!$E$10,Z$4&lt;=Resumen_Sprints!$E$10+Resumen_Sprints!$D$10),INDEX('Sprint N°5'!$C$9:$R$9,Z$4-Resumen_Sprints!$E$10),0)</f>
        <v>0</v>
      </c>
      <c r="AA32" s="36">
        <f>IF(AND(AA$4&gt;Resumen_Sprints!$E$10,AA$4&lt;=Resumen_Sprints!$E$10+Resumen_Sprints!$D$10),INDEX('Sprint N°5'!$C$9:$R$9,AA$4-Resumen_Sprints!$E$10),0)</f>
        <v>0</v>
      </c>
      <c r="AB32" s="36">
        <f>IF(AND(AB$4&gt;Resumen_Sprints!$E$10,AB$4&lt;=Resumen_Sprints!$E$10+Resumen_Sprints!$D$10),INDEX('Sprint N°5'!$C$9:$R$9,AB$4-Resumen_Sprints!$E$10),0)</f>
        <v>0</v>
      </c>
      <c r="AC32" s="36">
        <f>IF(AND(AC$4&gt;Resumen_Sprints!$E$10,AC$4&lt;=Resumen_Sprints!$E$10+Resumen_Sprints!$D$10),INDEX('Sprint N°5'!$C$9:$R$9,AC$4-Resumen_Sprints!$E$10),0)</f>
        <v>0</v>
      </c>
      <c r="AD32" s="36">
        <f>IF(AND(AD$4&gt;Resumen_Sprints!$E$10,AD$4&lt;=Resumen_Sprints!$E$10+Resumen_Sprints!$D$10),INDEX('Sprint N°5'!$C$9:$R$9,AD$4-Resumen_Sprints!$E$10),0)</f>
        <v>0</v>
      </c>
      <c r="AE32" s="36">
        <f>IF(AND(AE$4&gt;Resumen_Sprints!$E$10,AE$4&lt;=Resumen_Sprints!$E$10+Resumen_Sprints!$D$10),INDEX('Sprint N°5'!$C$9:$R$9,AE$4-Resumen_Sprints!$E$10),0)</f>
        <v>0</v>
      </c>
      <c r="AF32" s="36">
        <f>IF(AND(AF$4&gt;Resumen_Sprints!$E$10,AF$4&lt;=Resumen_Sprints!$E$10+Resumen_Sprints!$D$10),INDEX('Sprint N°5'!$C$9:$R$9,AF$4-Resumen_Sprints!$E$10),0)</f>
        <v>0</v>
      </c>
      <c r="AG32" s="36">
        <f>IF(AND(AG$4&gt;Resumen_Sprints!$E$10,AG$4&lt;=Resumen_Sprints!$E$10+Resumen_Sprints!$D$10),INDEX('Sprint N°5'!$C$9:$R$9,AG$4-Resumen_Sprints!$E$10),0)</f>
        <v>0</v>
      </c>
      <c r="AH32" s="36">
        <f>IF(AND(AH$4&gt;Resumen_Sprints!$E$10,AH$4&lt;=Resumen_Sprints!$E$10+Resumen_Sprints!$D$10),INDEX('Sprint N°5'!$C$9:$R$9,AH$4-Resumen_Sprints!$E$10),0)</f>
        <v>0</v>
      </c>
      <c r="AI32" s="36">
        <f>IF(AND(AI$4&gt;Resumen_Sprints!$E$10,AI$4&lt;=Resumen_Sprints!$E$10+Resumen_Sprints!$D$10),INDEX('Sprint N°5'!$C$9:$R$9,AI$4-Resumen_Sprints!$E$10),0)</f>
        <v>0</v>
      </c>
      <c r="AJ32" s="36">
        <f>IF(AND(AJ$4&gt;Resumen_Sprints!$E$10,AJ$4&lt;=Resumen_Sprints!$E$10+Resumen_Sprints!$D$10),INDEX('Sprint N°5'!$C$9:$R$9,AJ$4-Resumen_Sprints!$E$10),0)</f>
        <v>0</v>
      </c>
      <c r="AK32" s="36">
        <f>IF(AND(AK$4&gt;Resumen_Sprints!$E$10,AK$4&lt;=Resumen_Sprints!$E$10+Resumen_Sprints!$D$10),INDEX('Sprint N°5'!$C$9:$R$9,AK$4-Resumen_Sprints!$E$10),0)</f>
        <v>0</v>
      </c>
      <c r="AL32" s="36">
        <f>IF(AND(AL$4&gt;Resumen_Sprints!$E$10,AL$4&lt;=Resumen_Sprints!$E$10+Resumen_Sprints!$D$10),INDEX('Sprint N°5'!$C$9:$R$9,AL$4-Resumen_Sprints!$E$10),0)</f>
        <v>0</v>
      </c>
      <c r="AM32" s="36">
        <f>IF(AND(AM$4&gt;Resumen_Sprints!$E$10,AM$4&lt;=Resumen_Sprints!$E$10+Resumen_Sprints!$D$10),INDEX('Sprint N°5'!$C$9:$R$9,AM$4-Resumen_Sprints!$E$10),0)</f>
        <v>0</v>
      </c>
      <c r="AN32" s="36">
        <f>IF(AND(AN$4&gt;Resumen_Sprints!$E$10,AN$4&lt;=Resumen_Sprints!$E$10+Resumen_Sprints!$D$10),INDEX('Sprint N°5'!$C$9:$R$9,AN$4-Resumen_Sprints!$E$10),0)</f>
        <v>0</v>
      </c>
      <c r="AO32" s="36">
        <f>IF(AND(AO$4&gt;Resumen_Sprints!$E$10,AO$4&lt;=Resumen_Sprints!$E$10+Resumen_Sprints!$D$10),INDEX('Sprint N°5'!$C$9:$R$9,AO$4-Resumen_Sprints!$E$10),0)</f>
        <v>0</v>
      </c>
      <c r="AP32" s="36">
        <f>IF(AND(AP$4&gt;Resumen_Sprints!$E$10,AP$4&lt;=Resumen_Sprints!$E$10+Resumen_Sprints!$D$10),INDEX('Sprint N°5'!$C$9:$R$9,AP$4-Resumen_Sprints!$E$10),0)</f>
        <v>0</v>
      </c>
      <c r="AQ32" s="36">
        <f>IF(AND(AQ$4&gt;Resumen_Sprints!$E$10,AQ$4&lt;=Resumen_Sprints!$E$10+Resumen_Sprints!$D$10),INDEX('Sprint N°5'!$C$9:$R$9,AQ$4-Resumen_Sprints!$E$10),0)</f>
        <v>0</v>
      </c>
      <c r="AR32" s="36">
        <f>IF(AND(AR$4&gt;Resumen_Sprints!$E$10,AR$4&lt;=Resumen_Sprints!$E$10+Resumen_Sprints!$D$10),INDEX('Sprint N°5'!$C$9:$R$9,AR$4-Resumen_Sprints!$E$10),0)</f>
        <v>0</v>
      </c>
      <c r="AS32" s="36">
        <f>IF(AND(AS$4&gt;Resumen_Sprints!$E$10,AS$4&lt;=Resumen_Sprints!$E$10+Resumen_Sprints!$D$10),INDEX('Sprint N°5'!$C$9:$R$9,AS$4-Resumen_Sprints!$E$10),0)</f>
        <v>0</v>
      </c>
      <c r="AT32" s="36">
        <f>IF(AND(AT$4&gt;Resumen_Sprints!$E$10,AT$4&lt;=Resumen_Sprints!$E$10+Resumen_Sprints!$D$10),INDEX('Sprint N°5'!$C$9:$R$9,AT$4-Resumen_Sprints!$E$10),0)</f>
        <v>0</v>
      </c>
      <c r="AU32" s="36">
        <f>IF(AND(AU$4&gt;Resumen_Sprints!$E$10,AU$4&lt;=Resumen_Sprints!$E$10+Resumen_Sprints!$D$10),INDEX('Sprint N°5'!$C$9:$R$9,AU$4-Resumen_Sprints!$E$10),0)</f>
        <v>0</v>
      </c>
      <c r="AV32" s="36">
        <f>IF(AND(AV$4&gt;Resumen_Sprints!$E$10,AV$4&lt;=Resumen_Sprints!$E$10+Resumen_Sprints!$D$10),INDEX('Sprint N°5'!$C$9:$R$9,AV$4-Resumen_Sprints!$E$10),0)</f>
        <v>0</v>
      </c>
      <c r="AW32" s="36">
        <f>IF(AND(AW$4&gt;Resumen_Sprints!$E$10,AW$4&lt;=Resumen_Sprints!$E$10+Resumen_Sprints!$D$10),INDEX('Sprint N°5'!$C$9:$R$9,AW$4-Resumen_Sprints!$E$10),0)</f>
        <v>0</v>
      </c>
      <c r="AX32" s="36">
        <f>IF(AND(AX$4&gt;Resumen_Sprints!$E$10,AX$4&lt;=Resumen_Sprints!$E$10+Resumen_Sprints!$D$10),INDEX('Sprint N°5'!$C$9:$R$9,AX$4-Resumen_Sprints!$E$10),0)</f>
        <v>0</v>
      </c>
      <c r="AY32" s="36">
        <f>IF(AND(AY$4&gt;Resumen_Sprints!$E$10,AY$4&lt;=Resumen_Sprints!$E$10+Resumen_Sprints!$D$10),INDEX('Sprint N°5'!$C$9:$R$9,AY$4-Resumen_Sprints!$E$10),0)</f>
        <v>0</v>
      </c>
      <c r="AZ32" s="36">
        <f>IF(AND(AZ$4&gt;Resumen_Sprints!$E$10,AZ$4&lt;=Resumen_Sprints!$E$10+Resumen_Sprints!$D$10),INDEX('Sprint N°5'!$C$9:$R$9,AZ$4-Resumen_Sprints!$E$10),0)</f>
        <v>0</v>
      </c>
      <c r="BA32" s="36">
        <f>IF(AND(BA$4&gt;Resumen_Sprints!$E$10,BA$4&lt;=Resumen_Sprints!$E$10+Resumen_Sprints!$D$10),INDEX('Sprint N°5'!$C$9:$R$9,BA$4-Resumen_Sprints!$E$10),0)</f>
        <v>0</v>
      </c>
      <c r="BB32" s="36">
        <f>IF(AND(BB$4&gt;Resumen_Sprints!$E$10,BB$4&lt;=Resumen_Sprints!$E$10+Resumen_Sprints!$D$10),INDEX('Sprint N°5'!$C$9:$R$9,BB$4-Resumen_Sprints!$E$10),0)</f>
        <v>0</v>
      </c>
      <c r="BC32" s="36">
        <f>IF(AND(BC$4&gt;Resumen_Sprints!$E$10,BC$4&lt;=Resumen_Sprints!$E$10+Resumen_Sprints!$D$10),INDEX('Sprint N°5'!$C$9:$R$9,BC$4-Resumen_Sprints!$E$10),0)</f>
        <v>0</v>
      </c>
      <c r="BD32" s="36">
        <f>IF(AND(BD$4&gt;Resumen_Sprints!$E$10,BD$4&lt;=Resumen_Sprints!$E$10+Resumen_Sprints!$D$10),INDEX('Sprint N°5'!$C$9:$R$9,BD$4-Resumen_Sprints!$E$10),0)</f>
        <v>5</v>
      </c>
      <c r="BE32" s="36">
        <f>IF(AND(BE$4&gt;Resumen_Sprints!$E$10,BE$4&lt;=Resumen_Sprints!$E$10+Resumen_Sprints!$D$10),INDEX('Sprint N°5'!$C$9:$R$9,BE$4-Resumen_Sprints!$E$10),0)</f>
        <v>7</v>
      </c>
      <c r="BF32" s="36">
        <f>IF(AND(BF$4&gt;Resumen_Sprints!$E$10,BF$4&lt;=Resumen_Sprints!$E$10+Resumen_Sprints!$D$10),INDEX('Sprint N°5'!$C$9:$R$9,BF$4-Resumen_Sprints!$E$10),0)</f>
        <v>6</v>
      </c>
      <c r="BG32" s="36">
        <f>IF(AND(BG$4&gt;Resumen_Sprints!$E$10,BG$4&lt;=Resumen_Sprints!$E$10+Resumen_Sprints!$D$10),INDEX('Sprint N°5'!$C$9:$R$9,BG$4-Resumen_Sprints!$E$10),0)</f>
        <v>6</v>
      </c>
      <c r="BH32" s="36">
        <f>IF(AND(BH$4&gt;Resumen_Sprints!$E$10,BH$4&lt;=Resumen_Sprints!$E$10+Resumen_Sprints!$D$10),INDEX('Sprint N°5'!$C$9:$R$9,BH$4-Resumen_Sprints!$E$10),0)</f>
        <v>0</v>
      </c>
      <c r="BI32" s="36">
        <f>IF(AND(BI$4&gt;Resumen_Sprints!$E$10,BI$4&lt;=Resumen_Sprints!$E$10+Resumen_Sprints!$D$10),INDEX('Sprint N°5'!$C$9:$R$9,BI$4-Resumen_Sprints!$E$10),0)</f>
        <v>0</v>
      </c>
      <c r="BJ32" s="36">
        <f>IF(AND(BJ$4&gt;Resumen_Sprints!$E$10,BJ$4&lt;=Resumen_Sprints!$E$10+Resumen_Sprints!$D$10),INDEX('Sprint N°5'!$C$9:$R$9,BJ$4-Resumen_Sprints!$E$10),0)</f>
        <v>0</v>
      </c>
      <c r="BK32" s="36">
        <f>IF(AND(BK$4&gt;Resumen_Sprints!$E$10,BK$4&lt;=Resumen_Sprints!$E$10+Resumen_Sprints!$D$10),INDEX('Sprint N°5'!$C$9:$R$9,BK$4-Resumen_Sprints!$E$10),0)</f>
        <v>0</v>
      </c>
      <c r="BL32" s="36">
        <f>IF(AND(BL$4&gt;Resumen_Sprints!$E$10,BL$4&lt;=Resumen_Sprints!$E$10+Resumen_Sprints!$D$10),INDEX('Sprint N°5'!$C$9:$R$9,BL$4-Resumen_Sprints!$E$10),0)</f>
        <v>0</v>
      </c>
      <c r="BM32" s="36">
        <f>IF(AND(BM$4&gt;Resumen_Sprints!$E$10,BM$4&lt;=Resumen_Sprints!$E$10+Resumen_Sprints!$D$10),INDEX('Sprint N°5'!$C$9:$R$9,BM$4-Resumen_Sprints!$E$10),0)</f>
        <v>0</v>
      </c>
      <c r="BN32" s="36">
        <f>IF(AND(BN$4&gt;Resumen_Sprints!$E$10,BN$4&lt;=Resumen_Sprints!$E$10+Resumen_Sprints!$D$10),INDEX('Sprint N°5'!$C$9:$R$9,BN$4-Resumen_Sprints!$E$10),0)</f>
        <v>0</v>
      </c>
      <c r="BO32" s="36">
        <f>IF(AND(BO$4&gt;Resumen_Sprints!$E$10,BO$4&lt;=Resumen_Sprints!$E$10+Resumen_Sprints!$D$10),INDEX('Sprint N°5'!$C$9:$R$9,BO$4-Resumen_Sprints!$E$10),0)</f>
        <v>0</v>
      </c>
      <c r="BP32" s="36">
        <f>IF(AND(BP$4&gt;Resumen_Sprints!$E$10,BP$4&lt;=Resumen_Sprints!$E$10+Resumen_Sprints!$D$10),INDEX('Sprint N°5'!$C$9:$R$9,BP$4-Resumen_Sprints!$E$10),0)</f>
        <v>0</v>
      </c>
      <c r="BQ32" s="36">
        <f>IF(AND(BQ$4&gt;Resumen_Sprints!$E$10,BQ$4&lt;=Resumen_Sprints!$E$10+Resumen_Sprints!$D$10),INDEX('Sprint N°5'!$C$9:$R$9,BQ$4-Resumen_Sprints!$E$10),0)</f>
        <v>0</v>
      </c>
      <c r="BR32" s="36">
        <f>IF(AND(BR$4&gt;Resumen_Sprints!$E$10,BR$4&lt;=Resumen_Sprints!$E$10+Resumen_Sprints!$D$10),INDEX('Sprint N°5'!$C$9:$R$9,BR$4-Resumen_Sprints!$E$10),0)</f>
        <v>0</v>
      </c>
      <c r="BS32" s="36">
        <f>IF(AND(BS$4&gt;Resumen_Sprints!$E$10,BS$4&lt;=Resumen_Sprints!$E$10+Resumen_Sprints!$D$10),INDEX('Sprint N°5'!$C$9:$R$9,BS$4-Resumen_Sprints!$E$10),0)</f>
        <v>0</v>
      </c>
      <c r="BT32" s="36">
        <f>IF(AND(BT$4&gt;Resumen_Sprints!$E$10,BT$4&lt;=Resumen_Sprints!$E$10+Resumen_Sprints!$D$10),INDEX('Sprint N°5'!$C$9:$R$9,BT$4-Resumen_Sprints!$E$10),0)</f>
        <v>0</v>
      </c>
      <c r="BU32" s="36">
        <f>IF(AND(BU$4&gt;Resumen_Sprints!$E$10,BU$4&lt;=Resumen_Sprints!$E$10+Resumen_Sprints!$D$10),INDEX('Sprint N°5'!$C$9:$R$9,BU$4-Resumen_Sprints!$E$10),0)</f>
        <v>0</v>
      </c>
      <c r="BV32" s="36">
        <f>IF(AND(BV$4&gt;Resumen_Sprints!$E$10,BV$4&lt;=Resumen_Sprints!$E$10+Resumen_Sprints!$D$10),INDEX('Sprint N°5'!$C$9:$R$9,BV$4-Resumen_Sprints!$E$10),0)</f>
        <v>0</v>
      </c>
      <c r="BW32" s="36">
        <f>IF(AND(BW$4&gt;Resumen_Sprints!$E$10,BW$4&lt;=Resumen_Sprints!$E$10+Resumen_Sprints!$D$10),INDEX('Sprint N°5'!$C$9:$R$9,BW$4-Resumen_Sprints!$E$10),0)</f>
        <v>0</v>
      </c>
      <c r="BX32" s="36">
        <f>IF(AND(BX$4&gt;Resumen_Sprints!$E$10,BX$4&lt;=Resumen_Sprints!$E$10+Resumen_Sprints!$D$10),INDEX('Sprint N°5'!$C$9:$R$9,BX$4-Resumen_Sprints!$E$10),0)</f>
        <v>0</v>
      </c>
      <c r="BY32" s="36">
        <f>IF(AND(BY$4&gt;Resumen_Sprints!$E$10,BY$4&lt;=Resumen_Sprints!$E$10+Resumen_Sprints!$D$10),INDEX('Sprint N°5'!$C$9:$R$9,BY$4-Resumen_Sprints!$E$10),0)</f>
        <v>0</v>
      </c>
      <c r="BZ32" s="36">
        <f>IF(AND(BZ$4&gt;Resumen_Sprints!$E$10,BZ$4&lt;=Resumen_Sprints!$E$10+Resumen_Sprints!$D$10),INDEX('Sprint N°5'!$C$9:$R$9,BZ$4-Resumen_Sprints!$E$10),0)</f>
        <v>0</v>
      </c>
      <c r="CA32" s="36">
        <f>IF(AND(CA$4&gt;Resumen_Sprints!$E$10,CA$4&lt;=Resumen_Sprints!$E$10+Resumen_Sprints!$D$10),INDEX('Sprint N°5'!$C$9:$R$9,CA$4-Resumen_Sprints!$E$10),0)</f>
        <v>0</v>
      </c>
      <c r="CB32" s="36">
        <f>IF(AND(CB$4&gt;Resumen_Sprints!$E$10,CB$4&lt;=Resumen_Sprints!$E$10+Resumen_Sprints!$D$10),INDEX('Sprint N°5'!$C$9:$R$9,CB$4-Resumen_Sprints!$E$10),0)</f>
        <v>0</v>
      </c>
      <c r="CC32" s="36">
        <f>IF(AND(CC$4&gt;Resumen_Sprints!$E$10,CC$4&lt;=Resumen_Sprints!$E$10+Resumen_Sprints!$D$10),INDEX('Sprint N°5'!$C$9:$R$9,CC$4-Resumen_Sprints!$E$10),0)</f>
        <v>0</v>
      </c>
      <c r="CD32" s="36">
        <f>IF(AND(CD$4&gt;Resumen_Sprints!$E$10,CD$4&lt;=Resumen_Sprints!$E$10+Resumen_Sprints!$D$10),INDEX('Sprint N°5'!$C$9:$R$9,CD$4-Resumen_Sprints!$E$10),0)</f>
        <v>0</v>
      </c>
      <c r="CE32" s="36">
        <f>IF(AND(CE$4&gt;Resumen_Sprints!$E$10,CE$4&lt;=Resumen_Sprints!$E$10+Resumen_Sprints!$D$10),INDEX('Sprint N°5'!$C$9:$R$9,CE$4-Resumen_Sprints!$E$10),0)</f>
        <v>0</v>
      </c>
      <c r="CF32" s="36">
        <f>IF(AND(CF$4&gt;Resumen_Sprints!$E$10,CF$4&lt;=Resumen_Sprints!$E$10+Resumen_Sprints!$D$10),INDEX('Sprint N°5'!$C$9:$R$9,CF$4-Resumen_Sprints!$E$10),0)</f>
        <v>0</v>
      </c>
      <c r="CG32" s="36">
        <f>IF(AND(CG$4&gt;Resumen_Sprints!$E$10,CG$4&lt;=Resumen_Sprints!$E$10+Resumen_Sprints!$D$10),INDEX('Sprint N°5'!$C$9:$R$9,CG$4-Resumen_Sprints!$E$10),0)</f>
        <v>0</v>
      </c>
      <c r="CH32" s="36">
        <f>IF(AND(CH$4&gt;Resumen_Sprints!$E$10,CH$4&lt;=Resumen_Sprints!$E$10+Resumen_Sprints!$D$10),INDEX('Sprint N°5'!$C$9:$R$9,CH$4-Resumen_Sprints!$E$10),0)</f>
        <v>0</v>
      </c>
      <c r="CI32" s="36">
        <f>IF(AND(CI$4&gt;Resumen_Sprints!$E$10,CI$4&lt;=Resumen_Sprints!$E$10+Resumen_Sprints!$D$10),INDEX('Sprint N°5'!$C$9:$R$9,CI$4-Resumen_Sprints!$E$10),0)</f>
        <v>0</v>
      </c>
      <c r="CJ32" s="36">
        <f>IF(AND(CJ$4&gt;Resumen_Sprints!$E$10,CJ$4&lt;=Resumen_Sprints!$E$10+Resumen_Sprints!$D$10),INDEX('Sprint N°5'!$C$9:$R$9,CJ$4-Resumen_Sprints!$E$10),0)</f>
        <v>0</v>
      </c>
      <c r="CK32" s="36">
        <f>IF(AND(CK$4&gt;Resumen_Sprints!$E$10,CK$4&lt;=Resumen_Sprints!$E$10+Resumen_Sprints!$D$10),INDEX('Sprint N°5'!$C$9:$R$9,CK$4-Resumen_Sprints!$E$10),0)</f>
        <v>0</v>
      </c>
      <c r="CL32" s="36">
        <f>IF(AND(CL$4&gt;Resumen_Sprints!$E$10,CL$4&lt;=Resumen_Sprints!$E$10+Resumen_Sprints!$D$10),INDEX('Sprint N°5'!$C$9:$R$9,CL$4-Resumen_Sprints!$E$10),0)</f>
        <v>0</v>
      </c>
      <c r="CM32" s="36">
        <f>IF(AND(CM$4&gt;Resumen_Sprints!$E$10,CM$4&lt;=Resumen_Sprints!$E$10+Resumen_Sprints!$D$10),INDEX('Sprint N°5'!$C$9:$R$9,CM$4-Resumen_Sprints!$E$10),0)</f>
        <v>0</v>
      </c>
      <c r="CN32" s="36">
        <f>IF(AND(CN$4&gt;Resumen_Sprints!$E$10,CN$4&lt;=Resumen_Sprints!$E$10+Resumen_Sprints!$D$10),INDEX('Sprint N°5'!$C$9:$R$9,CN$4-Resumen_Sprints!$E$10),0)</f>
        <v>0</v>
      </c>
      <c r="CO32" s="36">
        <f>IF(AND(CO$4&gt;Resumen_Sprints!$E$10,CO$4&lt;=Resumen_Sprints!$E$10+Resumen_Sprints!$D$10),INDEX('Sprint N°5'!$C$9:$R$9,CO$4-Resumen_Sprints!$E$10),0)</f>
        <v>0</v>
      </c>
      <c r="CP32" s="36">
        <f>IF(AND(CP$4&gt;Resumen_Sprints!$E$10,CP$4&lt;=Resumen_Sprints!$E$10+Resumen_Sprints!$D$10),INDEX('Sprint N°5'!$C$9:$R$9,CP$4-Resumen_Sprints!$E$10),0)</f>
        <v>0</v>
      </c>
      <c r="CQ32" s="36">
        <f>IF(AND(CQ$4&gt;Resumen_Sprints!$E$10,CQ$4&lt;=Resumen_Sprints!$E$10+Resumen_Sprints!$D$10),INDEX('Sprint N°5'!$C$9:$R$9,CQ$4-Resumen_Sprints!$E$10),0)</f>
        <v>0</v>
      </c>
      <c r="CR32" s="36">
        <f>IF(AND(CR$4&gt;Resumen_Sprints!$E$10,CR$4&lt;=Resumen_Sprints!$E$10+Resumen_Sprints!$D$10),INDEX('Sprint N°5'!$C$9:$R$9,CR$4-Resumen_Sprints!$E$10),0)</f>
        <v>0</v>
      </c>
      <c r="CS32" s="36">
        <f>IF(AND(CS$4&gt;Resumen_Sprints!$E$10,CS$4&lt;=Resumen_Sprints!$E$10+Resumen_Sprints!$D$10),INDEX('Sprint N°5'!$C$9:$R$9,CS$4-Resumen_Sprints!$E$10),0)</f>
        <v>0</v>
      </c>
      <c r="CT32" s="36">
        <f>IF(AND(CT$4&gt;Resumen_Sprints!$E$10,CT$4&lt;=Resumen_Sprints!$E$10+Resumen_Sprints!$D$10),INDEX('Sprint N°5'!$C$9:$R$9,CT$4-Resumen_Sprints!$E$10),0)</f>
        <v>0</v>
      </c>
      <c r="CU32" s="10">
        <f>SUM(C32:CT32)</f>
        <v>24</v>
      </c>
    </row>
    <row r="33" spans="1:99" x14ac:dyDescent="0.3">
      <c r="A33" s="17" t="str">
        <f>"Sprint N°"&amp;Resumen_Sprints!A11&amp;" – "&amp;Resumen_Sprints!B11</f>
        <v>Sprint N°6 – Proyección Monetaria, Integración y Ceremonias Scrum</v>
      </c>
      <c r="B33" s="26">
        <f>SUM(B34:B38)</f>
        <v>135</v>
      </c>
      <c r="CU33" s="44"/>
    </row>
    <row r="34" spans="1:99" x14ac:dyDescent="0.3">
      <c r="A34" s="22" t="str">
        <f>'Sprint N°6'!A6</f>
        <v>Coordinación del componente</v>
      </c>
      <c r="B34" s="22">
        <f>'Sprint N°6'!B6</f>
        <v>2</v>
      </c>
      <c r="C34" s="36">
        <f>IF(AND(C$4&gt;Resumen_Sprints!$E$11,C$4&lt;=Resumen_Sprints!$E$11+Resumen_Sprints!$D$11),INDEX('Sprint N°6'!$C$6:$N$6,C$4-Resumen_Sprints!$E$11),0)</f>
        <v>0</v>
      </c>
      <c r="D34" s="36">
        <f>IF(AND(D$4&gt;Resumen_Sprints!$E$11,D$4&lt;=Resumen_Sprints!$E$11+Resumen_Sprints!$D$11),INDEX('Sprint N°6'!$C$6:$N$6,D$4-Resumen_Sprints!$E$11),0)</f>
        <v>0</v>
      </c>
      <c r="E34" s="36">
        <f>IF(AND(E$4&gt;Resumen_Sprints!$E$11,E$4&lt;=Resumen_Sprints!$E$11+Resumen_Sprints!$D$11),INDEX('Sprint N°6'!$C$6:$N$6,E$4-Resumen_Sprints!$E$11),0)</f>
        <v>0</v>
      </c>
      <c r="F34" s="36">
        <f>IF(AND(F$4&gt;Resumen_Sprints!$E$11,F$4&lt;=Resumen_Sprints!$E$11+Resumen_Sprints!$D$11),INDEX('Sprint N°6'!$C$6:$N$6,F$4-Resumen_Sprints!$E$11),0)</f>
        <v>0</v>
      </c>
      <c r="G34" s="36">
        <f>IF(AND(G$4&gt;Resumen_Sprints!$E$11,G$4&lt;=Resumen_Sprints!$E$11+Resumen_Sprints!$D$11),INDEX('Sprint N°6'!$C$6:$N$6,G$4-Resumen_Sprints!$E$11),0)</f>
        <v>0</v>
      </c>
      <c r="H34" s="36">
        <f>IF(AND(H$4&gt;Resumen_Sprints!$E$11,H$4&lt;=Resumen_Sprints!$E$11+Resumen_Sprints!$D$11),INDEX('Sprint N°6'!$C$6:$N$6,H$4-Resumen_Sprints!$E$11),0)</f>
        <v>0</v>
      </c>
      <c r="I34" s="36">
        <f>IF(AND(I$4&gt;Resumen_Sprints!$E$11,I$4&lt;=Resumen_Sprints!$E$11+Resumen_Sprints!$D$11),INDEX('Sprint N°6'!$C$6:$N$6,I$4-Resumen_Sprints!$E$11),0)</f>
        <v>0</v>
      </c>
      <c r="J34" s="36">
        <f>IF(AND(J$4&gt;Resumen_Sprints!$E$11,J$4&lt;=Resumen_Sprints!$E$11+Resumen_Sprints!$D$11),INDEX('Sprint N°6'!$C$6:$N$6,J$4-Resumen_Sprints!$E$11),0)</f>
        <v>0</v>
      </c>
      <c r="K34" s="36">
        <f>IF(AND(K$4&gt;Resumen_Sprints!$E$11,K$4&lt;=Resumen_Sprints!$E$11+Resumen_Sprints!$D$11),INDEX('Sprint N°6'!$C$6:$N$6,K$4-Resumen_Sprints!$E$11),0)</f>
        <v>0</v>
      </c>
      <c r="L34" s="36">
        <f>IF(AND(L$4&gt;Resumen_Sprints!$E$11,L$4&lt;=Resumen_Sprints!$E$11+Resumen_Sprints!$D$11),INDEX('Sprint N°6'!$C$6:$N$6,L$4-Resumen_Sprints!$E$11),0)</f>
        <v>0</v>
      </c>
      <c r="M34" s="36">
        <f>IF(AND(M$4&gt;Resumen_Sprints!$E$11,M$4&lt;=Resumen_Sprints!$E$11+Resumen_Sprints!$D$11),INDEX('Sprint N°6'!$C$6:$N$6,M$4-Resumen_Sprints!$E$11),0)</f>
        <v>0</v>
      </c>
      <c r="N34" s="36">
        <f>IF(AND(N$4&gt;Resumen_Sprints!$E$11,N$4&lt;=Resumen_Sprints!$E$11+Resumen_Sprints!$D$11),INDEX('Sprint N°6'!$C$6:$N$6,N$4-Resumen_Sprints!$E$11),0)</f>
        <v>0</v>
      </c>
      <c r="O34" s="36">
        <f>IF(AND(O$4&gt;Resumen_Sprints!$E$11,O$4&lt;=Resumen_Sprints!$E$11+Resumen_Sprints!$D$11),INDEX('Sprint N°6'!$C$6:$N$6,O$4-Resumen_Sprints!$E$11),0)</f>
        <v>0</v>
      </c>
      <c r="P34" s="36">
        <f>IF(AND(P$4&gt;Resumen_Sprints!$E$11,P$4&lt;=Resumen_Sprints!$E$11+Resumen_Sprints!$D$11),INDEX('Sprint N°6'!$C$6:$N$6,P$4-Resumen_Sprints!$E$11),0)</f>
        <v>0</v>
      </c>
      <c r="Q34" s="36">
        <f>IF(AND(Q$4&gt;Resumen_Sprints!$E$11,Q$4&lt;=Resumen_Sprints!$E$11+Resumen_Sprints!$D$11),INDEX('Sprint N°6'!$C$6:$N$6,Q$4-Resumen_Sprints!$E$11),0)</f>
        <v>0</v>
      </c>
      <c r="R34" s="36">
        <f>IF(AND(R$4&gt;Resumen_Sprints!$E$11,R$4&lt;=Resumen_Sprints!$E$11+Resumen_Sprints!$D$11),INDEX('Sprint N°6'!$C$6:$N$6,R$4-Resumen_Sprints!$E$11),0)</f>
        <v>0</v>
      </c>
      <c r="S34" s="36">
        <f>IF(AND(S$4&gt;Resumen_Sprints!$E$11,S$4&lt;=Resumen_Sprints!$E$11+Resumen_Sprints!$D$11),INDEX('Sprint N°6'!$C$6:$N$6,S$4-Resumen_Sprints!$E$11),0)</f>
        <v>0</v>
      </c>
      <c r="T34" s="36">
        <f>IF(AND(T$4&gt;Resumen_Sprints!$E$11,T$4&lt;=Resumen_Sprints!$E$11+Resumen_Sprints!$D$11),INDEX('Sprint N°6'!$C$6:$N$6,T$4-Resumen_Sprints!$E$11),0)</f>
        <v>0</v>
      </c>
      <c r="U34" s="36">
        <f>IF(AND(U$4&gt;Resumen_Sprints!$E$11,U$4&lt;=Resumen_Sprints!$E$11+Resumen_Sprints!$D$11),INDEX('Sprint N°6'!$C$6:$N$6,U$4-Resumen_Sprints!$E$11),0)</f>
        <v>0</v>
      </c>
      <c r="V34" s="36">
        <f>IF(AND(V$4&gt;Resumen_Sprints!$E$11,V$4&lt;=Resumen_Sprints!$E$11+Resumen_Sprints!$D$11),INDEX('Sprint N°6'!$C$6:$N$6,V$4-Resumen_Sprints!$E$11),0)</f>
        <v>0</v>
      </c>
      <c r="W34" s="36">
        <f>IF(AND(W$4&gt;Resumen_Sprints!$E$11,W$4&lt;=Resumen_Sprints!$E$11+Resumen_Sprints!$D$11),INDEX('Sprint N°6'!$C$6:$N$6,W$4-Resumen_Sprints!$E$11),0)</f>
        <v>0</v>
      </c>
      <c r="X34" s="36">
        <f>IF(AND(X$4&gt;Resumen_Sprints!$E$11,X$4&lt;=Resumen_Sprints!$E$11+Resumen_Sprints!$D$11),INDEX('Sprint N°6'!$C$6:$N$6,X$4-Resumen_Sprints!$E$11),0)</f>
        <v>0</v>
      </c>
      <c r="Y34" s="36">
        <f>IF(AND(Y$4&gt;Resumen_Sprints!$E$11,Y$4&lt;=Resumen_Sprints!$E$11+Resumen_Sprints!$D$11),INDEX('Sprint N°6'!$C$6:$N$6,Y$4-Resumen_Sprints!$E$11),0)</f>
        <v>0</v>
      </c>
      <c r="Z34" s="36">
        <f>IF(AND(Z$4&gt;Resumen_Sprints!$E$11,Z$4&lt;=Resumen_Sprints!$E$11+Resumen_Sprints!$D$11),INDEX('Sprint N°6'!$C$6:$N$6,Z$4-Resumen_Sprints!$E$11),0)</f>
        <v>0</v>
      </c>
      <c r="AA34" s="36">
        <f>IF(AND(AA$4&gt;Resumen_Sprints!$E$11,AA$4&lt;=Resumen_Sprints!$E$11+Resumen_Sprints!$D$11),INDEX('Sprint N°6'!$C$6:$N$6,AA$4-Resumen_Sprints!$E$11),0)</f>
        <v>0</v>
      </c>
      <c r="AB34" s="36">
        <f>IF(AND(AB$4&gt;Resumen_Sprints!$E$11,AB$4&lt;=Resumen_Sprints!$E$11+Resumen_Sprints!$D$11),INDEX('Sprint N°6'!$C$6:$N$6,AB$4-Resumen_Sprints!$E$11),0)</f>
        <v>0</v>
      </c>
      <c r="AC34" s="36">
        <f>IF(AND(AC$4&gt;Resumen_Sprints!$E$11,AC$4&lt;=Resumen_Sprints!$E$11+Resumen_Sprints!$D$11),INDEX('Sprint N°6'!$C$6:$N$6,AC$4-Resumen_Sprints!$E$11),0)</f>
        <v>0</v>
      </c>
      <c r="AD34" s="36">
        <f>IF(AND(AD$4&gt;Resumen_Sprints!$E$11,AD$4&lt;=Resumen_Sprints!$E$11+Resumen_Sprints!$D$11),INDEX('Sprint N°6'!$C$6:$N$6,AD$4-Resumen_Sprints!$E$11),0)</f>
        <v>0</v>
      </c>
      <c r="AE34" s="36">
        <f>IF(AND(AE$4&gt;Resumen_Sprints!$E$11,AE$4&lt;=Resumen_Sprints!$E$11+Resumen_Sprints!$D$11),INDEX('Sprint N°6'!$C$6:$N$6,AE$4-Resumen_Sprints!$E$11),0)</f>
        <v>0</v>
      </c>
      <c r="AF34" s="36">
        <f>IF(AND(AF$4&gt;Resumen_Sprints!$E$11,AF$4&lt;=Resumen_Sprints!$E$11+Resumen_Sprints!$D$11),INDEX('Sprint N°6'!$C$6:$N$6,AF$4-Resumen_Sprints!$E$11),0)</f>
        <v>0</v>
      </c>
      <c r="AG34" s="36">
        <f>IF(AND(AG$4&gt;Resumen_Sprints!$E$11,AG$4&lt;=Resumen_Sprints!$E$11+Resumen_Sprints!$D$11),INDEX('Sprint N°6'!$C$6:$N$6,AG$4-Resumen_Sprints!$E$11),0)</f>
        <v>0</v>
      </c>
      <c r="AH34" s="36">
        <f>IF(AND(AH$4&gt;Resumen_Sprints!$E$11,AH$4&lt;=Resumen_Sprints!$E$11+Resumen_Sprints!$D$11),INDEX('Sprint N°6'!$C$6:$N$6,AH$4-Resumen_Sprints!$E$11),0)</f>
        <v>0</v>
      </c>
      <c r="AI34" s="36">
        <f>IF(AND(AI$4&gt;Resumen_Sprints!$E$11,AI$4&lt;=Resumen_Sprints!$E$11+Resumen_Sprints!$D$11),INDEX('Sprint N°6'!$C$6:$N$6,AI$4-Resumen_Sprints!$E$11),0)</f>
        <v>0</v>
      </c>
      <c r="AJ34" s="36">
        <f>IF(AND(AJ$4&gt;Resumen_Sprints!$E$11,AJ$4&lt;=Resumen_Sprints!$E$11+Resumen_Sprints!$D$11),INDEX('Sprint N°6'!$C$6:$N$6,AJ$4-Resumen_Sprints!$E$11),0)</f>
        <v>0</v>
      </c>
      <c r="AK34" s="36">
        <f>IF(AND(AK$4&gt;Resumen_Sprints!$E$11,AK$4&lt;=Resumen_Sprints!$E$11+Resumen_Sprints!$D$11),INDEX('Sprint N°6'!$C$6:$N$6,AK$4-Resumen_Sprints!$E$11),0)</f>
        <v>0</v>
      </c>
      <c r="AL34" s="36">
        <f>IF(AND(AL$4&gt;Resumen_Sprints!$E$11,AL$4&lt;=Resumen_Sprints!$E$11+Resumen_Sprints!$D$11),INDEX('Sprint N°6'!$C$6:$N$6,AL$4-Resumen_Sprints!$E$11),0)</f>
        <v>0</v>
      </c>
      <c r="AM34" s="36">
        <f>IF(AND(AM$4&gt;Resumen_Sprints!$E$11,AM$4&lt;=Resumen_Sprints!$E$11+Resumen_Sprints!$D$11),INDEX('Sprint N°6'!$C$6:$N$6,AM$4-Resumen_Sprints!$E$11),0)</f>
        <v>0</v>
      </c>
      <c r="AN34" s="36">
        <f>IF(AND(AN$4&gt;Resumen_Sprints!$E$11,AN$4&lt;=Resumen_Sprints!$E$11+Resumen_Sprints!$D$11),INDEX('Sprint N°6'!$C$6:$N$6,AN$4-Resumen_Sprints!$E$11),0)</f>
        <v>0</v>
      </c>
      <c r="AO34" s="36">
        <f>IF(AND(AO$4&gt;Resumen_Sprints!$E$11,AO$4&lt;=Resumen_Sprints!$E$11+Resumen_Sprints!$D$11),INDEX('Sprint N°6'!$C$6:$N$6,AO$4-Resumen_Sprints!$E$11),0)</f>
        <v>0</v>
      </c>
      <c r="AP34" s="36">
        <f>IF(AND(AP$4&gt;Resumen_Sprints!$E$11,AP$4&lt;=Resumen_Sprints!$E$11+Resumen_Sprints!$D$11),INDEX('Sprint N°6'!$C$6:$N$6,AP$4-Resumen_Sprints!$E$11),0)</f>
        <v>0</v>
      </c>
      <c r="AQ34" s="36">
        <f>IF(AND(AQ$4&gt;Resumen_Sprints!$E$11,AQ$4&lt;=Resumen_Sprints!$E$11+Resumen_Sprints!$D$11),INDEX('Sprint N°6'!$C$6:$N$6,AQ$4-Resumen_Sprints!$E$11),0)</f>
        <v>0</v>
      </c>
      <c r="AR34" s="36">
        <f>IF(AND(AR$4&gt;Resumen_Sprints!$E$11,AR$4&lt;=Resumen_Sprints!$E$11+Resumen_Sprints!$D$11),INDEX('Sprint N°6'!$C$6:$N$6,AR$4-Resumen_Sprints!$E$11),0)</f>
        <v>0</v>
      </c>
      <c r="AS34" s="36">
        <f>IF(AND(AS$4&gt;Resumen_Sprints!$E$11,AS$4&lt;=Resumen_Sprints!$E$11+Resumen_Sprints!$D$11),INDEX('Sprint N°6'!$C$6:$N$6,AS$4-Resumen_Sprints!$E$11),0)</f>
        <v>0</v>
      </c>
      <c r="AT34" s="36">
        <f>IF(AND(AT$4&gt;Resumen_Sprints!$E$11,AT$4&lt;=Resumen_Sprints!$E$11+Resumen_Sprints!$D$11),INDEX('Sprint N°6'!$C$6:$N$6,AT$4-Resumen_Sprints!$E$11),0)</f>
        <v>0</v>
      </c>
      <c r="AU34" s="36">
        <f>IF(AND(AU$4&gt;Resumen_Sprints!$E$11,AU$4&lt;=Resumen_Sprints!$E$11+Resumen_Sprints!$D$11),INDEX('Sprint N°6'!$C$6:$N$6,AU$4-Resumen_Sprints!$E$11),0)</f>
        <v>0</v>
      </c>
      <c r="AV34" s="36">
        <f>IF(AND(AV$4&gt;Resumen_Sprints!$E$11,AV$4&lt;=Resumen_Sprints!$E$11+Resumen_Sprints!$D$11),INDEX('Sprint N°6'!$C$6:$N$6,AV$4-Resumen_Sprints!$E$11),0)</f>
        <v>0</v>
      </c>
      <c r="AW34" s="36">
        <f>IF(AND(AW$4&gt;Resumen_Sprints!$E$11,AW$4&lt;=Resumen_Sprints!$E$11+Resumen_Sprints!$D$11),INDEX('Sprint N°6'!$C$6:$N$6,AW$4-Resumen_Sprints!$E$11),0)</f>
        <v>0</v>
      </c>
      <c r="AX34" s="36">
        <f>IF(AND(AX$4&gt;Resumen_Sprints!$E$11,AX$4&lt;=Resumen_Sprints!$E$11+Resumen_Sprints!$D$11),INDEX('Sprint N°6'!$C$6:$N$6,AX$4-Resumen_Sprints!$E$11),0)</f>
        <v>0</v>
      </c>
      <c r="AY34" s="36">
        <f>IF(AND(AY$4&gt;Resumen_Sprints!$E$11,AY$4&lt;=Resumen_Sprints!$E$11+Resumen_Sprints!$D$11),INDEX('Sprint N°6'!$C$6:$N$6,AY$4-Resumen_Sprints!$E$11),0)</f>
        <v>0</v>
      </c>
      <c r="AZ34" s="36">
        <f>IF(AND(AZ$4&gt;Resumen_Sprints!$E$11,AZ$4&lt;=Resumen_Sprints!$E$11+Resumen_Sprints!$D$11),INDEX('Sprint N°6'!$C$6:$N$6,AZ$4-Resumen_Sprints!$E$11),0)</f>
        <v>0</v>
      </c>
      <c r="BA34" s="36">
        <f>IF(AND(BA$4&gt;Resumen_Sprints!$E$11,BA$4&lt;=Resumen_Sprints!$E$11+Resumen_Sprints!$D$11),INDEX('Sprint N°6'!$C$6:$N$6,BA$4-Resumen_Sprints!$E$11),0)</f>
        <v>0</v>
      </c>
      <c r="BB34" s="36">
        <f>IF(AND(BB$4&gt;Resumen_Sprints!$E$11,BB$4&lt;=Resumen_Sprints!$E$11+Resumen_Sprints!$D$11),INDEX('Sprint N°6'!$C$6:$N$6,BB$4-Resumen_Sprints!$E$11),0)</f>
        <v>0</v>
      </c>
      <c r="BC34" s="36">
        <f>IF(AND(BC$4&gt;Resumen_Sprints!$E$11,BC$4&lt;=Resumen_Sprints!$E$11+Resumen_Sprints!$D$11),INDEX('Sprint N°6'!$C$6:$N$6,BC$4-Resumen_Sprints!$E$11),0)</f>
        <v>0</v>
      </c>
      <c r="BD34" s="36">
        <f>IF(AND(BD$4&gt;Resumen_Sprints!$E$11,BD$4&lt;=Resumen_Sprints!$E$11+Resumen_Sprints!$D$11),INDEX('Sprint N°6'!$C$6:$N$6,BD$4-Resumen_Sprints!$E$11),0)</f>
        <v>0</v>
      </c>
      <c r="BE34" s="36">
        <f>IF(AND(BE$4&gt;Resumen_Sprints!$E$11,BE$4&lt;=Resumen_Sprints!$E$11+Resumen_Sprints!$D$11),INDEX('Sprint N°6'!$C$6:$N$6,BE$4-Resumen_Sprints!$E$11),0)</f>
        <v>0</v>
      </c>
      <c r="BF34" s="36">
        <f>IF(AND(BF$4&gt;Resumen_Sprints!$E$11,BF$4&lt;=Resumen_Sprints!$E$11+Resumen_Sprints!$D$11),INDEX('Sprint N°6'!$C$6:$N$6,BF$4-Resumen_Sprints!$E$11),0)</f>
        <v>0</v>
      </c>
      <c r="BG34" s="36">
        <f>IF(AND(BG$4&gt;Resumen_Sprints!$E$11,BG$4&lt;=Resumen_Sprints!$E$11+Resumen_Sprints!$D$11),INDEX('Sprint N°6'!$C$6:$N$6,BG$4-Resumen_Sprints!$E$11),0)</f>
        <v>0</v>
      </c>
      <c r="BH34" s="36">
        <f>IF(AND(BH$4&gt;Resumen_Sprints!$E$11,BH$4&lt;=Resumen_Sprints!$E$11+Resumen_Sprints!$D$11),INDEX('Sprint N°6'!$C$6:$N$6,BH$4-Resumen_Sprints!$E$11),0)</f>
        <v>1</v>
      </c>
      <c r="BI34" s="36">
        <f>IF(AND(BI$4&gt;Resumen_Sprints!$E$11,BI$4&lt;=Resumen_Sprints!$E$11+Resumen_Sprints!$D$11),INDEX('Sprint N°6'!$C$6:$N$6,BI$4-Resumen_Sprints!$E$11),0)</f>
        <v>0</v>
      </c>
      <c r="BJ34" s="36">
        <f>IF(AND(BJ$4&gt;Resumen_Sprints!$E$11,BJ$4&lt;=Resumen_Sprints!$E$11+Resumen_Sprints!$D$11),INDEX('Sprint N°6'!$C$6:$N$6,BJ$4-Resumen_Sprints!$E$11),0)</f>
        <v>0</v>
      </c>
      <c r="BK34" s="36">
        <f>IF(AND(BK$4&gt;Resumen_Sprints!$E$11,BK$4&lt;=Resumen_Sprints!$E$11+Resumen_Sprints!$D$11),INDEX('Sprint N°6'!$C$6:$N$6,BK$4-Resumen_Sprints!$E$11),0)</f>
        <v>0</v>
      </c>
      <c r="BL34" s="36">
        <f>IF(AND(BL$4&gt;Resumen_Sprints!$E$11,BL$4&lt;=Resumen_Sprints!$E$11+Resumen_Sprints!$D$11),INDEX('Sprint N°6'!$C$6:$N$6,BL$4-Resumen_Sprints!$E$11),0)</f>
        <v>0</v>
      </c>
      <c r="BM34" s="36">
        <f>IF(AND(BM$4&gt;Resumen_Sprints!$E$11,BM$4&lt;=Resumen_Sprints!$E$11+Resumen_Sprints!$D$11),INDEX('Sprint N°6'!$C$6:$N$6,BM$4-Resumen_Sprints!$E$11),0)</f>
        <v>0</v>
      </c>
      <c r="BN34" s="36">
        <f>IF(AND(BN$4&gt;Resumen_Sprints!$E$11,BN$4&lt;=Resumen_Sprints!$E$11+Resumen_Sprints!$D$11),INDEX('Sprint N°6'!$C$6:$N$6,BN$4-Resumen_Sprints!$E$11),0)</f>
        <v>0</v>
      </c>
      <c r="BO34" s="36">
        <f>IF(AND(BO$4&gt;Resumen_Sprints!$E$11,BO$4&lt;=Resumen_Sprints!$E$11+Resumen_Sprints!$D$11),INDEX('Sprint N°6'!$C$6:$N$6,BO$4-Resumen_Sprints!$E$11),0)</f>
        <v>0</v>
      </c>
      <c r="BP34" s="36">
        <f>IF(AND(BP$4&gt;Resumen_Sprints!$E$11,BP$4&lt;=Resumen_Sprints!$E$11+Resumen_Sprints!$D$11),INDEX('Sprint N°6'!$C$6:$N$6,BP$4-Resumen_Sprints!$E$11),0)</f>
        <v>0</v>
      </c>
      <c r="BQ34" s="36">
        <f>IF(AND(BQ$4&gt;Resumen_Sprints!$E$11,BQ$4&lt;=Resumen_Sprints!$E$11+Resumen_Sprints!$D$11),INDEX('Sprint N°6'!$C$6:$N$6,BQ$4-Resumen_Sprints!$E$11),0)</f>
        <v>0</v>
      </c>
      <c r="BR34" s="36">
        <f>IF(AND(BR$4&gt;Resumen_Sprints!$E$11,BR$4&lt;=Resumen_Sprints!$E$11+Resumen_Sprints!$D$11),INDEX('Sprint N°6'!$C$6:$N$6,BR$4-Resumen_Sprints!$E$11),0)</f>
        <v>0</v>
      </c>
      <c r="BS34" s="36">
        <f>IF(AND(BS$4&gt;Resumen_Sprints!$E$11,BS$4&lt;=Resumen_Sprints!$E$11+Resumen_Sprints!$D$11),INDEX('Sprint N°6'!$C$6:$N$6,BS$4-Resumen_Sprints!$E$11),0)</f>
        <v>0</v>
      </c>
      <c r="BT34" s="36">
        <f>IF(AND(BT$4&gt;Resumen_Sprints!$E$11,BT$4&lt;=Resumen_Sprints!$E$11+Resumen_Sprints!$D$11),INDEX('Sprint N°6'!$C$6:$N$6,BT$4-Resumen_Sprints!$E$11),0)</f>
        <v>0</v>
      </c>
      <c r="BU34" s="36">
        <f>IF(AND(BU$4&gt;Resumen_Sprints!$E$11,BU$4&lt;=Resumen_Sprints!$E$11+Resumen_Sprints!$D$11),INDEX('Sprint N°6'!$C$6:$N$6,BU$4-Resumen_Sprints!$E$11),0)</f>
        <v>0</v>
      </c>
      <c r="BV34" s="36">
        <f>IF(AND(BV$4&gt;Resumen_Sprints!$E$11,BV$4&lt;=Resumen_Sprints!$E$11+Resumen_Sprints!$D$11),INDEX('Sprint N°6'!$C$6:$N$6,BV$4-Resumen_Sprints!$E$11),0)</f>
        <v>0</v>
      </c>
      <c r="BW34" s="36">
        <f>IF(AND(BW$4&gt;Resumen_Sprints!$E$11,BW$4&lt;=Resumen_Sprints!$E$11+Resumen_Sprints!$D$11),INDEX('Sprint N°6'!$C$6:$N$6,BW$4-Resumen_Sprints!$E$11),0)</f>
        <v>0</v>
      </c>
      <c r="BX34" s="36">
        <f>IF(AND(BX$4&gt;Resumen_Sprints!$E$11,BX$4&lt;=Resumen_Sprints!$E$11+Resumen_Sprints!$D$11),INDEX('Sprint N°6'!$C$6:$N$6,BX$4-Resumen_Sprints!$E$11),0)</f>
        <v>0</v>
      </c>
      <c r="BY34" s="36">
        <f>IF(AND(BY$4&gt;Resumen_Sprints!$E$11,BY$4&lt;=Resumen_Sprints!$E$11+Resumen_Sprints!$D$11),INDEX('Sprint N°6'!$C$6:$N$6,BY$4-Resumen_Sprints!$E$11),0)</f>
        <v>0</v>
      </c>
      <c r="BZ34" s="36">
        <f>IF(AND(BZ$4&gt;Resumen_Sprints!$E$11,BZ$4&lt;=Resumen_Sprints!$E$11+Resumen_Sprints!$D$11),INDEX('Sprint N°6'!$C$6:$N$6,BZ$4-Resumen_Sprints!$E$11),0)</f>
        <v>0</v>
      </c>
      <c r="CA34" s="36">
        <f>IF(AND(CA$4&gt;Resumen_Sprints!$E$11,CA$4&lt;=Resumen_Sprints!$E$11+Resumen_Sprints!$D$11),INDEX('Sprint N°6'!$C$6:$N$6,CA$4-Resumen_Sprints!$E$11),0)</f>
        <v>0</v>
      </c>
      <c r="CB34" s="36">
        <f>IF(AND(CB$4&gt;Resumen_Sprints!$E$11,CB$4&lt;=Resumen_Sprints!$E$11+Resumen_Sprints!$D$11),INDEX('Sprint N°6'!$C$6:$N$6,CB$4-Resumen_Sprints!$E$11),0)</f>
        <v>0</v>
      </c>
      <c r="CC34" s="36">
        <f>IF(AND(CC$4&gt;Resumen_Sprints!$E$11,CC$4&lt;=Resumen_Sprints!$E$11+Resumen_Sprints!$D$11),INDEX('Sprint N°6'!$C$6:$N$6,CC$4-Resumen_Sprints!$E$11),0)</f>
        <v>0</v>
      </c>
      <c r="CD34" s="36">
        <f>IF(AND(CD$4&gt;Resumen_Sprints!$E$11,CD$4&lt;=Resumen_Sprints!$E$11+Resumen_Sprints!$D$11),INDEX('Sprint N°6'!$C$6:$N$6,CD$4-Resumen_Sprints!$E$11),0)</f>
        <v>0</v>
      </c>
      <c r="CE34" s="36">
        <f>IF(AND(CE$4&gt;Resumen_Sprints!$E$11,CE$4&lt;=Resumen_Sprints!$E$11+Resumen_Sprints!$D$11),INDEX('Sprint N°6'!$C$6:$N$6,CE$4-Resumen_Sprints!$E$11),0)</f>
        <v>0</v>
      </c>
      <c r="CF34" s="36">
        <f>IF(AND(CF$4&gt;Resumen_Sprints!$E$11,CF$4&lt;=Resumen_Sprints!$E$11+Resumen_Sprints!$D$11),INDEX('Sprint N°6'!$C$6:$N$6,CF$4-Resumen_Sprints!$E$11),0)</f>
        <v>0</v>
      </c>
      <c r="CG34" s="36">
        <f>IF(AND(CG$4&gt;Resumen_Sprints!$E$11,CG$4&lt;=Resumen_Sprints!$E$11+Resumen_Sprints!$D$11),INDEX('Sprint N°6'!$C$6:$N$6,CG$4-Resumen_Sprints!$E$11),0)</f>
        <v>0</v>
      </c>
      <c r="CH34" s="36">
        <f>IF(AND(CH$4&gt;Resumen_Sprints!$E$11,CH$4&lt;=Resumen_Sprints!$E$11+Resumen_Sprints!$D$11),INDEX('Sprint N°6'!$C$6:$N$6,CH$4-Resumen_Sprints!$E$11),0)</f>
        <v>0</v>
      </c>
      <c r="CI34" s="36">
        <f>IF(AND(CI$4&gt;Resumen_Sprints!$E$11,CI$4&lt;=Resumen_Sprints!$E$11+Resumen_Sprints!$D$11),INDEX('Sprint N°6'!$C$6:$N$6,CI$4-Resumen_Sprints!$E$11),0)</f>
        <v>0</v>
      </c>
      <c r="CJ34" s="36">
        <f>IF(AND(CJ$4&gt;Resumen_Sprints!$E$11,CJ$4&lt;=Resumen_Sprints!$E$11+Resumen_Sprints!$D$11),INDEX('Sprint N°6'!$C$6:$N$6,CJ$4-Resumen_Sprints!$E$11),0)</f>
        <v>0</v>
      </c>
      <c r="CK34" s="36">
        <f>IF(AND(CK$4&gt;Resumen_Sprints!$E$11,CK$4&lt;=Resumen_Sprints!$E$11+Resumen_Sprints!$D$11),INDEX('Sprint N°6'!$C$6:$N$6,CK$4-Resumen_Sprints!$E$11),0)</f>
        <v>0</v>
      </c>
      <c r="CL34" s="36">
        <f>IF(AND(CL$4&gt;Resumen_Sprints!$E$11,CL$4&lt;=Resumen_Sprints!$E$11+Resumen_Sprints!$D$11),INDEX('Sprint N°6'!$C$6:$N$6,CL$4-Resumen_Sprints!$E$11),0)</f>
        <v>0</v>
      </c>
      <c r="CM34" s="36">
        <f>IF(AND(CM$4&gt;Resumen_Sprints!$E$11,CM$4&lt;=Resumen_Sprints!$E$11+Resumen_Sprints!$D$11),INDEX('Sprint N°6'!$C$6:$N$6,CM$4-Resumen_Sprints!$E$11),0)</f>
        <v>0</v>
      </c>
      <c r="CN34" s="36">
        <f>IF(AND(CN$4&gt;Resumen_Sprints!$E$11,CN$4&lt;=Resumen_Sprints!$E$11+Resumen_Sprints!$D$11),INDEX('Sprint N°6'!$C$6:$N$6,CN$4-Resumen_Sprints!$E$11),0)</f>
        <v>0</v>
      </c>
      <c r="CO34" s="36">
        <f>IF(AND(CO$4&gt;Resumen_Sprints!$E$11,CO$4&lt;=Resumen_Sprints!$E$11+Resumen_Sprints!$D$11),INDEX('Sprint N°6'!$C$6:$N$6,CO$4-Resumen_Sprints!$E$11),0)</f>
        <v>0</v>
      </c>
      <c r="CP34" s="36">
        <f>IF(AND(CP$4&gt;Resumen_Sprints!$E$11,CP$4&lt;=Resumen_Sprints!$E$11+Resumen_Sprints!$D$11),INDEX('Sprint N°6'!$C$6:$N$6,CP$4-Resumen_Sprints!$E$11),0)</f>
        <v>0</v>
      </c>
      <c r="CQ34" s="36">
        <f>IF(AND(CQ$4&gt;Resumen_Sprints!$E$11,CQ$4&lt;=Resumen_Sprints!$E$11+Resumen_Sprints!$D$11),INDEX('Sprint N°6'!$C$6:$N$6,CQ$4-Resumen_Sprints!$E$11),0)</f>
        <v>0</v>
      </c>
      <c r="CR34" s="36">
        <f>IF(AND(CR$4&gt;Resumen_Sprints!$E$11,CR$4&lt;=Resumen_Sprints!$E$11+Resumen_Sprints!$D$11),INDEX('Sprint N°6'!$C$6:$N$6,CR$4-Resumen_Sprints!$E$11),0)</f>
        <v>0</v>
      </c>
      <c r="CS34" s="36">
        <f>IF(AND(CS$4&gt;Resumen_Sprints!$E$11,CS$4&lt;=Resumen_Sprints!$E$11+Resumen_Sprints!$D$11),INDEX('Sprint N°6'!$C$6:$N$6,CS$4-Resumen_Sprints!$E$11),0)</f>
        <v>0</v>
      </c>
      <c r="CT34" s="36">
        <f>IF(AND(CT$4&gt;Resumen_Sprints!$E$11,CT$4&lt;=Resumen_Sprints!$E$11+Resumen_Sprints!$D$11),INDEX('Sprint N°6'!$C$6:$N$6,CT$4-Resumen_Sprints!$E$11),0)</f>
        <v>0</v>
      </c>
      <c r="CU34" s="10">
        <f>SUM(C34:CT34)</f>
        <v>1</v>
      </c>
    </row>
    <row r="35" spans="1:99" x14ac:dyDescent="0.3">
      <c r="A35" s="22" t="str">
        <f>'Sprint N°6'!A7</f>
        <v>Generación de Proyección Monetaria del Hogar</v>
      </c>
      <c r="B35" s="22">
        <f>'Sprint N°6'!B7</f>
        <v>27</v>
      </c>
      <c r="C35" s="36">
        <f>IF(AND(C$4&gt;Resumen_Sprints!$E$11,C$4&lt;=Resumen_Sprints!$E$11+Resumen_Sprints!$D$11),INDEX('Sprint N°6'!$C$7:$N$7,C$4-Resumen_Sprints!$E$11),0)</f>
        <v>0</v>
      </c>
      <c r="D35" s="36">
        <f>IF(AND(D$4&gt;Resumen_Sprints!$E$11,D$4&lt;=Resumen_Sprints!$E$11+Resumen_Sprints!$D$11),INDEX('Sprint N°6'!$C$7:$N$7,D$4-Resumen_Sprints!$E$11),0)</f>
        <v>0</v>
      </c>
      <c r="E35" s="36">
        <f>IF(AND(E$4&gt;Resumen_Sprints!$E$11,E$4&lt;=Resumen_Sprints!$E$11+Resumen_Sprints!$D$11),INDEX('Sprint N°6'!$C$7:$N$7,E$4-Resumen_Sprints!$E$11),0)</f>
        <v>0</v>
      </c>
      <c r="F35" s="36">
        <f>IF(AND(F$4&gt;Resumen_Sprints!$E$11,F$4&lt;=Resumen_Sprints!$E$11+Resumen_Sprints!$D$11),INDEX('Sprint N°6'!$C$7:$N$7,F$4-Resumen_Sprints!$E$11),0)</f>
        <v>0</v>
      </c>
      <c r="G35" s="36">
        <f>IF(AND(G$4&gt;Resumen_Sprints!$E$11,G$4&lt;=Resumen_Sprints!$E$11+Resumen_Sprints!$D$11),INDEX('Sprint N°6'!$C$7:$N$7,G$4-Resumen_Sprints!$E$11),0)</f>
        <v>0</v>
      </c>
      <c r="H35" s="36">
        <f>IF(AND(H$4&gt;Resumen_Sprints!$E$11,H$4&lt;=Resumen_Sprints!$E$11+Resumen_Sprints!$D$11),INDEX('Sprint N°6'!$C$7:$N$7,H$4-Resumen_Sprints!$E$11),0)</f>
        <v>0</v>
      </c>
      <c r="I35" s="36">
        <f>IF(AND(I$4&gt;Resumen_Sprints!$E$11,I$4&lt;=Resumen_Sprints!$E$11+Resumen_Sprints!$D$11),INDEX('Sprint N°6'!$C$7:$N$7,I$4-Resumen_Sprints!$E$11),0)</f>
        <v>0</v>
      </c>
      <c r="J35" s="36">
        <f>IF(AND(J$4&gt;Resumen_Sprints!$E$11,J$4&lt;=Resumen_Sprints!$E$11+Resumen_Sprints!$D$11),INDEX('Sprint N°6'!$C$7:$N$7,J$4-Resumen_Sprints!$E$11),0)</f>
        <v>0</v>
      </c>
      <c r="K35" s="36">
        <f>IF(AND(K$4&gt;Resumen_Sprints!$E$11,K$4&lt;=Resumen_Sprints!$E$11+Resumen_Sprints!$D$11),INDEX('Sprint N°6'!$C$7:$N$7,K$4-Resumen_Sprints!$E$11),0)</f>
        <v>0</v>
      </c>
      <c r="L35" s="36">
        <f>IF(AND(L$4&gt;Resumen_Sprints!$E$11,L$4&lt;=Resumen_Sprints!$E$11+Resumen_Sprints!$D$11),INDEX('Sprint N°6'!$C$7:$N$7,L$4-Resumen_Sprints!$E$11),0)</f>
        <v>0</v>
      </c>
      <c r="M35" s="36">
        <f>IF(AND(M$4&gt;Resumen_Sprints!$E$11,M$4&lt;=Resumen_Sprints!$E$11+Resumen_Sprints!$D$11),INDEX('Sprint N°6'!$C$7:$N$7,M$4-Resumen_Sprints!$E$11),0)</f>
        <v>0</v>
      </c>
      <c r="N35" s="36">
        <f>IF(AND(N$4&gt;Resumen_Sprints!$E$11,N$4&lt;=Resumen_Sprints!$E$11+Resumen_Sprints!$D$11),INDEX('Sprint N°6'!$C$7:$N$7,N$4-Resumen_Sprints!$E$11),0)</f>
        <v>0</v>
      </c>
      <c r="O35" s="36">
        <f>IF(AND(O$4&gt;Resumen_Sprints!$E$11,O$4&lt;=Resumen_Sprints!$E$11+Resumen_Sprints!$D$11),INDEX('Sprint N°6'!$C$7:$N$7,O$4-Resumen_Sprints!$E$11),0)</f>
        <v>0</v>
      </c>
      <c r="P35" s="36">
        <f>IF(AND(P$4&gt;Resumen_Sprints!$E$11,P$4&lt;=Resumen_Sprints!$E$11+Resumen_Sprints!$D$11),INDEX('Sprint N°6'!$C$7:$N$7,P$4-Resumen_Sprints!$E$11),0)</f>
        <v>0</v>
      </c>
      <c r="Q35" s="36">
        <f>IF(AND(Q$4&gt;Resumen_Sprints!$E$11,Q$4&lt;=Resumen_Sprints!$E$11+Resumen_Sprints!$D$11),INDEX('Sprint N°6'!$C$7:$N$7,Q$4-Resumen_Sprints!$E$11),0)</f>
        <v>0</v>
      </c>
      <c r="R35" s="36">
        <f>IF(AND(R$4&gt;Resumen_Sprints!$E$11,R$4&lt;=Resumen_Sprints!$E$11+Resumen_Sprints!$D$11),INDEX('Sprint N°6'!$C$7:$N$7,R$4-Resumen_Sprints!$E$11),0)</f>
        <v>0</v>
      </c>
      <c r="S35" s="36">
        <f>IF(AND(S$4&gt;Resumen_Sprints!$E$11,S$4&lt;=Resumen_Sprints!$E$11+Resumen_Sprints!$D$11),INDEX('Sprint N°6'!$C$7:$N$7,S$4-Resumen_Sprints!$E$11),0)</f>
        <v>0</v>
      </c>
      <c r="T35" s="36">
        <f>IF(AND(T$4&gt;Resumen_Sprints!$E$11,T$4&lt;=Resumen_Sprints!$E$11+Resumen_Sprints!$D$11),INDEX('Sprint N°6'!$C$7:$N$7,T$4-Resumen_Sprints!$E$11),0)</f>
        <v>0</v>
      </c>
      <c r="U35" s="36">
        <f>IF(AND(U$4&gt;Resumen_Sprints!$E$11,U$4&lt;=Resumen_Sprints!$E$11+Resumen_Sprints!$D$11),INDEX('Sprint N°6'!$C$7:$N$7,U$4-Resumen_Sprints!$E$11),0)</f>
        <v>0</v>
      </c>
      <c r="V35" s="36">
        <f>IF(AND(V$4&gt;Resumen_Sprints!$E$11,V$4&lt;=Resumen_Sprints!$E$11+Resumen_Sprints!$D$11),INDEX('Sprint N°6'!$C$7:$N$7,V$4-Resumen_Sprints!$E$11),0)</f>
        <v>0</v>
      </c>
      <c r="W35" s="36">
        <f>IF(AND(W$4&gt;Resumen_Sprints!$E$11,W$4&lt;=Resumen_Sprints!$E$11+Resumen_Sprints!$D$11),INDEX('Sprint N°6'!$C$7:$N$7,W$4-Resumen_Sprints!$E$11),0)</f>
        <v>0</v>
      </c>
      <c r="X35" s="36">
        <f>IF(AND(X$4&gt;Resumen_Sprints!$E$11,X$4&lt;=Resumen_Sprints!$E$11+Resumen_Sprints!$D$11),INDEX('Sprint N°6'!$C$7:$N$7,X$4-Resumen_Sprints!$E$11),0)</f>
        <v>0</v>
      </c>
      <c r="Y35" s="36">
        <f>IF(AND(Y$4&gt;Resumen_Sprints!$E$11,Y$4&lt;=Resumen_Sprints!$E$11+Resumen_Sprints!$D$11),INDEX('Sprint N°6'!$C$7:$N$7,Y$4-Resumen_Sprints!$E$11),0)</f>
        <v>0</v>
      </c>
      <c r="Z35" s="36">
        <f>IF(AND(Z$4&gt;Resumen_Sprints!$E$11,Z$4&lt;=Resumen_Sprints!$E$11+Resumen_Sprints!$D$11),INDEX('Sprint N°6'!$C$7:$N$7,Z$4-Resumen_Sprints!$E$11),0)</f>
        <v>0</v>
      </c>
      <c r="AA35" s="36">
        <f>IF(AND(AA$4&gt;Resumen_Sprints!$E$11,AA$4&lt;=Resumen_Sprints!$E$11+Resumen_Sprints!$D$11),INDEX('Sprint N°6'!$C$7:$N$7,AA$4-Resumen_Sprints!$E$11),0)</f>
        <v>0</v>
      </c>
      <c r="AB35" s="36">
        <f>IF(AND(AB$4&gt;Resumen_Sprints!$E$11,AB$4&lt;=Resumen_Sprints!$E$11+Resumen_Sprints!$D$11),INDEX('Sprint N°6'!$C$7:$N$7,AB$4-Resumen_Sprints!$E$11),0)</f>
        <v>0</v>
      </c>
      <c r="AC35" s="36">
        <f>IF(AND(AC$4&gt;Resumen_Sprints!$E$11,AC$4&lt;=Resumen_Sprints!$E$11+Resumen_Sprints!$D$11),INDEX('Sprint N°6'!$C$7:$N$7,AC$4-Resumen_Sprints!$E$11),0)</f>
        <v>0</v>
      </c>
      <c r="AD35" s="36">
        <f>IF(AND(AD$4&gt;Resumen_Sprints!$E$11,AD$4&lt;=Resumen_Sprints!$E$11+Resumen_Sprints!$D$11),INDEX('Sprint N°6'!$C$7:$N$7,AD$4-Resumen_Sprints!$E$11),0)</f>
        <v>0</v>
      </c>
      <c r="AE35" s="36">
        <f>IF(AND(AE$4&gt;Resumen_Sprints!$E$11,AE$4&lt;=Resumen_Sprints!$E$11+Resumen_Sprints!$D$11),INDEX('Sprint N°6'!$C$7:$N$7,AE$4-Resumen_Sprints!$E$11),0)</f>
        <v>0</v>
      </c>
      <c r="AF35" s="36">
        <f>IF(AND(AF$4&gt;Resumen_Sprints!$E$11,AF$4&lt;=Resumen_Sprints!$E$11+Resumen_Sprints!$D$11),INDEX('Sprint N°6'!$C$7:$N$7,AF$4-Resumen_Sprints!$E$11),0)</f>
        <v>0</v>
      </c>
      <c r="AG35" s="36">
        <f>IF(AND(AG$4&gt;Resumen_Sprints!$E$11,AG$4&lt;=Resumen_Sprints!$E$11+Resumen_Sprints!$D$11),INDEX('Sprint N°6'!$C$7:$N$7,AG$4-Resumen_Sprints!$E$11),0)</f>
        <v>0</v>
      </c>
      <c r="AH35" s="36">
        <f>IF(AND(AH$4&gt;Resumen_Sprints!$E$11,AH$4&lt;=Resumen_Sprints!$E$11+Resumen_Sprints!$D$11),INDEX('Sprint N°6'!$C$7:$N$7,AH$4-Resumen_Sprints!$E$11),0)</f>
        <v>0</v>
      </c>
      <c r="AI35" s="36">
        <f>IF(AND(AI$4&gt;Resumen_Sprints!$E$11,AI$4&lt;=Resumen_Sprints!$E$11+Resumen_Sprints!$D$11),INDEX('Sprint N°6'!$C$7:$N$7,AI$4-Resumen_Sprints!$E$11),0)</f>
        <v>0</v>
      </c>
      <c r="AJ35" s="36">
        <f>IF(AND(AJ$4&gt;Resumen_Sprints!$E$11,AJ$4&lt;=Resumen_Sprints!$E$11+Resumen_Sprints!$D$11),INDEX('Sprint N°6'!$C$7:$N$7,AJ$4-Resumen_Sprints!$E$11),0)</f>
        <v>0</v>
      </c>
      <c r="AK35" s="36">
        <f>IF(AND(AK$4&gt;Resumen_Sprints!$E$11,AK$4&lt;=Resumen_Sprints!$E$11+Resumen_Sprints!$D$11),INDEX('Sprint N°6'!$C$7:$N$7,AK$4-Resumen_Sprints!$E$11),0)</f>
        <v>0</v>
      </c>
      <c r="AL35" s="36">
        <f>IF(AND(AL$4&gt;Resumen_Sprints!$E$11,AL$4&lt;=Resumen_Sprints!$E$11+Resumen_Sprints!$D$11),INDEX('Sprint N°6'!$C$7:$N$7,AL$4-Resumen_Sprints!$E$11),0)</f>
        <v>0</v>
      </c>
      <c r="AM35" s="36">
        <f>IF(AND(AM$4&gt;Resumen_Sprints!$E$11,AM$4&lt;=Resumen_Sprints!$E$11+Resumen_Sprints!$D$11),INDEX('Sprint N°6'!$C$7:$N$7,AM$4-Resumen_Sprints!$E$11),0)</f>
        <v>0</v>
      </c>
      <c r="AN35" s="36">
        <f>IF(AND(AN$4&gt;Resumen_Sprints!$E$11,AN$4&lt;=Resumen_Sprints!$E$11+Resumen_Sprints!$D$11),INDEX('Sprint N°6'!$C$7:$N$7,AN$4-Resumen_Sprints!$E$11),0)</f>
        <v>0</v>
      </c>
      <c r="AO35" s="36">
        <f>IF(AND(AO$4&gt;Resumen_Sprints!$E$11,AO$4&lt;=Resumen_Sprints!$E$11+Resumen_Sprints!$D$11),INDEX('Sprint N°6'!$C$7:$N$7,AO$4-Resumen_Sprints!$E$11),0)</f>
        <v>0</v>
      </c>
      <c r="AP35" s="36">
        <f>IF(AND(AP$4&gt;Resumen_Sprints!$E$11,AP$4&lt;=Resumen_Sprints!$E$11+Resumen_Sprints!$D$11),INDEX('Sprint N°6'!$C$7:$N$7,AP$4-Resumen_Sprints!$E$11),0)</f>
        <v>0</v>
      </c>
      <c r="AQ35" s="36">
        <f>IF(AND(AQ$4&gt;Resumen_Sprints!$E$11,AQ$4&lt;=Resumen_Sprints!$E$11+Resumen_Sprints!$D$11),INDEX('Sprint N°6'!$C$7:$N$7,AQ$4-Resumen_Sprints!$E$11),0)</f>
        <v>0</v>
      </c>
      <c r="AR35" s="36">
        <f>IF(AND(AR$4&gt;Resumen_Sprints!$E$11,AR$4&lt;=Resumen_Sprints!$E$11+Resumen_Sprints!$D$11),INDEX('Sprint N°6'!$C$7:$N$7,AR$4-Resumen_Sprints!$E$11),0)</f>
        <v>0</v>
      </c>
      <c r="AS35" s="36">
        <f>IF(AND(AS$4&gt;Resumen_Sprints!$E$11,AS$4&lt;=Resumen_Sprints!$E$11+Resumen_Sprints!$D$11),INDEX('Sprint N°6'!$C$7:$N$7,AS$4-Resumen_Sprints!$E$11),0)</f>
        <v>0</v>
      </c>
      <c r="AT35" s="36">
        <f>IF(AND(AT$4&gt;Resumen_Sprints!$E$11,AT$4&lt;=Resumen_Sprints!$E$11+Resumen_Sprints!$D$11),INDEX('Sprint N°6'!$C$7:$N$7,AT$4-Resumen_Sprints!$E$11),0)</f>
        <v>0</v>
      </c>
      <c r="AU35" s="36">
        <f>IF(AND(AU$4&gt;Resumen_Sprints!$E$11,AU$4&lt;=Resumen_Sprints!$E$11+Resumen_Sprints!$D$11),INDEX('Sprint N°6'!$C$7:$N$7,AU$4-Resumen_Sprints!$E$11),0)</f>
        <v>0</v>
      </c>
      <c r="AV35" s="36">
        <f>IF(AND(AV$4&gt;Resumen_Sprints!$E$11,AV$4&lt;=Resumen_Sprints!$E$11+Resumen_Sprints!$D$11),INDEX('Sprint N°6'!$C$7:$N$7,AV$4-Resumen_Sprints!$E$11),0)</f>
        <v>0</v>
      </c>
      <c r="AW35" s="36">
        <f>IF(AND(AW$4&gt;Resumen_Sprints!$E$11,AW$4&lt;=Resumen_Sprints!$E$11+Resumen_Sprints!$D$11),INDEX('Sprint N°6'!$C$7:$N$7,AW$4-Resumen_Sprints!$E$11),0)</f>
        <v>0</v>
      </c>
      <c r="AX35" s="36">
        <f>IF(AND(AX$4&gt;Resumen_Sprints!$E$11,AX$4&lt;=Resumen_Sprints!$E$11+Resumen_Sprints!$D$11),INDEX('Sprint N°6'!$C$7:$N$7,AX$4-Resumen_Sprints!$E$11),0)</f>
        <v>0</v>
      </c>
      <c r="AY35" s="36">
        <f>IF(AND(AY$4&gt;Resumen_Sprints!$E$11,AY$4&lt;=Resumen_Sprints!$E$11+Resumen_Sprints!$D$11),INDEX('Sprint N°6'!$C$7:$N$7,AY$4-Resumen_Sprints!$E$11),0)</f>
        <v>0</v>
      </c>
      <c r="AZ35" s="36">
        <f>IF(AND(AZ$4&gt;Resumen_Sprints!$E$11,AZ$4&lt;=Resumen_Sprints!$E$11+Resumen_Sprints!$D$11),INDEX('Sprint N°6'!$C$7:$N$7,AZ$4-Resumen_Sprints!$E$11),0)</f>
        <v>0</v>
      </c>
      <c r="BA35" s="36">
        <f>IF(AND(BA$4&gt;Resumen_Sprints!$E$11,BA$4&lt;=Resumen_Sprints!$E$11+Resumen_Sprints!$D$11),INDEX('Sprint N°6'!$C$7:$N$7,BA$4-Resumen_Sprints!$E$11),0)</f>
        <v>0</v>
      </c>
      <c r="BB35" s="36">
        <f>IF(AND(BB$4&gt;Resumen_Sprints!$E$11,BB$4&lt;=Resumen_Sprints!$E$11+Resumen_Sprints!$D$11),INDEX('Sprint N°6'!$C$7:$N$7,BB$4-Resumen_Sprints!$E$11),0)</f>
        <v>0</v>
      </c>
      <c r="BC35" s="36">
        <f>IF(AND(BC$4&gt;Resumen_Sprints!$E$11,BC$4&lt;=Resumen_Sprints!$E$11+Resumen_Sprints!$D$11),INDEX('Sprint N°6'!$C$7:$N$7,BC$4-Resumen_Sprints!$E$11),0)</f>
        <v>0</v>
      </c>
      <c r="BD35" s="36">
        <f>IF(AND(BD$4&gt;Resumen_Sprints!$E$11,BD$4&lt;=Resumen_Sprints!$E$11+Resumen_Sprints!$D$11),INDEX('Sprint N°6'!$C$7:$N$7,BD$4-Resumen_Sprints!$E$11),0)</f>
        <v>0</v>
      </c>
      <c r="BE35" s="36">
        <f>IF(AND(BE$4&gt;Resumen_Sprints!$E$11,BE$4&lt;=Resumen_Sprints!$E$11+Resumen_Sprints!$D$11),INDEX('Sprint N°6'!$C$7:$N$7,BE$4-Resumen_Sprints!$E$11),0)</f>
        <v>0</v>
      </c>
      <c r="BF35" s="36">
        <f>IF(AND(BF$4&gt;Resumen_Sprints!$E$11,BF$4&lt;=Resumen_Sprints!$E$11+Resumen_Sprints!$D$11),INDEX('Sprint N°6'!$C$7:$N$7,BF$4-Resumen_Sprints!$E$11),0)</f>
        <v>0</v>
      </c>
      <c r="BG35" s="36">
        <f>IF(AND(BG$4&gt;Resumen_Sprints!$E$11,BG$4&lt;=Resumen_Sprints!$E$11+Resumen_Sprints!$D$11),INDEX('Sprint N°6'!$C$7:$N$7,BG$4-Resumen_Sprints!$E$11),0)</f>
        <v>0</v>
      </c>
      <c r="BH35" s="36">
        <f>IF(AND(BH$4&gt;Resumen_Sprints!$E$11,BH$4&lt;=Resumen_Sprints!$E$11+Resumen_Sprints!$D$11),INDEX('Sprint N°6'!$C$7:$N$7,BH$4-Resumen_Sprints!$E$11),0)</f>
        <v>9</v>
      </c>
      <c r="BI35" s="36">
        <f>IF(AND(BI$4&gt;Resumen_Sprints!$E$11,BI$4&lt;=Resumen_Sprints!$E$11+Resumen_Sprints!$D$11),INDEX('Sprint N°6'!$C$7:$N$7,BI$4-Resumen_Sprints!$E$11),0)</f>
        <v>13</v>
      </c>
      <c r="BJ35" s="36">
        <f>IF(AND(BJ$4&gt;Resumen_Sprints!$E$11,BJ$4&lt;=Resumen_Sprints!$E$11+Resumen_Sprints!$D$11),INDEX('Sprint N°6'!$C$7:$N$7,BJ$4-Resumen_Sprints!$E$11),0)</f>
        <v>1</v>
      </c>
      <c r="BK35" s="36">
        <f>IF(AND(BK$4&gt;Resumen_Sprints!$E$11,BK$4&lt;=Resumen_Sprints!$E$11+Resumen_Sprints!$D$11),INDEX('Sprint N°6'!$C$7:$N$7,BK$4-Resumen_Sprints!$E$11),0)</f>
        <v>0</v>
      </c>
      <c r="BL35" s="36">
        <f>IF(AND(BL$4&gt;Resumen_Sprints!$E$11,BL$4&lt;=Resumen_Sprints!$E$11+Resumen_Sprints!$D$11),INDEX('Sprint N°6'!$C$7:$N$7,BL$4-Resumen_Sprints!$E$11),0)</f>
        <v>0</v>
      </c>
      <c r="BM35" s="36">
        <f>IF(AND(BM$4&gt;Resumen_Sprints!$E$11,BM$4&lt;=Resumen_Sprints!$E$11+Resumen_Sprints!$D$11),INDEX('Sprint N°6'!$C$7:$N$7,BM$4-Resumen_Sprints!$E$11),0)</f>
        <v>0</v>
      </c>
      <c r="BN35" s="36">
        <f>IF(AND(BN$4&gt;Resumen_Sprints!$E$11,BN$4&lt;=Resumen_Sprints!$E$11+Resumen_Sprints!$D$11),INDEX('Sprint N°6'!$C$7:$N$7,BN$4-Resumen_Sprints!$E$11),0)</f>
        <v>0</v>
      </c>
      <c r="BO35" s="36">
        <f>IF(AND(BO$4&gt;Resumen_Sprints!$E$11,BO$4&lt;=Resumen_Sprints!$E$11+Resumen_Sprints!$D$11),INDEX('Sprint N°6'!$C$7:$N$7,BO$4-Resumen_Sprints!$E$11),0)</f>
        <v>0</v>
      </c>
      <c r="BP35" s="36">
        <f>IF(AND(BP$4&gt;Resumen_Sprints!$E$11,BP$4&lt;=Resumen_Sprints!$E$11+Resumen_Sprints!$D$11),INDEX('Sprint N°6'!$C$7:$N$7,BP$4-Resumen_Sprints!$E$11),0)</f>
        <v>0</v>
      </c>
      <c r="BQ35" s="36">
        <f>IF(AND(BQ$4&gt;Resumen_Sprints!$E$11,BQ$4&lt;=Resumen_Sprints!$E$11+Resumen_Sprints!$D$11),INDEX('Sprint N°6'!$C$7:$N$7,BQ$4-Resumen_Sprints!$E$11),0)</f>
        <v>0</v>
      </c>
      <c r="BR35" s="36">
        <f>IF(AND(BR$4&gt;Resumen_Sprints!$E$11,BR$4&lt;=Resumen_Sprints!$E$11+Resumen_Sprints!$D$11),INDEX('Sprint N°6'!$C$7:$N$7,BR$4-Resumen_Sprints!$E$11),0)</f>
        <v>0</v>
      </c>
      <c r="BS35" s="36">
        <f>IF(AND(BS$4&gt;Resumen_Sprints!$E$11,BS$4&lt;=Resumen_Sprints!$E$11+Resumen_Sprints!$D$11),INDEX('Sprint N°6'!$C$7:$N$7,BS$4-Resumen_Sprints!$E$11),0)</f>
        <v>0</v>
      </c>
      <c r="BT35" s="36">
        <f>IF(AND(BT$4&gt;Resumen_Sprints!$E$11,BT$4&lt;=Resumen_Sprints!$E$11+Resumen_Sprints!$D$11),INDEX('Sprint N°6'!$C$7:$N$7,BT$4-Resumen_Sprints!$E$11),0)</f>
        <v>0</v>
      </c>
      <c r="BU35" s="36">
        <f>IF(AND(BU$4&gt;Resumen_Sprints!$E$11,BU$4&lt;=Resumen_Sprints!$E$11+Resumen_Sprints!$D$11),INDEX('Sprint N°6'!$C$7:$N$7,BU$4-Resumen_Sprints!$E$11),0)</f>
        <v>0</v>
      </c>
      <c r="BV35" s="36">
        <f>IF(AND(BV$4&gt;Resumen_Sprints!$E$11,BV$4&lt;=Resumen_Sprints!$E$11+Resumen_Sprints!$D$11),INDEX('Sprint N°6'!$C$7:$N$7,BV$4-Resumen_Sprints!$E$11),0)</f>
        <v>0</v>
      </c>
      <c r="BW35" s="36">
        <f>IF(AND(BW$4&gt;Resumen_Sprints!$E$11,BW$4&lt;=Resumen_Sprints!$E$11+Resumen_Sprints!$D$11),INDEX('Sprint N°6'!$C$7:$N$7,BW$4-Resumen_Sprints!$E$11),0)</f>
        <v>0</v>
      </c>
      <c r="BX35" s="36">
        <f>IF(AND(BX$4&gt;Resumen_Sprints!$E$11,BX$4&lt;=Resumen_Sprints!$E$11+Resumen_Sprints!$D$11),INDEX('Sprint N°6'!$C$7:$N$7,BX$4-Resumen_Sprints!$E$11),0)</f>
        <v>0</v>
      </c>
      <c r="BY35" s="36">
        <f>IF(AND(BY$4&gt;Resumen_Sprints!$E$11,BY$4&lt;=Resumen_Sprints!$E$11+Resumen_Sprints!$D$11),INDEX('Sprint N°6'!$C$7:$N$7,BY$4-Resumen_Sprints!$E$11),0)</f>
        <v>0</v>
      </c>
      <c r="BZ35" s="36">
        <f>IF(AND(BZ$4&gt;Resumen_Sprints!$E$11,BZ$4&lt;=Resumen_Sprints!$E$11+Resumen_Sprints!$D$11),INDEX('Sprint N°6'!$C$7:$N$7,BZ$4-Resumen_Sprints!$E$11),0)</f>
        <v>0</v>
      </c>
      <c r="CA35" s="36">
        <f>IF(AND(CA$4&gt;Resumen_Sprints!$E$11,CA$4&lt;=Resumen_Sprints!$E$11+Resumen_Sprints!$D$11),INDEX('Sprint N°6'!$C$7:$N$7,CA$4-Resumen_Sprints!$E$11),0)</f>
        <v>0</v>
      </c>
      <c r="CB35" s="36">
        <f>IF(AND(CB$4&gt;Resumen_Sprints!$E$11,CB$4&lt;=Resumen_Sprints!$E$11+Resumen_Sprints!$D$11),INDEX('Sprint N°6'!$C$7:$N$7,CB$4-Resumen_Sprints!$E$11),0)</f>
        <v>0</v>
      </c>
      <c r="CC35" s="36">
        <f>IF(AND(CC$4&gt;Resumen_Sprints!$E$11,CC$4&lt;=Resumen_Sprints!$E$11+Resumen_Sprints!$D$11),INDEX('Sprint N°6'!$C$7:$N$7,CC$4-Resumen_Sprints!$E$11),0)</f>
        <v>0</v>
      </c>
      <c r="CD35" s="36">
        <f>IF(AND(CD$4&gt;Resumen_Sprints!$E$11,CD$4&lt;=Resumen_Sprints!$E$11+Resumen_Sprints!$D$11),INDEX('Sprint N°6'!$C$7:$N$7,CD$4-Resumen_Sprints!$E$11),0)</f>
        <v>0</v>
      </c>
      <c r="CE35" s="36">
        <f>IF(AND(CE$4&gt;Resumen_Sprints!$E$11,CE$4&lt;=Resumen_Sprints!$E$11+Resumen_Sprints!$D$11),INDEX('Sprint N°6'!$C$7:$N$7,CE$4-Resumen_Sprints!$E$11),0)</f>
        <v>0</v>
      </c>
      <c r="CF35" s="36">
        <f>IF(AND(CF$4&gt;Resumen_Sprints!$E$11,CF$4&lt;=Resumen_Sprints!$E$11+Resumen_Sprints!$D$11),INDEX('Sprint N°6'!$C$7:$N$7,CF$4-Resumen_Sprints!$E$11),0)</f>
        <v>0</v>
      </c>
      <c r="CG35" s="36">
        <f>IF(AND(CG$4&gt;Resumen_Sprints!$E$11,CG$4&lt;=Resumen_Sprints!$E$11+Resumen_Sprints!$D$11),INDEX('Sprint N°6'!$C$7:$N$7,CG$4-Resumen_Sprints!$E$11),0)</f>
        <v>0</v>
      </c>
      <c r="CH35" s="36">
        <f>IF(AND(CH$4&gt;Resumen_Sprints!$E$11,CH$4&lt;=Resumen_Sprints!$E$11+Resumen_Sprints!$D$11),INDEX('Sprint N°6'!$C$7:$N$7,CH$4-Resumen_Sprints!$E$11),0)</f>
        <v>0</v>
      </c>
      <c r="CI35" s="36">
        <f>IF(AND(CI$4&gt;Resumen_Sprints!$E$11,CI$4&lt;=Resumen_Sprints!$E$11+Resumen_Sprints!$D$11),INDEX('Sprint N°6'!$C$7:$N$7,CI$4-Resumen_Sprints!$E$11),0)</f>
        <v>0</v>
      </c>
      <c r="CJ35" s="36">
        <f>IF(AND(CJ$4&gt;Resumen_Sprints!$E$11,CJ$4&lt;=Resumen_Sprints!$E$11+Resumen_Sprints!$D$11),INDEX('Sprint N°6'!$C$7:$N$7,CJ$4-Resumen_Sprints!$E$11),0)</f>
        <v>0</v>
      </c>
      <c r="CK35" s="36">
        <f>IF(AND(CK$4&gt;Resumen_Sprints!$E$11,CK$4&lt;=Resumen_Sprints!$E$11+Resumen_Sprints!$D$11),INDEX('Sprint N°6'!$C$7:$N$7,CK$4-Resumen_Sprints!$E$11),0)</f>
        <v>0</v>
      </c>
      <c r="CL35" s="36">
        <f>IF(AND(CL$4&gt;Resumen_Sprints!$E$11,CL$4&lt;=Resumen_Sprints!$E$11+Resumen_Sprints!$D$11),INDEX('Sprint N°6'!$C$7:$N$7,CL$4-Resumen_Sprints!$E$11),0)</f>
        <v>0</v>
      </c>
      <c r="CM35" s="36">
        <f>IF(AND(CM$4&gt;Resumen_Sprints!$E$11,CM$4&lt;=Resumen_Sprints!$E$11+Resumen_Sprints!$D$11),INDEX('Sprint N°6'!$C$7:$N$7,CM$4-Resumen_Sprints!$E$11),0)</f>
        <v>0</v>
      </c>
      <c r="CN35" s="36">
        <f>IF(AND(CN$4&gt;Resumen_Sprints!$E$11,CN$4&lt;=Resumen_Sprints!$E$11+Resumen_Sprints!$D$11),INDEX('Sprint N°6'!$C$7:$N$7,CN$4-Resumen_Sprints!$E$11),0)</f>
        <v>0</v>
      </c>
      <c r="CO35" s="36">
        <f>IF(AND(CO$4&gt;Resumen_Sprints!$E$11,CO$4&lt;=Resumen_Sprints!$E$11+Resumen_Sprints!$D$11),INDEX('Sprint N°6'!$C$7:$N$7,CO$4-Resumen_Sprints!$E$11),0)</f>
        <v>0</v>
      </c>
      <c r="CP35" s="36">
        <f>IF(AND(CP$4&gt;Resumen_Sprints!$E$11,CP$4&lt;=Resumen_Sprints!$E$11+Resumen_Sprints!$D$11),INDEX('Sprint N°6'!$C$7:$N$7,CP$4-Resumen_Sprints!$E$11),0)</f>
        <v>0</v>
      </c>
      <c r="CQ35" s="36">
        <f>IF(AND(CQ$4&gt;Resumen_Sprints!$E$11,CQ$4&lt;=Resumen_Sprints!$E$11+Resumen_Sprints!$D$11),INDEX('Sprint N°6'!$C$7:$N$7,CQ$4-Resumen_Sprints!$E$11),0)</f>
        <v>0</v>
      </c>
      <c r="CR35" s="36">
        <f>IF(AND(CR$4&gt;Resumen_Sprints!$E$11,CR$4&lt;=Resumen_Sprints!$E$11+Resumen_Sprints!$D$11),INDEX('Sprint N°6'!$C$7:$N$7,CR$4-Resumen_Sprints!$E$11),0)</f>
        <v>0</v>
      </c>
      <c r="CS35" s="36">
        <f>IF(AND(CS$4&gt;Resumen_Sprints!$E$11,CS$4&lt;=Resumen_Sprints!$E$11+Resumen_Sprints!$D$11),INDEX('Sprint N°6'!$C$7:$N$7,CS$4-Resumen_Sprints!$E$11),0)</f>
        <v>0</v>
      </c>
      <c r="CT35" s="36">
        <f>IF(AND(CT$4&gt;Resumen_Sprints!$E$11,CT$4&lt;=Resumen_Sprints!$E$11+Resumen_Sprints!$D$11),INDEX('Sprint N°6'!$C$7:$N$7,CT$4-Resumen_Sprints!$E$11),0)</f>
        <v>0</v>
      </c>
      <c r="CU35" s="10">
        <f>SUM(C35:CT35)</f>
        <v>23</v>
      </c>
    </row>
    <row r="36" spans="1:99" x14ac:dyDescent="0.3">
      <c r="A36" s="22" t="str">
        <f>'Sprint N°6'!A8</f>
        <v>Resumen y Exportación de Cotización</v>
      </c>
      <c r="B36" s="22">
        <f>'Sprint N°6'!B8</f>
        <v>15</v>
      </c>
      <c r="C36" s="36">
        <f>IF(AND(C$4&gt;Resumen_Sprints!$E$11,C$4&lt;=Resumen_Sprints!$E$11+Resumen_Sprints!$D$11),INDEX('Sprint N°6'!$C$8:$N$8,C$4-Resumen_Sprints!$E$11),0)</f>
        <v>0</v>
      </c>
      <c r="D36" s="36">
        <f>IF(AND(D$4&gt;Resumen_Sprints!$E$11,D$4&lt;=Resumen_Sprints!$E$11+Resumen_Sprints!$D$11),INDEX('Sprint N°6'!$C$8:$N$8,D$4-Resumen_Sprints!$E$11),0)</f>
        <v>0</v>
      </c>
      <c r="E36" s="36">
        <f>IF(AND(E$4&gt;Resumen_Sprints!$E$11,E$4&lt;=Resumen_Sprints!$E$11+Resumen_Sprints!$D$11),INDEX('Sprint N°6'!$C$8:$N$8,E$4-Resumen_Sprints!$E$11),0)</f>
        <v>0</v>
      </c>
      <c r="F36" s="36">
        <f>IF(AND(F$4&gt;Resumen_Sprints!$E$11,F$4&lt;=Resumen_Sprints!$E$11+Resumen_Sprints!$D$11),INDEX('Sprint N°6'!$C$8:$N$8,F$4-Resumen_Sprints!$E$11),0)</f>
        <v>0</v>
      </c>
      <c r="G36" s="36">
        <f>IF(AND(G$4&gt;Resumen_Sprints!$E$11,G$4&lt;=Resumen_Sprints!$E$11+Resumen_Sprints!$D$11),INDEX('Sprint N°6'!$C$8:$N$8,G$4-Resumen_Sprints!$E$11),0)</f>
        <v>0</v>
      </c>
      <c r="H36" s="36">
        <f>IF(AND(H$4&gt;Resumen_Sprints!$E$11,H$4&lt;=Resumen_Sprints!$E$11+Resumen_Sprints!$D$11),INDEX('Sprint N°6'!$C$8:$N$8,H$4-Resumen_Sprints!$E$11),0)</f>
        <v>0</v>
      </c>
      <c r="I36" s="36">
        <f>IF(AND(I$4&gt;Resumen_Sprints!$E$11,I$4&lt;=Resumen_Sprints!$E$11+Resumen_Sprints!$D$11),INDEX('Sprint N°6'!$C$8:$N$8,I$4-Resumen_Sprints!$E$11),0)</f>
        <v>0</v>
      </c>
      <c r="J36" s="36">
        <f>IF(AND(J$4&gt;Resumen_Sprints!$E$11,J$4&lt;=Resumen_Sprints!$E$11+Resumen_Sprints!$D$11),INDEX('Sprint N°6'!$C$8:$N$8,J$4-Resumen_Sprints!$E$11),0)</f>
        <v>0</v>
      </c>
      <c r="K36" s="36">
        <f>IF(AND(K$4&gt;Resumen_Sprints!$E$11,K$4&lt;=Resumen_Sprints!$E$11+Resumen_Sprints!$D$11),INDEX('Sprint N°6'!$C$8:$N$8,K$4-Resumen_Sprints!$E$11),0)</f>
        <v>0</v>
      </c>
      <c r="L36" s="36">
        <f>IF(AND(L$4&gt;Resumen_Sprints!$E$11,L$4&lt;=Resumen_Sprints!$E$11+Resumen_Sprints!$D$11),INDEX('Sprint N°6'!$C$8:$N$8,L$4-Resumen_Sprints!$E$11),0)</f>
        <v>0</v>
      </c>
      <c r="M36" s="36">
        <f>IF(AND(M$4&gt;Resumen_Sprints!$E$11,M$4&lt;=Resumen_Sprints!$E$11+Resumen_Sprints!$D$11),INDEX('Sprint N°6'!$C$8:$N$8,M$4-Resumen_Sprints!$E$11),0)</f>
        <v>0</v>
      </c>
      <c r="N36" s="36">
        <f>IF(AND(N$4&gt;Resumen_Sprints!$E$11,N$4&lt;=Resumen_Sprints!$E$11+Resumen_Sprints!$D$11),INDEX('Sprint N°6'!$C$8:$N$8,N$4-Resumen_Sprints!$E$11),0)</f>
        <v>0</v>
      </c>
      <c r="O36" s="36">
        <f>IF(AND(O$4&gt;Resumen_Sprints!$E$11,O$4&lt;=Resumen_Sprints!$E$11+Resumen_Sprints!$D$11),INDEX('Sprint N°6'!$C$8:$N$8,O$4-Resumen_Sprints!$E$11),0)</f>
        <v>0</v>
      </c>
      <c r="P36" s="36">
        <f>IF(AND(P$4&gt;Resumen_Sprints!$E$11,P$4&lt;=Resumen_Sprints!$E$11+Resumen_Sprints!$D$11),INDEX('Sprint N°6'!$C$8:$N$8,P$4-Resumen_Sprints!$E$11),0)</f>
        <v>0</v>
      </c>
      <c r="Q36" s="36">
        <f>IF(AND(Q$4&gt;Resumen_Sprints!$E$11,Q$4&lt;=Resumen_Sprints!$E$11+Resumen_Sprints!$D$11),INDEX('Sprint N°6'!$C$8:$N$8,Q$4-Resumen_Sprints!$E$11),0)</f>
        <v>0</v>
      </c>
      <c r="R36" s="36">
        <f>IF(AND(R$4&gt;Resumen_Sprints!$E$11,R$4&lt;=Resumen_Sprints!$E$11+Resumen_Sprints!$D$11),INDEX('Sprint N°6'!$C$8:$N$8,R$4-Resumen_Sprints!$E$11),0)</f>
        <v>0</v>
      </c>
      <c r="S36" s="36">
        <f>IF(AND(S$4&gt;Resumen_Sprints!$E$11,S$4&lt;=Resumen_Sprints!$E$11+Resumen_Sprints!$D$11),INDEX('Sprint N°6'!$C$8:$N$8,S$4-Resumen_Sprints!$E$11),0)</f>
        <v>0</v>
      </c>
      <c r="T36" s="36">
        <f>IF(AND(T$4&gt;Resumen_Sprints!$E$11,T$4&lt;=Resumen_Sprints!$E$11+Resumen_Sprints!$D$11),INDEX('Sprint N°6'!$C$8:$N$8,T$4-Resumen_Sprints!$E$11),0)</f>
        <v>0</v>
      </c>
      <c r="U36" s="36">
        <f>IF(AND(U$4&gt;Resumen_Sprints!$E$11,U$4&lt;=Resumen_Sprints!$E$11+Resumen_Sprints!$D$11),INDEX('Sprint N°6'!$C$8:$N$8,U$4-Resumen_Sprints!$E$11),0)</f>
        <v>0</v>
      </c>
      <c r="V36" s="36">
        <f>IF(AND(V$4&gt;Resumen_Sprints!$E$11,V$4&lt;=Resumen_Sprints!$E$11+Resumen_Sprints!$D$11),INDEX('Sprint N°6'!$C$8:$N$8,V$4-Resumen_Sprints!$E$11),0)</f>
        <v>0</v>
      </c>
      <c r="W36" s="36">
        <f>IF(AND(W$4&gt;Resumen_Sprints!$E$11,W$4&lt;=Resumen_Sprints!$E$11+Resumen_Sprints!$D$11),INDEX('Sprint N°6'!$C$8:$N$8,W$4-Resumen_Sprints!$E$11),0)</f>
        <v>0</v>
      </c>
      <c r="X36" s="36">
        <f>IF(AND(X$4&gt;Resumen_Sprints!$E$11,X$4&lt;=Resumen_Sprints!$E$11+Resumen_Sprints!$D$11),INDEX('Sprint N°6'!$C$8:$N$8,X$4-Resumen_Sprints!$E$11),0)</f>
        <v>0</v>
      </c>
      <c r="Y36" s="36">
        <f>IF(AND(Y$4&gt;Resumen_Sprints!$E$11,Y$4&lt;=Resumen_Sprints!$E$11+Resumen_Sprints!$D$11),INDEX('Sprint N°6'!$C$8:$N$8,Y$4-Resumen_Sprints!$E$11),0)</f>
        <v>0</v>
      </c>
      <c r="Z36" s="36">
        <f>IF(AND(Z$4&gt;Resumen_Sprints!$E$11,Z$4&lt;=Resumen_Sprints!$E$11+Resumen_Sprints!$D$11),INDEX('Sprint N°6'!$C$8:$N$8,Z$4-Resumen_Sprints!$E$11),0)</f>
        <v>0</v>
      </c>
      <c r="AA36" s="36">
        <f>IF(AND(AA$4&gt;Resumen_Sprints!$E$11,AA$4&lt;=Resumen_Sprints!$E$11+Resumen_Sprints!$D$11),INDEX('Sprint N°6'!$C$8:$N$8,AA$4-Resumen_Sprints!$E$11),0)</f>
        <v>0</v>
      </c>
      <c r="AB36" s="36">
        <f>IF(AND(AB$4&gt;Resumen_Sprints!$E$11,AB$4&lt;=Resumen_Sprints!$E$11+Resumen_Sprints!$D$11),INDEX('Sprint N°6'!$C$8:$N$8,AB$4-Resumen_Sprints!$E$11),0)</f>
        <v>0</v>
      </c>
      <c r="AC36" s="36">
        <f>IF(AND(AC$4&gt;Resumen_Sprints!$E$11,AC$4&lt;=Resumen_Sprints!$E$11+Resumen_Sprints!$D$11),INDEX('Sprint N°6'!$C$8:$N$8,AC$4-Resumen_Sprints!$E$11),0)</f>
        <v>0</v>
      </c>
      <c r="AD36" s="36">
        <f>IF(AND(AD$4&gt;Resumen_Sprints!$E$11,AD$4&lt;=Resumen_Sprints!$E$11+Resumen_Sprints!$D$11),INDEX('Sprint N°6'!$C$8:$N$8,AD$4-Resumen_Sprints!$E$11),0)</f>
        <v>0</v>
      </c>
      <c r="AE36" s="36">
        <f>IF(AND(AE$4&gt;Resumen_Sprints!$E$11,AE$4&lt;=Resumen_Sprints!$E$11+Resumen_Sprints!$D$11),INDEX('Sprint N°6'!$C$8:$N$8,AE$4-Resumen_Sprints!$E$11),0)</f>
        <v>0</v>
      </c>
      <c r="AF36" s="36">
        <f>IF(AND(AF$4&gt;Resumen_Sprints!$E$11,AF$4&lt;=Resumen_Sprints!$E$11+Resumen_Sprints!$D$11),INDEX('Sprint N°6'!$C$8:$N$8,AF$4-Resumen_Sprints!$E$11),0)</f>
        <v>0</v>
      </c>
      <c r="AG36" s="36">
        <f>IF(AND(AG$4&gt;Resumen_Sprints!$E$11,AG$4&lt;=Resumen_Sprints!$E$11+Resumen_Sprints!$D$11),INDEX('Sprint N°6'!$C$8:$N$8,AG$4-Resumen_Sprints!$E$11),0)</f>
        <v>0</v>
      </c>
      <c r="AH36" s="36">
        <f>IF(AND(AH$4&gt;Resumen_Sprints!$E$11,AH$4&lt;=Resumen_Sprints!$E$11+Resumen_Sprints!$D$11),INDEX('Sprint N°6'!$C$8:$N$8,AH$4-Resumen_Sprints!$E$11),0)</f>
        <v>0</v>
      </c>
      <c r="AI36" s="36">
        <f>IF(AND(AI$4&gt;Resumen_Sprints!$E$11,AI$4&lt;=Resumen_Sprints!$E$11+Resumen_Sprints!$D$11),INDEX('Sprint N°6'!$C$8:$N$8,AI$4-Resumen_Sprints!$E$11),0)</f>
        <v>0</v>
      </c>
      <c r="AJ36" s="36">
        <f>IF(AND(AJ$4&gt;Resumen_Sprints!$E$11,AJ$4&lt;=Resumen_Sprints!$E$11+Resumen_Sprints!$D$11),INDEX('Sprint N°6'!$C$8:$N$8,AJ$4-Resumen_Sprints!$E$11),0)</f>
        <v>0</v>
      </c>
      <c r="AK36" s="36">
        <f>IF(AND(AK$4&gt;Resumen_Sprints!$E$11,AK$4&lt;=Resumen_Sprints!$E$11+Resumen_Sprints!$D$11),INDEX('Sprint N°6'!$C$8:$N$8,AK$4-Resumen_Sprints!$E$11),0)</f>
        <v>0</v>
      </c>
      <c r="AL36" s="36">
        <f>IF(AND(AL$4&gt;Resumen_Sprints!$E$11,AL$4&lt;=Resumen_Sprints!$E$11+Resumen_Sprints!$D$11),INDEX('Sprint N°6'!$C$8:$N$8,AL$4-Resumen_Sprints!$E$11),0)</f>
        <v>0</v>
      </c>
      <c r="AM36" s="36">
        <f>IF(AND(AM$4&gt;Resumen_Sprints!$E$11,AM$4&lt;=Resumen_Sprints!$E$11+Resumen_Sprints!$D$11),INDEX('Sprint N°6'!$C$8:$N$8,AM$4-Resumen_Sprints!$E$11),0)</f>
        <v>0</v>
      </c>
      <c r="AN36" s="36">
        <f>IF(AND(AN$4&gt;Resumen_Sprints!$E$11,AN$4&lt;=Resumen_Sprints!$E$11+Resumen_Sprints!$D$11),INDEX('Sprint N°6'!$C$8:$N$8,AN$4-Resumen_Sprints!$E$11),0)</f>
        <v>0</v>
      </c>
      <c r="AO36" s="36">
        <f>IF(AND(AO$4&gt;Resumen_Sprints!$E$11,AO$4&lt;=Resumen_Sprints!$E$11+Resumen_Sprints!$D$11),INDEX('Sprint N°6'!$C$8:$N$8,AO$4-Resumen_Sprints!$E$11),0)</f>
        <v>0</v>
      </c>
      <c r="AP36" s="36">
        <f>IF(AND(AP$4&gt;Resumen_Sprints!$E$11,AP$4&lt;=Resumen_Sprints!$E$11+Resumen_Sprints!$D$11),INDEX('Sprint N°6'!$C$8:$N$8,AP$4-Resumen_Sprints!$E$11),0)</f>
        <v>0</v>
      </c>
      <c r="AQ36" s="36">
        <f>IF(AND(AQ$4&gt;Resumen_Sprints!$E$11,AQ$4&lt;=Resumen_Sprints!$E$11+Resumen_Sprints!$D$11),INDEX('Sprint N°6'!$C$8:$N$8,AQ$4-Resumen_Sprints!$E$11),0)</f>
        <v>0</v>
      </c>
      <c r="AR36" s="36">
        <f>IF(AND(AR$4&gt;Resumen_Sprints!$E$11,AR$4&lt;=Resumen_Sprints!$E$11+Resumen_Sprints!$D$11),INDEX('Sprint N°6'!$C$8:$N$8,AR$4-Resumen_Sprints!$E$11),0)</f>
        <v>0</v>
      </c>
      <c r="AS36" s="36">
        <f>IF(AND(AS$4&gt;Resumen_Sprints!$E$11,AS$4&lt;=Resumen_Sprints!$E$11+Resumen_Sprints!$D$11),INDEX('Sprint N°6'!$C$8:$N$8,AS$4-Resumen_Sprints!$E$11),0)</f>
        <v>0</v>
      </c>
      <c r="AT36" s="36">
        <f>IF(AND(AT$4&gt;Resumen_Sprints!$E$11,AT$4&lt;=Resumen_Sprints!$E$11+Resumen_Sprints!$D$11),INDEX('Sprint N°6'!$C$8:$N$8,AT$4-Resumen_Sprints!$E$11),0)</f>
        <v>0</v>
      </c>
      <c r="AU36" s="36">
        <f>IF(AND(AU$4&gt;Resumen_Sprints!$E$11,AU$4&lt;=Resumen_Sprints!$E$11+Resumen_Sprints!$D$11),INDEX('Sprint N°6'!$C$8:$N$8,AU$4-Resumen_Sprints!$E$11),0)</f>
        <v>0</v>
      </c>
      <c r="AV36" s="36">
        <f>IF(AND(AV$4&gt;Resumen_Sprints!$E$11,AV$4&lt;=Resumen_Sprints!$E$11+Resumen_Sprints!$D$11),INDEX('Sprint N°6'!$C$8:$N$8,AV$4-Resumen_Sprints!$E$11),0)</f>
        <v>0</v>
      </c>
      <c r="AW36" s="36">
        <f>IF(AND(AW$4&gt;Resumen_Sprints!$E$11,AW$4&lt;=Resumen_Sprints!$E$11+Resumen_Sprints!$D$11),INDEX('Sprint N°6'!$C$8:$N$8,AW$4-Resumen_Sprints!$E$11),0)</f>
        <v>0</v>
      </c>
      <c r="AX36" s="36">
        <f>IF(AND(AX$4&gt;Resumen_Sprints!$E$11,AX$4&lt;=Resumen_Sprints!$E$11+Resumen_Sprints!$D$11),INDEX('Sprint N°6'!$C$8:$N$8,AX$4-Resumen_Sprints!$E$11),0)</f>
        <v>0</v>
      </c>
      <c r="AY36" s="36">
        <f>IF(AND(AY$4&gt;Resumen_Sprints!$E$11,AY$4&lt;=Resumen_Sprints!$E$11+Resumen_Sprints!$D$11),INDEX('Sprint N°6'!$C$8:$N$8,AY$4-Resumen_Sprints!$E$11),0)</f>
        <v>0</v>
      </c>
      <c r="AZ36" s="36">
        <f>IF(AND(AZ$4&gt;Resumen_Sprints!$E$11,AZ$4&lt;=Resumen_Sprints!$E$11+Resumen_Sprints!$D$11),INDEX('Sprint N°6'!$C$8:$N$8,AZ$4-Resumen_Sprints!$E$11),0)</f>
        <v>0</v>
      </c>
      <c r="BA36" s="36">
        <f>IF(AND(BA$4&gt;Resumen_Sprints!$E$11,BA$4&lt;=Resumen_Sprints!$E$11+Resumen_Sprints!$D$11),INDEX('Sprint N°6'!$C$8:$N$8,BA$4-Resumen_Sprints!$E$11),0)</f>
        <v>0</v>
      </c>
      <c r="BB36" s="36">
        <f>IF(AND(BB$4&gt;Resumen_Sprints!$E$11,BB$4&lt;=Resumen_Sprints!$E$11+Resumen_Sprints!$D$11),INDEX('Sprint N°6'!$C$8:$N$8,BB$4-Resumen_Sprints!$E$11),0)</f>
        <v>0</v>
      </c>
      <c r="BC36" s="36">
        <f>IF(AND(BC$4&gt;Resumen_Sprints!$E$11,BC$4&lt;=Resumen_Sprints!$E$11+Resumen_Sprints!$D$11),INDEX('Sprint N°6'!$C$8:$N$8,BC$4-Resumen_Sprints!$E$11),0)</f>
        <v>0</v>
      </c>
      <c r="BD36" s="36">
        <f>IF(AND(BD$4&gt;Resumen_Sprints!$E$11,BD$4&lt;=Resumen_Sprints!$E$11+Resumen_Sprints!$D$11),INDEX('Sprint N°6'!$C$8:$N$8,BD$4-Resumen_Sprints!$E$11),0)</f>
        <v>0</v>
      </c>
      <c r="BE36" s="36">
        <f>IF(AND(BE$4&gt;Resumen_Sprints!$E$11,BE$4&lt;=Resumen_Sprints!$E$11+Resumen_Sprints!$D$11),INDEX('Sprint N°6'!$C$8:$N$8,BE$4-Resumen_Sprints!$E$11),0)</f>
        <v>0</v>
      </c>
      <c r="BF36" s="36">
        <f>IF(AND(BF$4&gt;Resumen_Sprints!$E$11,BF$4&lt;=Resumen_Sprints!$E$11+Resumen_Sprints!$D$11),INDEX('Sprint N°6'!$C$8:$N$8,BF$4-Resumen_Sprints!$E$11),0)</f>
        <v>0</v>
      </c>
      <c r="BG36" s="36">
        <f>IF(AND(BG$4&gt;Resumen_Sprints!$E$11,BG$4&lt;=Resumen_Sprints!$E$11+Resumen_Sprints!$D$11),INDEX('Sprint N°6'!$C$8:$N$8,BG$4-Resumen_Sprints!$E$11),0)</f>
        <v>0</v>
      </c>
      <c r="BH36" s="36">
        <f>IF(AND(BH$4&gt;Resumen_Sprints!$E$11,BH$4&lt;=Resumen_Sprints!$E$11+Resumen_Sprints!$D$11),INDEX('Sprint N°6'!$C$8:$N$8,BH$4-Resumen_Sprints!$E$11),0)</f>
        <v>0</v>
      </c>
      <c r="BI36" s="36">
        <f>IF(AND(BI$4&gt;Resumen_Sprints!$E$11,BI$4&lt;=Resumen_Sprints!$E$11+Resumen_Sprints!$D$11),INDEX('Sprint N°6'!$C$8:$N$8,BI$4-Resumen_Sprints!$E$11),0)</f>
        <v>0</v>
      </c>
      <c r="BJ36" s="36">
        <f>IF(AND(BJ$4&gt;Resumen_Sprints!$E$11,BJ$4&lt;=Resumen_Sprints!$E$11+Resumen_Sprints!$D$11),INDEX('Sprint N°6'!$C$8:$N$8,BJ$4-Resumen_Sprints!$E$11),0)</f>
        <v>12</v>
      </c>
      <c r="BK36" s="36">
        <f>IF(AND(BK$4&gt;Resumen_Sprints!$E$11,BK$4&lt;=Resumen_Sprints!$E$11+Resumen_Sprints!$D$11),INDEX('Sprint N°6'!$C$8:$N$8,BK$4-Resumen_Sprints!$E$11),0)</f>
        <v>1</v>
      </c>
      <c r="BL36" s="36">
        <f>IF(AND(BL$4&gt;Resumen_Sprints!$E$11,BL$4&lt;=Resumen_Sprints!$E$11+Resumen_Sprints!$D$11),INDEX('Sprint N°6'!$C$8:$N$8,BL$4-Resumen_Sprints!$E$11),0)</f>
        <v>0</v>
      </c>
      <c r="BM36" s="36">
        <f>IF(AND(BM$4&gt;Resumen_Sprints!$E$11,BM$4&lt;=Resumen_Sprints!$E$11+Resumen_Sprints!$D$11),INDEX('Sprint N°6'!$C$8:$N$8,BM$4-Resumen_Sprints!$E$11),0)</f>
        <v>0</v>
      </c>
      <c r="BN36" s="36">
        <f>IF(AND(BN$4&gt;Resumen_Sprints!$E$11,BN$4&lt;=Resumen_Sprints!$E$11+Resumen_Sprints!$D$11),INDEX('Sprint N°6'!$C$8:$N$8,BN$4-Resumen_Sprints!$E$11),0)</f>
        <v>0</v>
      </c>
      <c r="BO36" s="36">
        <f>IF(AND(BO$4&gt;Resumen_Sprints!$E$11,BO$4&lt;=Resumen_Sprints!$E$11+Resumen_Sprints!$D$11),INDEX('Sprint N°6'!$C$8:$N$8,BO$4-Resumen_Sprints!$E$11),0)</f>
        <v>0</v>
      </c>
      <c r="BP36" s="36">
        <f>IF(AND(BP$4&gt;Resumen_Sprints!$E$11,BP$4&lt;=Resumen_Sprints!$E$11+Resumen_Sprints!$D$11),INDEX('Sprint N°6'!$C$8:$N$8,BP$4-Resumen_Sprints!$E$11),0)</f>
        <v>0</v>
      </c>
      <c r="BQ36" s="36">
        <f>IF(AND(BQ$4&gt;Resumen_Sprints!$E$11,BQ$4&lt;=Resumen_Sprints!$E$11+Resumen_Sprints!$D$11),INDEX('Sprint N°6'!$C$8:$N$8,BQ$4-Resumen_Sprints!$E$11),0)</f>
        <v>0</v>
      </c>
      <c r="BR36" s="36">
        <f>IF(AND(BR$4&gt;Resumen_Sprints!$E$11,BR$4&lt;=Resumen_Sprints!$E$11+Resumen_Sprints!$D$11),INDEX('Sprint N°6'!$C$8:$N$8,BR$4-Resumen_Sprints!$E$11),0)</f>
        <v>0</v>
      </c>
      <c r="BS36" s="36">
        <f>IF(AND(BS$4&gt;Resumen_Sprints!$E$11,BS$4&lt;=Resumen_Sprints!$E$11+Resumen_Sprints!$D$11),INDEX('Sprint N°6'!$C$8:$N$8,BS$4-Resumen_Sprints!$E$11),0)</f>
        <v>0</v>
      </c>
      <c r="BT36" s="36">
        <f>IF(AND(BT$4&gt;Resumen_Sprints!$E$11,BT$4&lt;=Resumen_Sprints!$E$11+Resumen_Sprints!$D$11),INDEX('Sprint N°6'!$C$8:$N$8,BT$4-Resumen_Sprints!$E$11),0)</f>
        <v>0</v>
      </c>
      <c r="BU36" s="36">
        <f>IF(AND(BU$4&gt;Resumen_Sprints!$E$11,BU$4&lt;=Resumen_Sprints!$E$11+Resumen_Sprints!$D$11),INDEX('Sprint N°6'!$C$8:$N$8,BU$4-Resumen_Sprints!$E$11),0)</f>
        <v>0</v>
      </c>
      <c r="BV36" s="36">
        <f>IF(AND(BV$4&gt;Resumen_Sprints!$E$11,BV$4&lt;=Resumen_Sprints!$E$11+Resumen_Sprints!$D$11),INDEX('Sprint N°6'!$C$8:$N$8,BV$4-Resumen_Sprints!$E$11),0)</f>
        <v>0</v>
      </c>
      <c r="BW36" s="36">
        <f>IF(AND(BW$4&gt;Resumen_Sprints!$E$11,BW$4&lt;=Resumen_Sprints!$E$11+Resumen_Sprints!$D$11),INDEX('Sprint N°6'!$C$8:$N$8,BW$4-Resumen_Sprints!$E$11),0)</f>
        <v>0</v>
      </c>
      <c r="BX36" s="36">
        <f>IF(AND(BX$4&gt;Resumen_Sprints!$E$11,BX$4&lt;=Resumen_Sprints!$E$11+Resumen_Sprints!$D$11),INDEX('Sprint N°6'!$C$8:$N$8,BX$4-Resumen_Sprints!$E$11),0)</f>
        <v>0</v>
      </c>
      <c r="BY36" s="36">
        <f>IF(AND(BY$4&gt;Resumen_Sprints!$E$11,BY$4&lt;=Resumen_Sprints!$E$11+Resumen_Sprints!$D$11),INDEX('Sprint N°6'!$C$8:$N$8,BY$4-Resumen_Sprints!$E$11),0)</f>
        <v>0</v>
      </c>
      <c r="BZ36" s="36">
        <f>IF(AND(BZ$4&gt;Resumen_Sprints!$E$11,BZ$4&lt;=Resumen_Sprints!$E$11+Resumen_Sprints!$D$11),INDEX('Sprint N°6'!$C$8:$N$8,BZ$4-Resumen_Sprints!$E$11),0)</f>
        <v>0</v>
      </c>
      <c r="CA36" s="36">
        <f>IF(AND(CA$4&gt;Resumen_Sprints!$E$11,CA$4&lt;=Resumen_Sprints!$E$11+Resumen_Sprints!$D$11),INDEX('Sprint N°6'!$C$8:$N$8,CA$4-Resumen_Sprints!$E$11),0)</f>
        <v>0</v>
      </c>
      <c r="CB36" s="36">
        <f>IF(AND(CB$4&gt;Resumen_Sprints!$E$11,CB$4&lt;=Resumen_Sprints!$E$11+Resumen_Sprints!$D$11),INDEX('Sprint N°6'!$C$8:$N$8,CB$4-Resumen_Sprints!$E$11),0)</f>
        <v>0</v>
      </c>
      <c r="CC36" s="36">
        <f>IF(AND(CC$4&gt;Resumen_Sprints!$E$11,CC$4&lt;=Resumen_Sprints!$E$11+Resumen_Sprints!$D$11),INDEX('Sprint N°6'!$C$8:$N$8,CC$4-Resumen_Sprints!$E$11),0)</f>
        <v>0</v>
      </c>
      <c r="CD36" s="36">
        <f>IF(AND(CD$4&gt;Resumen_Sprints!$E$11,CD$4&lt;=Resumen_Sprints!$E$11+Resumen_Sprints!$D$11),INDEX('Sprint N°6'!$C$8:$N$8,CD$4-Resumen_Sprints!$E$11),0)</f>
        <v>0</v>
      </c>
      <c r="CE36" s="36">
        <f>IF(AND(CE$4&gt;Resumen_Sprints!$E$11,CE$4&lt;=Resumen_Sprints!$E$11+Resumen_Sprints!$D$11),INDEX('Sprint N°6'!$C$8:$N$8,CE$4-Resumen_Sprints!$E$11),0)</f>
        <v>0</v>
      </c>
      <c r="CF36" s="36">
        <f>IF(AND(CF$4&gt;Resumen_Sprints!$E$11,CF$4&lt;=Resumen_Sprints!$E$11+Resumen_Sprints!$D$11),INDEX('Sprint N°6'!$C$8:$N$8,CF$4-Resumen_Sprints!$E$11),0)</f>
        <v>0</v>
      </c>
      <c r="CG36" s="36">
        <f>IF(AND(CG$4&gt;Resumen_Sprints!$E$11,CG$4&lt;=Resumen_Sprints!$E$11+Resumen_Sprints!$D$11),INDEX('Sprint N°6'!$C$8:$N$8,CG$4-Resumen_Sprints!$E$11),0)</f>
        <v>0</v>
      </c>
      <c r="CH36" s="36">
        <f>IF(AND(CH$4&gt;Resumen_Sprints!$E$11,CH$4&lt;=Resumen_Sprints!$E$11+Resumen_Sprints!$D$11),INDEX('Sprint N°6'!$C$8:$N$8,CH$4-Resumen_Sprints!$E$11),0)</f>
        <v>0</v>
      </c>
      <c r="CI36" s="36">
        <f>IF(AND(CI$4&gt;Resumen_Sprints!$E$11,CI$4&lt;=Resumen_Sprints!$E$11+Resumen_Sprints!$D$11),INDEX('Sprint N°6'!$C$8:$N$8,CI$4-Resumen_Sprints!$E$11),0)</f>
        <v>0</v>
      </c>
      <c r="CJ36" s="36">
        <f>IF(AND(CJ$4&gt;Resumen_Sprints!$E$11,CJ$4&lt;=Resumen_Sprints!$E$11+Resumen_Sprints!$D$11),INDEX('Sprint N°6'!$C$8:$N$8,CJ$4-Resumen_Sprints!$E$11),0)</f>
        <v>0</v>
      </c>
      <c r="CK36" s="36">
        <f>IF(AND(CK$4&gt;Resumen_Sprints!$E$11,CK$4&lt;=Resumen_Sprints!$E$11+Resumen_Sprints!$D$11),INDEX('Sprint N°6'!$C$8:$N$8,CK$4-Resumen_Sprints!$E$11),0)</f>
        <v>0</v>
      </c>
      <c r="CL36" s="36">
        <f>IF(AND(CL$4&gt;Resumen_Sprints!$E$11,CL$4&lt;=Resumen_Sprints!$E$11+Resumen_Sprints!$D$11),INDEX('Sprint N°6'!$C$8:$N$8,CL$4-Resumen_Sprints!$E$11),0)</f>
        <v>0</v>
      </c>
      <c r="CM36" s="36">
        <f>IF(AND(CM$4&gt;Resumen_Sprints!$E$11,CM$4&lt;=Resumen_Sprints!$E$11+Resumen_Sprints!$D$11),INDEX('Sprint N°6'!$C$8:$N$8,CM$4-Resumen_Sprints!$E$11),0)</f>
        <v>0</v>
      </c>
      <c r="CN36" s="36">
        <f>IF(AND(CN$4&gt;Resumen_Sprints!$E$11,CN$4&lt;=Resumen_Sprints!$E$11+Resumen_Sprints!$D$11),INDEX('Sprint N°6'!$C$8:$N$8,CN$4-Resumen_Sprints!$E$11),0)</f>
        <v>0</v>
      </c>
      <c r="CO36" s="36">
        <f>IF(AND(CO$4&gt;Resumen_Sprints!$E$11,CO$4&lt;=Resumen_Sprints!$E$11+Resumen_Sprints!$D$11),INDEX('Sprint N°6'!$C$8:$N$8,CO$4-Resumen_Sprints!$E$11),0)</f>
        <v>0</v>
      </c>
      <c r="CP36" s="36">
        <f>IF(AND(CP$4&gt;Resumen_Sprints!$E$11,CP$4&lt;=Resumen_Sprints!$E$11+Resumen_Sprints!$D$11),INDEX('Sprint N°6'!$C$8:$N$8,CP$4-Resumen_Sprints!$E$11),0)</f>
        <v>0</v>
      </c>
      <c r="CQ36" s="36">
        <f>IF(AND(CQ$4&gt;Resumen_Sprints!$E$11,CQ$4&lt;=Resumen_Sprints!$E$11+Resumen_Sprints!$D$11),INDEX('Sprint N°6'!$C$8:$N$8,CQ$4-Resumen_Sprints!$E$11),0)</f>
        <v>0</v>
      </c>
      <c r="CR36" s="36">
        <f>IF(AND(CR$4&gt;Resumen_Sprints!$E$11,CR$4&lt;=Resumen_Sprints!$E$11+Resumen_Sprints!$D$11),INDEX('Sprint N°6'!$C$8:$N$8,CR$4-Resumen_Sprints!$E$11),0)</f>
        <v>0</v>
      </c>
      <c r="CS36" s="36">
        <f>IF(AND(CS$4&gt;Resumen_Sprints!$E$11,CS$4&lt;=Resumen_Sprints!$E$11+Resumen_Sprints!$D$11),INDEX('Sprint N°6'!$C$8:$N$8,CS$4-Resumen_Sprints!$E$11),0)</f>
        <v>0</v>
      </c>
      <c r="CT36" s="36">
        <f>IF(AND(CT$4&gt;Resumen_Sprints!$E$11,CT$4&lt;=Resumen_Sprints!$E$11+Resumen_Sprints!$D$11),INDEX('Sprint N°6'!$C$8:$N$8,CT$4-Resumen_Sprints!$E$11),0)</f>
        <v>0</v>
      </c>
      <c r="CU36" s="10">
        <f>SUM(C36:CT36)</f>
        <v>13</v>
      </c>
    </row>
    <row r="37" spans="1:99" x14ac:dyDescent="0.3">
      <c r="A37" s="22" t="str">
        <f>'Sprint N°6'!A9</f>
        <v>Integración del Sistema</v>
      </c>
      <c r="B37" s="22">
        <f>'Sprint N°6'!B9</f>
        <v>30</v>
      </c>
      <c r="C37" s="36">
        <f>IF(AND(C$4&gt;Resumen_Sprints!$E$11,C$4&lt;=Resumen_Sprints!$E$11+Resumen_Sprints!$D$11),INDEX('Sprint N°6'!$C$9:$N$9,C$4-Resumen_Sprints!$E$11),0)</f>
        <v>0</v>
      </c>
      <c r="D37" s="36">
        <f>IF(AND(D$4&gt;Resumen_Sprints!$E$11,D$4&lt;=Resumen_Sprints!$E$11+Resumen_Sprints!$D$11),INDEX('Sprint N°6'!$C$9:$N$9,D$4-Resumen_Sprints!$E$11),0)</f>
        <v>0</v>
      </c>
      <c r="E37" s="36">
        <f>IF(AND(E$4&gt;Resumen_Sprints!$E$11,E$4&lt;=Resumen_Sprints!$E$11+Resumen_Sprints!$D$11),INDEX('Sprint N°6'!$C$9:$N$9,E$4-Resumen_Sprints!$E$11),0)</f>
        <v>0</v>
      </c>
      <c r="F37" s="36">
        <f>IF(AND(F$4&gt;Resumen_Sprints!$E$11,F$4&lt;=Resumen_Sprints!$E$11+Resumen_Sprints!$D$11),INDEX('Sprint N°6'!$C$9:$N$9,F$4-Resumen_Sprints!$E$11),0)</f>
        <v>0</v>
      </c>
      <c r="G37" s="36">
        <f>IF(AND(G$4&gt;Resumen_Sprints!$E$11,G$4&lt;=Resumen_Sprints!$E$11+Resumen_Sprints!$D$11),INDEX('Sprint N°6'!$C$9:$N$9,G$4-Resumen_Sprints!$E$11),0)</f>
        <v>0</v>
      </c>
      <c r="H37" s="36">
        <f>IF(AND(H$4&gt;Resumen_Sprints!$E$11,H$4&lt;=Resumen_Sprints!$E$11+Resumen_Sprints!$D$11),INDEX('Sprint N°6'!$C$9:$N$9,H$4-Resumen_Sprints!$E$11),0)</f>
        <v>0</v>
      </c>
      <c r="I37" s="36">
        <f>IF(AND(I$4&gt;Resumen_Sprints!$E$11,I$4&lt;=Resumen_Sprints!$E$11+Resumen_Sprints!$D$11),INDEX('Sprint N°6'!$C$9:$N$9,I$4-Resumen_Sprints!$E$11),0)</f>
        <v>0</v>
      </c>
      <c r="J37" s="36">
        <f>IF(AND(J$4&gt;Resumen_Sprints!$E$11,J$4&lt;=Resumen_Sprints!$E$11+Resumen_Sprints!$D$11),INDEX('Sprint N°6'!$C$9:$N$9,J$4-Resumen_Sprints!$E$11),0)</f>
        <v>0</v>
      </c>
      <c r="K37" s="36">
        <f>IF(AND(K$4&gt;Resumen_Sprints!$E$11,K$4&lt;=Resumen_Sprints!$E$11+Resumen_Sprints!$D$11),INDEX('Sprint N°6'!$C$9:$N$9,K$4-Resumen_Sprints!$E$11),0)</f>
        <v>0</v>
      </c>
      <c r="L37" s="36">
        <f>IF(AND(L$4&gt;Resumen_Sprints!$E$11,L$4&lt;=Resumen_Sprints!$E$11+Resumen_Sprints!$D$11),INDEX('Sprint N°6'!$C$9:$N$9,L$4-Resumen_Sprints!$E$11),0)</f>
        <v>0</v>
      </c>
      <c r="M37" s="36">
        <f>IF(AND(M$4&gt;Resumen_Sprints!$E$11,M$4&lt;=Resumen_Sprints!$E$11+Resumen_Sprints!$D$11),INDEX('Sprint N°6'!$C$9:$N$9,M$4-Resumen_Sprints!$E$11),0)</f>
        <v>0</v>
      </c>
      <c r="N37" s="36">
        <f>IF(AND(N$4&gt;Resumen_Sprints!$E$11,N$4&lt;=Resumen_Sprints!$E$11+Resumen_Sprints!$D$11),INDEX('Sprint N°6'!$C$9:$N$9,N$4-Resumen_Sprints!$E$11),0)</f>
        <v>0</v>
      </c>
      <c r="O37" s="36">
        <f>IF(AND(O$4&gt;Resumen_Sprints!$E$11,O$4&lt;=Resumen_Sprints!$E$11+Resumen_Sprints!$D$11),INDEX('Sprint N°6'!$C$9:$N$9,O$4-Resumen_Sprints!$E$11),0)</f>
        <v>0</v>
      </c>
      <c r="P37" s="36">
        <f>IF(AND(P$4&gt;Resumen_Sprints!$E$11,P$4&lt;=Resumen_Sprints!$E$11+Resumen_Sprints!$D$11),INDEX('Sprint N°6'!$C$9:$N$9,P$4-Resumen_Sprints!$E$11),0)</f>
        <v>0</v>
      </c>
      <c r="Q37" s="36">
        <f>IF(AND(Q$4&gt;Resumen_Sprints!$E$11,Q$4&lt;=Resumen_Sprints!$E$11+Resumen_Sprints!$D$11),INDEX('Sprint N°6'!$C$9:$N$9,Q$4-Resumen_Sprints!$E$11),0)</f>
        <v>0</v>
      </c>
      <c r="R37" s="36">
        <f>IF(AND(R$4&gt;Resumen_Sprints!$E$11,R$4&lt;=Resumen_Sprints!$E$11+Resumen_Sprints!$D$11),INDEX('Sprint N°6'!$C$9:$N$9,R$4-Resumen_Sprints!$E$11),0)</f>
        <v>0</v>
      </c>
      <c r="S37" s="36">
        <f>IF(AND(S$4&gt;Resumen_Sprints!$E$11,S$4&lt;=Resumen_Sprints!$E$11+Resumen_Sprints!$D$11),INDEX('Sprint N°6'!$C$9:$N$9,S$4-Resumen_Sprints!$E$11),0)</f>
        <v>0</v>
      </c>
      <c r="T37" s="36">
        <f>IF(AND(T$4&gt;Resumen_Sprints!$E$11,T$4&lt;=Resumen_Sprints!$E$11+Resumen_Sprints!$D$11),INDEX('Sprint N°6'!$C$9:$N$9,T$4-Resumen_Sprints!$E$11),0)</f>
        <v>0</v>
      </c>
      <c r="U37" s="36">
        <f>IF(AND(U$4&gt;Resumen_Sprints!$E$11,U$4&lt;=Resumen_Sprints!$E$11+Resumen_Sprints!$D$11),INDEX('Sprint N°6'!$C$9:$N$9,U$4-Resumen_Sprints!$E$11),0)</f>
        <v>0</v>
      </c>
      <c r="V37" s="36">
        <f>IF(AND(V$4&gt;Resumen_Sprints!$E$11,V$4&lt;=Resumen_Sprints!$E$11+Resumen_Sprints!$D$11),INDEX('Sprint N°6'!$C$9:$N$9,V$4-Resumen_Sprints!$E$11),0)</f>
        <v>0</v>
      </c>
      <c r="W37" s="36">
        <f>IF(AND(W$4&gt;Resumen_Sprints!$E$11,W$4&lt;=Resumen_Sprints!$E$11+Resumen_Sprints!$D$11),INDEX('Sprint N°6'!$C$9:$N$9,W$4-Resumen_Sprints!$E$11),0)</f>
        <v>0</v>
      </c>
      <c r="X37" s="36">
        <f>IF(AND(X$4&gt;Resumen_Sprints!$E$11,X$4&lt;=Resumen_Sprints!$E$11+Resumen_Sprints!$D$11),INDEX('Sprint N°6'!$C$9:$N$9,X$4-Resumen_Sprints!$E$11),0)</f>
        <v>0</v>
      </c>
      <c r="Y37" s="36">
        <f>IF(AND(Y$4&gt;Resumen_Sprints!$E$11,Y$4&lt;=Resumen_Sprints!$E$11+Resumen_Sprints!$D$11),INDEX('Sprint N°6'!$C$9:$N$9,Y$4-Resumen_Sprints!$E$11),0)</f>
        <v>0</v>
      </c>
      <c r="Z37" s="36">
        <f>IF(AND(Z$4&gt;Resumen_Sprints!$E$11,Z$4&lt;=Resumen_Sprints!$E$11+Resumen_Sprints!$D$11),INDEX('Sprint N°6'!$C$9:$N$9,Z$4-Resumen_Sprints!$E$11),0)</f>
        <v>0</v>
      </c>
      <c r="AA37" s="36">
        <f>IF(AND(AA$4&gt;Resumen_Sprints!$E$11,AA$4&lt;=Resumen_Sprints!$E$11+Resumen_Sprints!$D$11),INDEX('Sprint N°6'!$C$9:$N$9,AA$4-Resumen_Sprints!$E$11),0)</f>
        <v>0</v>
      </c>
      <c r="AB37" s="36">
        <f>IF(AND(AB$4&gt;Resumen_Sprints!$E$11,AB$4&lt;=Resumen_Sprints!$E$11+Resumen_Sprints!$D$11),INDEX('Sprint N°6'!$C$9:$N$9,AB$4-Resumen_Sprints!$E$11),0)</f>
        <v>0</v>
      </c>
      <c r="AC37" s="36">
        <f>IF(AND(AC$4&gt;Resumen_Sprints!$E$11,AC$4&lt;=Resumen_Sprints!$E$11+Resumen_Sprints!$D$11),INDEX('Sprint N°6'!$C$9:$N$9,AC$4-Resumen_Sprints!$E$11),0)</f>
        <v>0</v>
      </c>
      <c r="AD37" s="36">
        <f>IF(AND(AD$4&gt;Resumen_Sprints!$E$11,AD$4&lt;=Resumen_Sprints!$E$11+Resumen_Sprints!$D$11),INDEX('Sprint N°6'!$C$9:$N$9,AD$4-Resumen_Sprints!$E$11),0)</f>
        <v>0</v>
      </c>
      <c r="AE37" s="36">
        <f>IF(AND(AE$4&gt;Resumen_Sprints!$E$11,AE$4&lt;=Resumen_Sprints!$E$11+Resumen_Sprints!$D$11),INDEX('Sprint N°6'!$C$9:$N$9,AE$4-Resumen_Sprints!$E$11),0)</f>
        <v>0</v>
      </c>
      <c r="AF37" s="36">
        <f>IF(AND(AF$4&gt;Resumen_Sprints!$E$11,AF$4&lt;=Resumen_Sprints!$E$11+Resumen_Sprints!$D$11),INDEX('Sprint N°6'!$C$9:$N$9,AF$4-Resumen_Sprints!$E$11),0)</f>
        <v>0</v>
      </c>
      <c r="AG37" s="36">
        <f>IF(AND(AG$4&gt;Resumen_Sprints!$E$11,AG$4&lt;=Resumen_Sprints!$E$11+Resumen_Sprints!$D$11),INDEX('Sprint N°6'!$C$9:$N$9,AG$4-Resumen_Sprints!$E$11),0)</f>
        <v>0</v>
      </c>
      <c r="AH37" s="36">
        <f>IF(AND(AH$4&gt;Resumen_Sprints!$E$11,AH$4&lt;=Resumen_Sprints!$E$11+Resumen_Sprints!$D$11),INDEX('Sprint N°6'!$C$9:$N$9,AH$4-Resumen_Sprints!$E$11),0)</f>
        <v>0</v>
      </c>
      <c r="AI37" s="36">
        <f>IF(AND(AI$4&gt;Resumen_Sprints!$E$11,AI$4&lt;=Resumen_Sprints!$E$11+Resumen_Sprints!$D$11),INDEX('Sprint N°6'!$C$9:$N$9,AI$4-Resumen_Sprints!$E$11),0)</f>
        <v>0</v>
      </c>
      <c r="AJ37" s="36">
        <f>IF(AND(AJ$4&gt;Resumen_Sprints!$E$11,AJ$4&lt;=Resumen_Sprints!$E$11+Resumen_Sprints!$D$11),INDEX('Sprint N°6'!$C$9:$N$9,AJ$4-Resumen_Sprints!$E$11),0)</f>
        <v>0</v>
      </c>
      <c r="AK37" s="36">
        <f>IF(AND(AK$4&gt;Resumen_Sprints!$E$11,AK$4&lt;=Resumen_Sprints!$E$11+Resumen_Sprints!$D$11),INDEX('Sprint N°6'!$C$9:$N$9,AK$4-Resumen_Sprints!$E$11),0)</f>
        <v>0</v>
      </c>
      <c r="AL37" s="36">
        <f>IF(AND(AL$4&gt;Resumen_Sprints!$E$11,AL$4&lt;=Resumen_Sprints!$E$11+Resumen_Sprints!$D$11),INDEX('Sprint N°6'!$C$9:$N$9,AL$4-Resumen_Sprints!$E$11),0)</f>
        <v>0</v>
      </c>
      <c r="AM37" s="36">
        <f>IF(AND(AM$4&gt;Resumen_Sprints!$E$11,AM$4&lt;=Resumen_Sprints!$E$11+Resumen_Sprints!$D$11),INDEX('Sprint N°6'!$C$9:$N$9,AM$4-Resumen_Sprints!$E$11),0)</f>
        <v>0</v>
      </c>
      <c r="AN37" s="36">
        <f>IF(AND(AN$4&gt;Resumen_Sprints!$E$11,AN$4&lt;=Resumen_Sprints!$E$11+Resumen_Sprints!$D$11),INDEX('Sprint N°6'!$C$9:$N$9,AN$4-Resumen_Sprints!$E$11),0)</f>
        <v>0</v>
      </c>
      <c r="AO37" s="36">
        <f>IF(AND(AO$4&gt;Resumen_Sprints!$E$11,AO$4&lt;=Resumen_Sprints!$E$11+Resumen_Sprints!$D$11),INDEX('Sprint N°6'!$C$9:$N$9,AO$4-Resumen_Sprints!$E$11),0)</f>
        <v>0</v>
      </c>
      <c r="AP37" s="36">
        <f>IF(AND(AP$4&gt;Resumen_Sprints!$E$11,AP$4&lt;=Resumen_Sprints!$E$11+Resumen_Sprints!$D$11),INDEX('Sprint N°6'!$C$9:$N$9,AP$4-Resumen_Sprints!$E$11),0)</f>
        <v>0</v>
      </c>
      <c r="AQ37" s="36">
        <f>IF(AND(AQ$4&gt;Resumen_Sprints!$E$11,AQ$4&lt;=Resumen_Sprints!$E$11+Resumen_Sprints!$D$11),INDEX('Sprint N°6'!$C$9:$N$9,AQ$4-Resumen_Sprints!$E$11),0)</f>
        <v>0</v>
      </c>
      <c r="AR37" s="36">
        <f>IF(AND(AR$4&gt;Resumen_Sprints!$E$11,AR$4&lt;=Resumen_Sprints!$E$11+Resumen_Sprints!$D$11),INDEX('Sprint N°6'!$C$9:$N$9,AR$4-Resumen_Sprints!$E$11),0)</f>
        <v>0</v>
      </c>
      <c r="AS37" s="36">
        <f>IF(AND(AS$4&gt;Resumen_Sprints!$E$11,AS$4&lt;=Resumen_Sprints!$E$11+Resumen_Sprints!$D$11),INDEX('Sprint N°6'!$C$9:$N$9,AS$4-Resumen_Sprints!$E$11),0)</f>
        <v>0</v>
      </c>
      <c r="AT37" s="36">
        <f>IF(AND(AT$4&gt;Resumen_Sprints!$E$11,AT$4&lt;=Resumen_Sprints!$E$11+Resumen_Sprints!$D$11),INDEX('Sprint N°6'!$C$9:$N$9,AT$4-Resumen_Sprints!$E$11),0)</f>
        <v>0</v>
      </c>
      <c r="AU37" s="36">
        <f>IF(AND(AU$4&gt;Resumen_Sprints!$E$11,AU$4&lt;=Resumen_Sprints!$E$11+Resumen_Sprints!$D$11),INDEX('Sprint N°6'!$C$9:$N$9,AU$4-Resumen_Sprints!$E$11),0)</f>
        <v>0</v>
      </c>
      <c r="AV37" s="36">
        <f>IF(AND(AV$4&gt;Resumen_Sprints!$E$11,AV$4&lt;=Resumen_Sprints!$E$11+Resumen_Sprints!$D$11),INDEX('Sprint N°6'!$C$9:$N$9,AV$4-Resumen_Sprints!$E$11),0)</f>
        <v>0</v>
      </c>
      <c r="AW37" s="36">
        <f>IF(AND(AW$4&gt;Resumen_Sprints!$E$11,AW$4&lt;=Resumen_Sprints!$E$11+Resumen_Sprints!$D$11),INDEX('Sprint N°6'!$C$9:$N$9,AW$4-Resumen_Sprints!$E$11),0)</f>
        <v>0</v>
      </c>
      <c r="AX37" s="36">
        <f>IF(AND(AX$4&gt;Resumen_Sprints!$E$11,AX$4&lt;=Resumen_Sprints!$E$11+Resumen_Sprints!$D$11),INDEX('Sprint N°6'!$C$9:$N$9,AX$4-Resumen_Sprints!$E$11),0)</f>
        <v>0</v>
      </c>
      <c r="AY37" s="36">
        <f>IF(AND(AY$4&gt;Resumen_Sprints!$E$11,AY$4&lt;=Resumen_Sprints!$E$11+Resumen_Sprints!$D$11),INDEX('Sprint N°6'!$C$9:$N$9,AY$4-Resumen_Sprints!$E$11),0)</f>
        <v>0</v>
      </c>
      <c r="AZ37" s="36">
        <f>IF(AND(AZ$4&gt;Resumen_Sprints!$E$11,AZ$4&lt;=Resumen_Sprints!$E$11+Resumen_Sprints!$D$11),INDEX('Sprint N°6'!$C$9:$N$9,AZ$4-Resumen_Sprints!$E$11),0)</f>
        <v>0</v>
      </c>
      <c r="BA37" s="36">
        <f>IF(AND(BA$4&gt;Resumen_Sprints!$E$11,BA$4&lt;=Resumen_Sprints!$E$11+Resumen_Sprints!$D$11),INDEX('Sprint N°6'!$C$9:$N$9,BA$4-Resumen_Sprints!$E$11),0)</f>
        <v>0</v>
      </c>
      <c r="BB37" s="36">
        <f>IF(AND(BB$4&gt;Resumen_Sprints!$E$11,BB$4&lt;=Resumen_Sprints!$E$11+Resumen_Sprints!$D$11),INDEX('Sprint N°6'!$C$9:$N$9,BB$4-Resumen_Sprints!$E$11),0)</f>
        <v>0</v>
      </c>
      <c r="BC37" s="36">
        <f>IF(AND(BC$4&gt;Resumen_Sprints!$E$11,BC$4&lt;=Resumen_Sprints!$E$11+Resumen_Sprints!$D$11),INDEX('Sprint N°6'!$C$9:$N$9,BC$4-Resumen_Sprints!$E$11),0)</f>
        <v>0</v>
      </c>
      <c r="BD37" s="36">
        <f>IF(AND(BD$4&gt;Resumen_Sprints!$E$11,BD$4&lt;=Resumen_Sprints!$E$11+Resumen_Sprints!$D$11),INDEX('Sprint N°6'!$C$9:$N$9,BD$4-Resumen_Sprints!$E$11),0)</f>
        <v>0</v>
      </c>
      <c r="BE37" s="36">
        <f>IF(AND(BE$4&gt;Resumen_Sprints!$E$11,BE$4&lt;=Resumen_Sprints!$E$11+Resumen_Sprints!$D$11),INDEX('Sprint N°6'!$C$9:$N$9,BE$4-Resumen_Sprints!$E$11),0)</f>
        <v>0</v>
      </c>
      <c r="BF37" s="36">
        <f>IF(AND(BF$4&gt;Resumen_Sprints!$E$11,BF$4&lt;=Resumen_Sprints!$E$11+Resumen_Sprints!$D$11),INDEX('Sprint N°6'!$C$9:$N$9,BF$4-Resumen_Sprints!$E$11),0)</f>
        <v>0</v>
      </c>
      <c r="BG37" s="36">
        <f>IF(AND(BG$4&gt;Resumen_Sprints!$E$11,BG$4&lt;=Resumen_Sprints!$E$11+Resumen_Sprints!$D$11),INDEX('Sprint N°6'!$C$9:$N$9,BG$4-Resumen_Sprints!$E$11),0)</f>
        <v>0</v>
      </c>
      <c r="BH37" s="36">
        <f>IF(AND(BH$4&gt;Resumen_Sprints!$E$11,BH$4&lt;=Resumen_Sprints!$E$11+Resumen_Sprints!$D$11),INDEX('Sprint N°6'!$C$9:$N$9,BH$4-Resumen_Sprints!$E$11),0)</f>
        <v>0</v>
      </c>
      <c r="BI37" s="36">
        <f>IF(AND(BI$4&gt;Resumen_Sprints!$E$11,BI$4&lt;=Resumen_Sprints!$E$11+Resumen_Sprints!$D$11),INDEX('Sprint N°6'!$C$9:$N$9,BI$4-Resumen_Sprints!$E$11),0)</f>
        <v>0</v>
      </c>
      <c r="BJ37" s="36">
        <f>IF(AND(BJ$4&gt;Resumen_Sprints!$E$11,BJ$4&lt;=Resumen_Sprints!$E$11+Resumen_Sprints!$D$11),INDEX('Sprint N°6'!$C$9:$N$9,BJ$4-Resumen_Sprints!$E$11),0)</f>
        <v>0</v>
      </c>
      <c r="BK37" s="36">
        <f>IF(AND(BK$4&gt;Resumen_Sprints!$E$11,BK$4&lt;=Resumen_Sprints!$E$11+Resumen_Sprints!$D$11),INDEX('Sprint N°6'!$C$9:$N$9,BK$4-Resumen_Sprints!$E$11),0)</f>
        <v>10</v>
      </c>
      <c r="BL37" s="36">
        <f>IF(AND(BL$4&gt;Resumen_Sprints!$E$11,BL$4&lt;=Resumen_Sprints!$E$11+Resumen_Sprints!$D$11),INDEX('Sprint N°6'!$C$9:$N$9,BL$4-Resumen_Sprints!$E$11),0)</f>
        <v>12</v>
      </c>
      <c r="BM37" s="36">
        <f>IF(AND(BM$4&gt;Resumen_Sprints!$E$11,BM$4&lt;=Resumen_Sprints!$E$11+Resumen_Sprints!$D$11),INDEX('Sprint N°6'!$C$9:$N$9,BM$4-Resumen_Sprints!$E$11),0)</f>
        <v>6</v>
      </c>
      <c r="BN37" s="36">
        <f>IF(AND(BN$4&gt;Resumen_Sprints!$E$11,BN$4&lt;=Resumen_Sprints!$E$11+Resumen_Sprints!$D$11),INDEX('Sprint N°6'!$C$9:$N$9,BN$4-Resumen_Sprints!$E$11),0)</f>
        <v>10</v>
      </c>
      <c r="BO37" s="36">
        <f>IF(AND(BO$4&gt;Resumen_Sprints!$E$11,BO$4&lt;=Resumen_Sprints!$E$11+Resumen_Sprints!$D$11),INDEX('Sprint N°6'!$C$9:$N$9,BO$4-Resumen_Sprints!$E$11),0)</f>
        <v>0</v>
      </c>
      <c r="BP37" s="36">
        <f>IF(AND(BP$4&gt;Resumen_Sprints!$E$11,BP$4&lt;=Resumen_Sprints!$E$11+Resumen_Sprints!$D$11),INDEX('Sprint N°6'!$C$9:$N$9,BP$4-Resumen_Sprints!$E$11),0)</f>
        <v>0</v>
      </c>
      <c r="BQ37" s="36">
        <f>IF(AND(BQ$4&gt;Resumen_Sprints!$E$11,BQ$4&lt;=Resumen_Sprints!$E$11+Resumen_Sprints!$D$11),INDEX('Sprint N°6'!$C$9:$N$9,BQ$4-Resumen_Sprints!$E$11),0)</f>
        <v>0</v>
      </c>
      <c r="BR37" s="36">
        <f>IF(AND(BR$4&gt;Resumen_Sprints!$E$11,BR$4&lt;=Resumen_Sprints!$E$11+Resumen_Sprints!$D$11),INDEX('Sprint N°6'!$C$9:$N$9,BR$4-Resumen_Sprints!$E$11),0)</f>
        <v>0</v>
      </c>
      <c r="BS37" s="36">
        <f>IF(AND(BS$4&gt;Resumen_Sprints!$E$11,BS$4&lt;=Resumen_Sprints!$E$11+Resumen_Sprints!$D$11),INDEX('Sprint N°6'!$C$9:$N$9,BS$4-Resumen_Sprints!$E$11),0)</f>
        <v>0</v>
      </c>
      <c r="BT37" s="36">
        <f>IF(AND(BT$4&gt;Resumen_Sprints!$E$11,BT$4&lt;=Resumen_Sprints!$E$11+Resumen_Sprints!$D$11),INDEX('Sprint N°6'!$C$9:$N$9,BT$4-Resumen_Sprints!$E$11),0)</f>
        <v>0</v>
      </c>
      <c r="BU37" s="36">
        <f>IF(AND(BU$4&gt;Resumen_Sprints!$E$11,BU$4&lt;=Resumen_Sprints!$E$11+Resumen_Sprints!$D$11),INDEX('Sprint N°6'!$C$9:$N$9,BU$4-Resumen_Sprints!$E$11),0)</f>
        <v>0</v>
      </c>
      <c r="BV37" s="36">
        <f>IF(AND(BV$4&gt;Resumen_Sprints!$E$11,BV$4&lt;=Resumen_Sprints!$E$11+Resumen_Sprints!$D$11),INDEX('Sprint N°6'!$C$9:$N$9,BV$4-Resumen_Sprints!$E$11),0)</f>
        <v>0</v>
      </c>
      <c r="BW37" s="36">
        <f>IF(AND(BW$4&gt;Resumen_Sprints!$E$11,BW$4&lt;=Resumen_Sprints!$E$11+Resumen_Sprints!$D$11),INDEX('Sprint N°6'!$C$9:$N$9,BW$4-Resumen_Sprints!$E$11),0)</f>
        <v>0</v>
      </c>
      <c r="BX37" s="36">
        <f>IF(AND(BX$4&gt;Resumen_Sprints!$E$11,BX$4&lt;=Resumen_Sprints!$E$11+Resumen_Sprints!$D$11),INDEX('Sprint N°6'!$C$9:$N$9,BX$4-Resumen_Sprints!$E$11),0)</f>
        <v>0</v>
      </c>
      <c r="BY37" s="36">
        <f>IF(AND(BY$4&gt;Resumen_Sprints!$E$11,BY$4&lt;=Resumen_Sprints!$E$11+Resumen_Sprints!$D$11),INDEX('Sprint N°6'!$C$9:$N$9,BY$4-Resumen_Sprints!$E$11),0)</f>
        <v>0</v>
      </c>
      <c r="BZ37" s="36">
        <f>IF(AND(BZ$4&gt;Resumen_Sprints!$E$11,BZ$4&lt;=Resumen_Sprints!$E$11+Resumen_Sprints!$D$11),INDEX('Sprint N°6'!$C$9:$N$9,BZ$4-Resumen_Sprints!$E$11),0)</f>
        <v>0</v>
      </c>
      <c r="CA37" s="36">
        <f>IF(AND(CA$4&gt;Resumen_Sprints!$E$11,CA$4&lt;=Resumen_Sprints!$E$11+Resumen_Sprints!$D$11),INDEX('Sprint N°6'!$C$9:$N$9,CA$4-Resumen_Sprints!$E$11),0)</f>
        <v>0</v>
      </c>
      <c r="CB37" s="36">
        <f>IF(AND(CB$4&gt;Resumen_Sprints!$E$11,CB$4&lt;=Resumen_Sprints!$E$11+Resumen_Sprints!$D$11),INDEX('Sprint N°6'!$C$9:$N$9,CB$4-Resumen_Sprints!$E$11),0)</f>
        <v>0</v>
      </c>
      <c r="CC37" s="36">
        <f>IF(AND(CC$4&gt;Resumen_Sprints!$E$11,CC$4&lt;=Resumen_Sprints!$E$11+Resumen_Sprints!$D$11),INDEX('Sprint N°6'!$C$9:$N$9,CC$4-Resumen_Sprints!$E$11),0)</f>
        <v>0</v>
      </c>
      <c r="CD37" s="36">
        <f>IF(AND(CD$4&gt;Resumen_Sprints!$E$11,CD$4&lt;=Resumen_Sprints!$E$11+Resumen_Sprints!$D$11),INDEX('Sprint N°6'!$C$9:$N$9,CD$4-Resumen_Sprints!$E$11),0)</f>
        <v>0</v>
      </c>
      <c r="CE37" s="36">
        <f>IF(AND(CE$4&gt;Resumen_Sprints!$E$11,CE$4&lt;=Resumen_Sprints!$E$11+Resumen_Sprints!$D$11),INDEX('Sprint N°6'!$C$9:$N$9,CE$4-Resumen_Sprints!$E$11),0)</f>
        <v>0</v>
      </c>
      <c r="CF37" s="36">
        <f>IF(AND(CF$4&gt;Resumen_Sprints!$E$11,CF$4&lt;=Resumen_Sprints!$E$11+Resumen_Sprints!$D$11),INDEX('Sprint N°6'!$C$9:$N$9,CF$4-Resumen_Sprints!$E$11),0)</f>
        <v>0</v>
      </c>
      <c r="CG37" s="36">
        <f>IF(AND(CG$4&gt;Resumen_Sprints!$E$11,CG$4&lt;=Resumen_Sprints!$E$11+Resumen_Sprints!$D$11),INDEX('Sprint N°6'!$C$9:$N$9,CG$4-Resumen_Sprints!$E$11),0)</f>
        <v>0</v>
      </c>
      <c r="CH37" s="36">
        <f>IF(AND(CH$4&gt;Resumen_Sprints!$E$11,CH$4&lt;=Resumen_Sprints!$E$11+Resumen_Sprints!$D$11),INDEX('Sprint N°6'!$C$9:$N$9,CH$4-Resumen_Sprints!$E$11),0)</f>
        <v>0</v>
      </c>
      <c r="CI37" s="36">
        <f>IF(AND(CI$4&gt;Resumen_Sprints!$E$11,CI$4&lt;=Resumen_Sprints!$E$11+Resumen_Sprints!$D$11),INDEX('Sprint N°6'!$C$9:$N$9,CI$4-Resumen_Sprints!$E$11),0)</f>
        <v>0</v>
      </c>
      <c r="CJ37" s="36">
        <f>IF(AND(CJ$4&gt;Resumen_Sprints!$E$11,CJ$4&lt;=Resumen_Sprints!$E$11+Resumen_Sprints!$D$11),INDEX('Sprint N°6'!$C$9:$N$9,CJ$4-Resumen_Sprints!$E$11),0)</f>
        <v>0</v>
      </c>
      <c r="CK37" s="36">
        <f>IF(AND(CK$4&gt;Resumen_Sprints!$E$11,CK$4&lt;=Resumen_Sprints!$E$11+Resumen_Sprints!$D$11),INDEX('Sprint N°6'!$C$9:$N$9,CK$4-Resumen_Sprints!$E$11),0)</f>
        <v>0</v>
      </c>
      <c r="CL37" s="36">
        <f>IF(AND(CL$4&gt;Resumen_Sprints!$E$11,CL$4&lt;=Resumen_Sprints!$E$11+Resumen_Sprints!$D$11),INDEX('Sprint N°6'!$C$9:$N$9,CL$4-Resumen_Sprints!$E$11),0)</f>
        <v>0</v>
      </c>
      <c r="CM37" s="36">
        <f>IF(AND(CM$4&gt;Resumen_Sprints!$E$11,CM$4&lt;=Resumen_Sprints!$E$11+Resumen_Sprints!$D$11),INDEX('Sprint N°6'!$C$9:$N$9,CM$4-Resumen_Sprints!$E$11),0)</f>
        <v>0</v>
      </c>
      <c r="CN37" s="36">
        <f>IF(AND(CN$4&gt;Resumen_Sprints!$E$11,CN$4&lt;=Resumen_Sprints!$E$11+Resumen_Sprints!$D$11),INDEX('Sprint N°6'!$C$9:$N$9,CN$4-Resumen_Sprints!$E$11),0)</f>
        <v>0</v>
      </c>
      <c r="CO37" s="36">
        <f>IF(AND(CO$4&gt;Resumen_Sprints!$E$11,CO$4&lt;=Resumen_Sprints!$E$11+Resumen_Sprints!$D$11),INDEX('Sprint N°6'!$C$9:$N$9,CO$4-Resumen_Sprints!$E$11),0)</f>
        <v>0</v>
      </c>
      <c r="CP37" s="36">
        <f>IF(AND(CP$4&gt;Resumen_Sprints!$E$11,CP$4&lt;=Resumen_Sprints!$E$11+Resumen_Sprints!$D$11),INDEX('Sprint N°6'!$C$9:$N$9,CP$4-Resumen_Sprints!$E$11),0)</f>
        <v>0</v>
      </c>
      <c r="CQ37" s="36">
        <f>IF(AND(CQ$4&gt;Resumen_Sprints!$E$11,CQ$4&lt;=Resumen_Sprints!$E$11+Resumen_Sprints!$D$11),INDEX('Sprint N°6'!$C$9:$N$9,CQ$4-Resumen_Sprints!$E$11),0)</f>
        <v>0</v>
      </c>
      <c r="CR37" s="36">
        <f>IF(AND(CR$4&gt;Resumen_Sprints!$E$11,CR$4&lt;=Resumen_Sprints!$E$11+Resumen_Sprints!$D$11),INDEX('Sprint N°6'!$C$9:$N$9,CR$4-Resumen_Sprints!$E$11),0)</f>
        <v>0</v>
      </c>
      <c r="CS37" s="36">
        <f>IF(AND(CS$4&gt;Resumen_Sprints!$E$11,CS$4&lt;=Resumen_Sprints!$E$11+Resumen_Sprints!$D$11),INDEX('Sprint N°6'!$C$9:$N$9,CS$4-Resumen_Sprints!$E$11),0)</f>
        <v>0</v>
      </c>
      <c r="CT37" s="36">
        <f>IF(AND(CT$4&gt;Resumen_Sprints!$E$11,CT$4&lt;=Resumen_Sprints!$E$11+Resumen_Sprints!$D$11),INDEX('Sprint N°6'!$C$9:$N$9,CT$4-Resumen_Sprints!$E$11),0)</f>
        <v>0</v>
      </c>
      <c r="CU37" s="10">
        <f>SUM(C37:CT37)</f>
        <v>38</v>
      </c>
    </row>
    <row r="38" spans="1:99" x14ac:dyDescent="0.3">
      <c r="A38" s="22" t="str">
        <f>'Sprint N°6'!A10</f>
        <v>Ceremonias Scrum (Planning, Review, Retrospectiva; en paralelo)</v>
      </c>
      <c r="B38" s="22">
        <f>'Sprint N°6'!B10</f>
        <v>61</v>
      </c>
      <c r="C38" s="36">
        <f>IF(AND(C$4&gt;Resumen_Sprints!$E$11,C$4&lt;=Resumen_Sprints!$E$11+Resumen_Sprints!$D$11),INDEX('Sprint N°6'!$C$10:$N$10,C$4-Resumen_Sprints!$E$11),0)</f>
        <v>0</v>
      </c>
      <c r="D38" s="36">
        <f>IF(AND(D$4&gt;Resumen_Sprints!$E$11,D$4&lt;=Resumen_Sprints!$E$11+Resumen_Sprints!$D$11),INDEX('Sprint N°6'!$C$10:$N$10,D$4-Resumen_Sprints!$E$11),0)</f>
        <v>0</v>
      </c>
      <c r="E38" s="36">
        <f>IF(AND(E$4&gt;Resumen_Sprints!$E$11,E$4&lt;=Resumen_Sprints!$E$11+Resumen_Sprints!$D$11),INDEX('Sprint N°6'!$C$10:$N$10,E$4-Resumen_Sprints!$E$11),0)</f>
        <v>0</v>
      </c>
      <c r="F38" s="36">
        <f>IF(AND(F$4&gt;Resumen_Sprints!$E$11,F$4&lt;=Resumen_Sprints!$E$11+Resumen_Sprints!$D$11),INDEX('Sprint N°6'!$C$10:$N$10,F$4-Resumen_Sprints!$E$11),0)</f>
        <v>0</v>
      </c>
      <c r="G38" s="36">
        <f>IF(AND(G$4&gt;Resumen_Sprints!$E$11,G$4&lt;=Resumen_Sprints!$E$11+Resumen_Sprints!$D$11),INDEX('Sprint N°6'!$C$10:$N$10,G$4-Resumen_Sprints!$E$11),0)</f>
        <v>0</v>
      </c>
      <c r="H38" s="36">
        <f>IF(AND(H$4&gt;Resumen_Sprints!$E$11,H$4&lt;=Resumen_Sprints!$E$11+Resumen_Sprints!$D$11),INDEX('Sprint N°6'!$C$10:$N$10,H$4-Resumen_Sprints!$E$11),0)</f>
        <v>0</v>
      </c>
      <c r="I38" s="36">
        <f>IF(AND(I$4&gt;Resumen_Sprints!$E$11,I$4&lt;=Resumen_Sprints!$E$11+Resumen_Sprints!$D$11),INDEX('Sprint N°6'!$C$10:$N$10,I$4-Resumen_Sprints!$E$11),0)</f>
        <v>0</v>
      </c>
      <c r="J38" s="36">
        <f>IF(AND(J$4&gt;Resumen_Sprints!$E$11,J$4&lt;=Resumen_Sprints!$E$11+Resumen_Sprints!$D$11),INDEX('Sprint N°6'!$C$10:$N$10,J$4-Resumen_Sprints!$E$11),0)</f>
        <v>0</v>
      </c>
      <c r="K38" s="36">
        <f>IF(AND(K$4&gt;Resumen_Sprints!$E$11,K$4&lt;=Resumen_Sprints!$E$11+Resumen_Sprints!$D$11),INDEX('Sprint N°6'!$C$10:$N$10,K$4-Resumen_Sprints!$E$11),0)</f>
        <v>0</v>
      </c>
      <c r="L38" s="36">
        <f>IF(AND(L$4&gt;Resumen_Sprints!$E$11,L$4&lt;=Resumen_Sprints!$E$11+Resumen_Sprints!$D$11),INDEX('Sprint N°6'!$C$10:$N$10,L$4-Resumen_Sprints!$E$11),0)</f>
        <v>0</v>
      </c>
      <c r="M38" s="36">
        <f>IF(AND(M$4&gt;Resumen_Sprints!$E$11,M$4&lt;=Resumen_Sprints!$E$11+Resumen_Sprints!$D$11),INDEX('Sprint N°6'!$C$10:$N$10,M$4-Resumen_Sprints!$E$11),0)</f>
        <v>0</v>
      </c>
      <c r="N38" s="36">
        <f>IF(AND(N$4&gt;Resumen_Sprints!$E$11,N$4&lt;=Resumen_Sprints!$E$11+Resumen_Sprints!$D$11),INDEX('Sprint N°6'!$C$10:$N$10,N$4-Resumen_Sprints!$E$11),0)</f>
        <v>0</v>
      </c>
      <c r="O38" s="36">
        <f>IF(AND(O$4&gt;Resumen_Sprints!$E$11,O$4&lt;=Resumen_Sprints!$E$11+Resumen_Sprints!$D$11),INDEX('Sprint N°6'!$C$10:$N$10,O$4-Resumen_Sprints!$E$11),0)</f>
        <v>0</v>
      </c>
      <c r="P38" s="36">
        <f>IF(AND(P$4&gt;Resumen_Sprints!$E$11,P$4&lt;=Resumen_Sprints!$E$11+Resumen_Sprints!$D$11),INDEX('Sprint N°6'!$C$10:$N$10,P$4-Resumen_Sprints!$E$11),0)</f>
        <v>0</v>
      </c>
      <c r="Q38" s="36">
        <f>IF(AND(Q$4&gt;Resumen_Sprints!$E$11,Q$4&lt;=Resumen_Sprints!$E$11+Resumen_Sprints!$D$11),INDEX('Sprint N°6'!$C$10:$N$10,Q$4-Resumen_Sprints!$E$11),0)</f>
        <v>0</v>
      </c>
      <c r="R38" s="36">
        <f>IF(AND(R$4&gt;Resumen_Sprints!$E$11,R$4&lt;=Resumen_Sprints!$E$11+Resumen_Sprints!$D$11),INDEX('Sprint N°6'!$C$10:$N$10,R$4-Resumen_Sprints!$E$11),0)</f>
        <v>0</v>
      </c>
      <c r="S38" s="36">
        <f>IF(AND(S$4&gt;Resumen_Sprints!$E$11,S$4&lt;=Resumen_Sprints!$E$11+Resumen_Sprints!$D$11),INDEX('Sprint N°6'!$C$10:$N$10,S$4-Resumen_Sprints!$E$11),0)</f>
        <v>0</v>
      </c>
      <c r="T38" s="36">
        <f>IF(AND(T$4&gt;Resumen_Sprints!$E$11,T$4&lt;=Resumen_Sprints!$E$11+Resumen_Sprints!$D$11),INDEX('Sprint N°6'!$C$10:$N$10,T$4-Resumen_Sprints!$E$11),0)</f>
        <v>0</v>
      </c>
      <c r="U38" s="36">
        <f>IF(AND(U$4&gt;Resumen_Sprints!$E$11,U$4&lt;=Resumen_Sprints!$E$11+Resumen_Sprints!$D$11),INDEX('Sprint N°6'!$C$10:$N$10,U$4-Resumen_Sprints!$E$11),0)</f>
        <v>0</v>
      </c>
      <c r="V38" s="36">
        <f>IF(AND(V$4&gt;Resumen_Sprints!$E$11,V$4&lt;=Resumen_Sprints!$E$11+Resumen_Sprints!$D$11),INDEX('Sprint N°6'!$C$10:$N$10,V$4-Resumen_Sprints!$E$11),0)</f>
        <v>0</v>
      </c>
      <c r="W38" s="36">
        <f>IF(AND(W$4&gt;Resumen_Sprints!$E$11,W$4&lt;=Resumen_Sprints!$E$11+Resumen_Sprints!$D$11),INDEX('Sprint N°6'!$C$10:$N$10,W$4-Resumen_Sprints!$E$11),0)</f>
        <v>0</v>
      </c>
      <c r="X38" s="36">
        <f>IF(AND(X$4&gt;Resumen_Sprints!$E$11,X$4&lt;=Resumen_Sprints!$E$11+Resumen_Sprints!$D$11),INDEX('Sprint N°6'!$C$10:$N$10,X$4-Resumen_Sprints!$E$11),0)</f>
        <v>0</v>
      </c>
      <c r="Y38" s="36">
        <f>IF(AND(Y$4&gt;Resumen_Sprints!$E$11,Y$4&lt;=Resumen_Sprints!$E$11+Resumen_Sprints!$D$11),INDEX('Sprint N°6'!$C$10:$N$10,Y$4-Resumen_Sprints!$E$11),0)</f>
        <v>0</v>
      </c>
      <c r="Z38" s="36">
        <f>IF(AND(Z$4&gt;Resumen_Sprints!$E$11,Z$4&lt;=Resumen_Sprints!$E$11+Resumen_Sprints!$D$11),INDEX('Sprint N°6'!$C$10:$N$10,Z$4-Resumen_Sprints!$E$11),0)</f>
        <v>0</v>
      </c>
      <c r="AA38" s="36">
        <f>IF(AND(AA$4&gt;Resumen_Sprints!$E$11,AA$4&lt;=Resumen_Sprints!$E$11+Resumen_Sprints!$D$11),INDEX('Sprint N°6'!$C$10:$N$10,AA$4-Resumen_Sprints!$E$11),0)</f>
        <v>0</v>
      </c>
      <c r="AB38" s="36">
        <f>IF(AND(AB$4&gt;Resumen_Sprints!$E$11,AB$4&lt;=Resumen_Sprints!$E$11+Resumen_Sprints!$D$11),INDEX('Sprint N°6'!$C$10:$N$10,AB$4-Resumen_Sprints!$E$11),0)</f>
        <v>0</v>
      </c>
      <c r="AC38" s="36">
        <f>IF(AND(AC$4&gt;Resumen_Sprints!$E$11,AC$4&lt;=Resumen_Sprints!$E$11+Resumen_Sprints!$D$11),INDEX('Sprint N°6'!$C$10:$N$10,AC$4-Resumen_Sprints!$E$11),0)</f>
        <v>0</v>
      </c>
      <c r="AD38" s="36">
        <f>IF(AND(AD$4&gt;Resumen_Sprints!$E$11,AD$4&lt;=Resumen_Sprints!$E$11+Resumen_Sprints!$D$11),INDEX('Sprint N°6'!$C$10:$N$10,AD$4-Resumen_Sprints!$E$11),0)</f>
        <v>0</v>
      </c>
      <c r="AE38" s="36">
        <f>IF(AND(AE$4&gt;Resumen_Sprints!$E$11,AE$4&lt;=Resumen_Sprints!$E$11+Resumen_Sprints!$D$11),INDEX('Sprint N°6'!$C$10:$N$10,AE$4-Resumen_Sprints!$E$11),0)</f>
        <v>0</v>
      </c>
      <c r="AF38" s="36">
        <f>IF(AND(AF$4&gt;Resumen_Sprints!$E$11,AF$4&lt;=Resumen_Sprints!$E$11+Resumen_Sprints!$D$11),INDEX('Sprint N°6'!$C$10:$N$10,AF$4-Resumen_Sprints!$E$11),0)</f>
        <v>0</v>
      </c>
      <c r="AG38" s="36">
        <f>IF(AND(AG$4&gt;Resumen_Sprints!$E$11,AG$4&lt;=Resumen_Sprints!$E$11+Resumen_Sprints!$D$11),INDEX('Sprint N°6'!$C$10:$N$10,AG$4-Resumen_Sprints!$E$11),0)</f>
        <v>0</v>
      </c>
      <c r="AH38" s="36">
        <f>IF(AND(AH$4&gt;Resumen_Sprints!$E$11,AH$4&lt;=Resumen_Sprints!$E$11+Resumen_Sprints!$D$11),INDEX('Sprint N°6'!$C$10:$N$10,AH$4-Resumen_Sprints!$E$11),0)</f>
        <v>0</v>
      </c>
      <c r="AI38" s="36">
        <f>IF(AND(AI$4&gt;Resumen_Sprints!$E$11,AI$4&lt;=Resumen_Sprints!$E$11+Resumen_Sprints!$D$11),INDEX('Sprint N°6'!$C$10:$N$10,AI$4-Resumen_Sprints!$E$11),0)</f>
        <v>0</v>
      </c>
      <c r="AJ38" s="36">
        <f>IF(AND(AJ$4&gt;Resumen_Sprints!$E$11,AJ$4&lt;=Resumen_Sprints!$E$11+Resumen_Sprints!$D$11),INDEX('Sprint N°6'!$C$10:$N$10,AJ$4-Resumen_Sprints!$E$11),0)</f>
        <v>0</v>
      </c>
      <c r="AK38" s="36">
        <f>IF(AND(AK$4&gt;Resumen_Sprints!$E$11,AK$4&lt;=Resumen_Sprints!$E$11+Resumen_Sprints!$D$11),INDEX('Sprint N°6'!$C$10:$N$10,AK$4-Resumen_Sprints!$E$11),0)</f>
        <v>0</v>
      </c>
      <c r="AL38" s="36">
        <f>IF(AND(AL$4&gt;Resumen_Sprints!$E$11,AL$4&lt;=Resumen_Sprints!$E$11+Resumen_Sprints!$D$11),INDEX('Sprint N°6'!$C$10:$N$10,AL$4-Resumen_Sprints!$E$11),0)</f>
        <v>0</v>
      </c>
      <c r="AM38" s="36">
        <f>IF(AND(AM$4&gt;Resumen_Sprints!$E$11,AM$4&lt;=Resumen_Sprints!$E$11+Resumen_Sprints!$D$11),INDEX('Sprint N°6'!$C$10:$N$10,AM$4-Resumen_Sprints!$E$11),0)</f>
        <v>0</v>
      </c>
      <c r="AN38" s="36">
        <f>IF(AND(AN$4&gt;Resumen_Sprints!$E$11,AN$4&lt;=Resumen_Sprints!$E$11+Resumen_Sprints!$D$11),INDEX('Sprint N°6'!$C$10:$N$10,AN$4-Resumen_Sprints!$E$11),0)</f>
        <v>0</v>
      </c>
      <c r="AO38" s="36">
        <f>IF(AND(AO$4&gt;Resumen_Sprints!$E$11,AO$4&lt;=Resumen_Sprints!$E$11+Resumen_Sprints!$D$11),INDEX('Sprint N°6'!$C$10:$N$10,AO$4-Resumen_Sprints!$E$11),0)</f>
        <v>0</v>
      </c>
      <c r="AP38" s="36">
        <f>IF(AND(AP$4&gt;Resumen_Sprints!$E$11,AP$4&lt;=Resumen_Sprints!$E$11+Resumen_Sprints!$D$11),INDEX('Sprint N°6'!$C$10:$N$10,AP$4-Resumen_Sprints!$E$11),0)</f>
        <v>0</v>
      </c>
      <c r="AQ38" s="36">
        <f>IF(AND(AQ$4&gt;Resumen_Sprints!$E$11,AQ$4&lt;=Resumen_Sprints!$E$11+Resumen_Sprints!$D$11),INDEX('Sprint N°6'!$C$10:$N$10,AQ$4-Resumen_Sprints!$E$11),0)</f>
        <v>0</v>
      </c>
      <c r="AR38" s="36">
        <f>IF(AND(AR$4&gt;Resumen_Sprints!$E$11,AR$4&lt;=Resumen_Sprints!$E$11+Resumen_Sprints!$D$11),INDEX('Sprint N°6'!$C$10:$N$10,AR$4-Resumen_Sprints!$E$11),0)</f>
        <v>0</v>
      </c>
      <c r="AS38" s="36">
        <f>IF(AND(AS$4&gt;Resumen_Sprints!$E$11,AS$4&lt;=Resumen_Sprints!$E$11+Resumen_Sprints!$D$11),INDEX('Sprint N°6'!$C$10:$N$10,AS$4-Resumen_Sprints!$E$11),0)</f>
        <v>0</v>
      </c>
      <c r="AT38" s="36">
        <f>IF(AND(AT$4&gt;Resumen_Sprints!$E$11,AT$4&lt;=Resumen_Sprints!$E$11+Resumen_Sprints!$D$11),INDEX('Sprint N°6'!$C$10:$N$10,AT$4-Resumen_Sprints!$E$11),0)</f>
        <v>0</v>
      </c>
      <c r="AU38" s="36">
        <f>IF(AND(AU$4&gt;Resumen_Sprints!$E$11,AU$4&lt;=Resumen_Sprints!$E$11+Resumen_Sprints!$D$11),INDEX('Sprint N°6'!$C$10:$N$10,AU$4-Resumen_Sprints!$E$11),0)</f>
        <v>0</v>
      </c>
      <c r="AV38" s="36">
        <f>IF(AND(AV$4&gt;Resumen_Sprints!$E$11,AV$4&lt;=Resumen_Sprints!$E$11+Resumen_Sprints!$D$11),INDEX('Sprint N°6'!$C$10:$N$10,AV$4-Resumen_Sprints!$E$11),0)</f>
        <v>0</v>
      </c>
      <c r="AW38" s="36">
        <f>IF(AND(AW$4&gt;Resumen_Sprints!$E$11,AW$4&lt;=Resumen_Sprints!$E$11+Resumen_Sprints!$D$11),INDEX('Sprint N°6'!$C$10:$N$10,AW$4-Resumen_Sprints!$E$11),0)</f>
        <v>0</v>
      </c>
      <c r="AX38" s="36">
        <f>IF(AND(AX$4&gt;Resumen_Sprints!$E$11,AX$4&lt;=Resumen_Sprints!$E$11+Resumen_Sprints!$D$11),INDEX('Sprint N°6'!$C$10:$N$10,AX$4-Resumen_Sprints!$E$11),0)</f>
        <v>0</v>
      </c>
      <c r="AY38" s="36">
        <f>IF(AND(AY$4&gt;Resumen_Sprints!$E$11,AY$4&lt;=Resumen_Sprints!$E$11+Resumen_Sprints!$D$11),INDEX('Sprint N°6'!$C$10:$N$10,AY$4-Resumen_Sprints!$E$11),0)</f>
        <v>0</v>
      </c>
      <c r="AZ38" s="36">
        <f>IF(AND(AZ$4&gt;Resumen_Sprints!$E$11,AZ$4&lt;=Resumen_Sprints!$E$11+Resumen_Sprints!$D$11),INDEX('Sprint N°6'!$C$10:$N$10,AZ$4-Resumen_Sprints!$E$11),0)</f>
        <v>0</v>
      </c>
      <c r="BA38" s="36">
        <f>IF(AND(BA$4&gt;Resumen_Sprints!$E$11,BA$4&lt;=Resumen_Sprints!$E$11+Resumen_Sprints!$D$11),INDEX('Sprint N°6'!$C$10:$N$10,BA$4-Resumen_Sprints!$E$11),0)</f>
        <v>0</v>
      </c>
      <c r="BB38" s="36">
        <f>IF(AND(BB$4&gt;Resumen_Sprints!$E$11,BB$4&lt;=Resumen_Sprints!$E$11+Resumen_Sprints!$D$11),INDEX('Sprint N°6'!$C$10:$N$10,BB$4-Resumen_Sprints!$E$11),0)</f>
        <v>0</v>
      </c>
      <c r="BC38" s="36">
        <f>IF(AND(BC$4&gt;Resumen_Sprints!$E$11,BC$4&lt;=Resumen_Sprints!$E$11+Resumen_Sprints!$D$11),INDEX('Sprint N°6'!$C$10:$N$10,BC$4-Resumen_Sprints!$E$11),0)</f>
        <v>0</v>
      </c>
      <c r="BD38" s="36">
        <f>IF(AND(BD$4&gt;Resumen_Sprints!$E$11,BD$4&lt;=Resumen_Sprints!$E$11+Resumen_Sprints!$D$11),INDEX('Sprint N°6'!$C$10:$N$10,BD$4-Resumen_Sprints!$E$11),0)</f>
        <v>0</v>
      </c>
      <c r="BE38" s="36">
        <f>IF(AND(BE$4&gt;Resumen_Sprints!$E$11,BE$4&lt;=Resumen_Sprints!$E$11+Resumen_Sprints!$D$11),INDEX('Sprint N°6'!$C$10:$N$10,BE$4-Resumen_Sprints!$E$11),0)</f>
        <v>0</v>
      </c>
      <c r="BF38" s="36">
        <f>IF(AND(BF$4&gt;Resumen_Sprints!$E$11,BF$4&lt;=Resumen_Sprints!$E$11+Resumen_Sprints!$D$11),INDEX('Sprint N°6'!$C$10:$N$10,BF$4-Resumen_Sprints!$E$11),0)</f>
        <v>0</v>
      </c>
      <c r="BG38" s="36">
        <f>IF(AND(BG$4&gt;Resumen_Sprints!$E$11,BG$4&lt;=Resumen_Sprints!$E$11+Resumen_Sprints!$D$11),INDEX('Sprint N°6'!$C$10:$N$10,BG$4-Resumen_Sprints!$E$11),0)</f>
        <v>0</v>
      </c>
      <c r="BH38" s="36">
        <f>IF(AND(BH$4&gt;Resumen_Sprints!$E$11,BH$4&lt;=Resumen_Sprints!$E$11+Resumen_Sprints!$D$11),INDEX('Sprint N°6'!$C$10:$N$10,BH$4-Resumen_Sprints!$E$11),0)</f>
        <v>0</v>
      </c>
      <c r="BI38" s="36">
        <f>IF(AND(BI$4&gt;Resumen_Sprints!$E$11,BI$4&lt;=Resumen_Sprints!$E$11+Resumen_Sprints!$D$11),INDEX('Sprint N°6'!$C$10:$N$10,BI$4-Resumen_Sprints!$E$11),0)</f>
        <v>0</v>
      </c>
      <c r="BJ38" s="36">
        <f>IF(AND(BJ$4&gt;Resumen_Sprints!$E$11,BJ$4&lt;=Resumen_Sprints!$E$11+Resumen_Sprints!$D$11),INDEX('Sprint N°6'!$C$10:$N$10,BJ$4-Resumen_Sprints!$E$11),0)</f>
        <v>0</v>
      </c>
      <c r="BK38" s="36">
        <f>IF(AND(BK$4&gt;Resumen_Sprints!$E$11,BK$4&lt;=Resumen_Sprints!$E$11+Resumen_Sprints!$D$11),INDEX('Sprint N°6'!$C$10:$N$10,BK$4-Resumen_Sprints!$E$11),0)</f>
        <v>0</v>
      </c>
      <c r="BL38" s="36">
        <f>IF(AND(BL$4&gt;Resumen_Sprints!$E$11,BL$4&lt;=Resumen_Sprints!$E$11+Resumen_Sprints!$D$11),INDEX('Sprint N°6'!$C$10:$N$10,BL$4-Resumen_Sprints!$E$11),0)</f>
        <v>0</v>
      </c>
      <c r="BM38" s="36">
        <f>IF(AND(BM$4&gt;Resumen_Sprints!$E$11,BM$4&lt;=Resumen_Sprints!$E$11+Resumen_Sprints!$D$11),INDEX('Sprint N°6'!$C$10:$N$10,BM$4-Resumen_Sprints!$E$11),0)</f>
        <v>0</v>
      </c>
      <c r="BN38" s="36">
        <f>IF(AND(BN$4&gt;Resumen_Sprints!$E$11,BN$4&lt;=Resumen_Sprints!$E$11+Resumen_Sprints!$D$11),INDEX('Sprint N°6'!$C$10:$N$10,BN$4-Resumen_Sprints!$E$11),0)</f>
        <v>3</v>
      </c>
      <c r="BO38" s="36">
        <f>IF(AND(BO$4&gt;Resumen_Sprints!$E$11,BO$4&lt;=Resumen_Sprints!$E$11+Resumen_Sprints!$D$11),INDEX('Sprint N°6'!$C$10:$N$10,BO$4-Resumen_Sprints!$E$11),0)</f>
        <v>11</v>
      </c>
      <c r="BP38" s="36">
        <f>IF(AND(BP$4&gt;Resumen_Sprints!$E$11,BP$4&lt;=Resumen_Sprints!$E$11+Resumen_Sprints!$D$11),INDEX('Sprint N°6'!$C$10:$N$10,BP$4-Resumen_Sprints!$E$11),0)</f>
        <v>15</v>
      </c>
      <c r="BQ38" s="36">
        <f>IF(AND(BQ$4&gt;Resumen_Sprints!$E$11,BQ$4&lt;=Resumen_Sprints!$E$11+Resumen_Sprints!$D$11),INDEX('Sprint N°6'!$C$10:$N$10,BQ$4-Resumen_Sprints!$E$11),0)</f>
        <v>12</v>
      </c>
      <c r="BR38" s="36">
        <f>IF(AND(BR$4&gt;Resumen_Sprints!$E$11,BR$4&lt;=Resumen_Sprints!$E$11+Resumen_Sprints!$D$11),INDEX('Sprint N°6'!$C$10:$N$10,BR$4-Resumen_Sprints!$E$11),0)</f>
        <v>9</v>
      </c>
      <c r="BS38" s="36">
        <f>IF(AND(BS$4&gt;Resumen_Sprints!$E$11,BS$4&lt;=Resumen_Sprints!$E$11+Resumen_Sprints!$D$11),INDEX('Sprint N°6'!$C$10:$N$10,BS$4-Resumen_Sprints!$E$11),0)</f>
        <v>10</v>
      </c>
      <c r="BT38" s="36">
        <f>IF(AND(BT$4&gt;Resumen_Sprints!$E$11,BT$4&lt;=Resumen_Sprints!$E$11+Resumen_Sprints!$D$11),INDEX('Sprint N°6'!$C$10:$N$10,BT$4-Resumen_Sprints!$E$11),0)</f>
        <v>0</v>
      </c>
      <c r="BU38" s="36">
        <f>IF(AND(BU$4&gt;Resumen_Sprints!$E$11,BU$4&lt;=Resumen_Sprints!$E$11+Resumen_Sprints!$D$11),INDEX('Sprint N°6'!$C$10:$N$10,BU$4-Resumen_Sprints!$E$11),0)</f>
        <v>0</v>
      </c>
      <c r="BV38" s="36">
        <f>IF(AND(BV$4&gt;Resumen_Sprints!$E$11,BV$4&lt;=Resumen_Sprints!$E$11+Resumen_Sprints!$D$11),INDEX('Sprint N°6'!$C$10:$N$10,BV$4-Resumen_Sprints!$E$11),0)</f>
        <v>0</v>
      </c>
      <c r="BW38" s="36">
        <f>IF(AND(BW$4&gt;Resumen_Sprints!$E$11,BW$4&lt;=Resumen_Sprints!$E$11+Resumen_Sprints!$D$11),INDEX('Sprint N°6'!$C$10:$N$10,BW$4-Resumen_Sprints!$E$11),0)</f>
        <v>0</v>
      </c>
      <c r="BX38" s="36">
        <f>IF(AND(BX$4&gt;Resumen_Sprints!$E$11,BX$4&lt;=Resumen_Sprints!$E$11+Resumen_Sprints!$D$11),INDEX('Sprint N°6'!$C$10:$N$10,BX$4-Resumen_Sprints!$E$11),0)</f>
        <v>0</v>
      </c>
      <c r="BY38" s="36">
        <f>IF(AND(BY$4&gt;Resumen_Sprints!$E$11,BY$4&lt;=Resumen_Sprints!$E$11+Resumen_Sprints!$D$11),INDEX('Sprint N°6'!$C$10:$N$10,BY$4-Resumen_Sprints!$E$11),0)</f>
        <v>0</v>
      </c>
      <c r="BZ38" s="36">
        <f>IF(AND(BZ$4&gt;Resumen_Sprints!$E$11,BZ$4&lt;=Resumen_Sprints!$E$11+Resumen_Sprints!$D$11),INDEX('Sprint N°6'!$C$10:$N$10,BZ$4-Resumen_Sprints!$E$11),0)</f>
        <v>0</v>
      </c>
      <c r="CA38" s="36">
        <f>IF(AND(CA$4&gt;Resumen_Sprints!$E$11,CA$4&lt;=Resumen_Sprints!$E$11+Resumen_Sprints!$D$11),INDEX('Sprint N°6'!$C$10:$N$10,CA$4-Resumen_Sprints!$E$11),0)</f>
        <v>0</v>
      </c>
      <c r="CB38" s="36">
        <f>IF(AND(CB$4&gt;Resumen_Sprints!$E$11,CB$4&lt;=Resumen_Sprints!$E$11+Resumen_Sprints!$D$11),INDEX('Sprint N°6'!$C$10:$N$10,CB$4-Resumen_Sprints!$E$11),0)</f>
        <v>0</v>
      </c>
      <c r="CC38" s="36">
        <f>IF(AND(CC$4&gt;Resumen_Sprints!$E$11,CC$4&lt;=Resumen_Sprints!$E$11+Resumen_Sprints!$D$11),INDEX('Sprint N°6'!$C$10:$N$10,CC$4-Resumen_Sprints!$E$11),0)</f>
        <v>0</v>
      </c>
      <c r="CD38" s="36">
        <f>IF(AND(CD$4&gt;Resumen_Sprints!$E$11,CD$4&lt;=Resumen_Sprints!$E$11+Resumen_Sprints!$D$11),INDEX('Sprint N°6'!$C$10:$N$10,CD$4-Resumen_Sprints!$E$11),0)</f>
        <v>0</v>
      </c>
      <c r="CE38" s="36">
        <f>IF(AND(CE$4&gt;Resumen_Sprints!$E$11,CE$4&lt;=Resumen_Sprints!$E$11+Resumen_Sprints!$D$11),INDEX('Sprint N°6'!$C$10:$N$10,CE$4-Resumen_Sprints!$E$11),0)</f>
        <v>0</v>
      </c>
      <c r="CF38" s="36">
        <f>IF(AND(CF$4&gt;Resumen_Sprints!$E$11,CF$4&lt;=Resumen_Sprints!$E$11+Resumen_Sprints!$D$11),INDEX('Sprint N°6'!$C$10:$N$10,CF$4-Resumen_Sprints!$E$11),0)</f>
        <v>0</v>
      </c>
      <c r="CG38" s="36">
        <f>IF(AND(CG$4&gt;Resumen_Sprints!$E$11,CG$4&lt;=Resumen_Sprints!$E$11+Resumen_Sprints!$D$11),INDEX('Sprint N°6'!$C$10:$N$10,CG$4-Resumen_Sprints!$E$11),0)</f>
        <v>0</v>
      </c>
      <c r="CH38" s="36">
        <f>IF(AND(CH$4&gt;Resumen_Sprints!$E$11,CH$4&lt;=Resumen_Sprints!$E$11+Resumen_Sprints!$D$11),INDEX('Sprint N°6'!$C$10:$N$10,CH$4-Resumen_Sprints!$E$11),0)</f>
        <v>0</v>
      </c>
      <c r="CI38" s="36">
        <f>IF(AND(CI$4&gt;Resumen_Sprints!$E$11,CI$4&lt;=Resumen_Sprints!$E$11+Resumen_Sprints!$D$11),INDEX('Sprint N°6'!$C$10:$N$10,CI$4-Resumen_Sprints!$E$11),0)</f>
        <v>0</v>
      </c>
      <c r="CJ38" s="36">
        <f>IF(AND(CJ$4&gt;Resumen_Sprints!$E$11,CJ$4&lt;=Resumen_Sprints!$E$11+Resumen_Sprints!$D$11),INDEX('Sprint N°6'!$C$10:$N$10,CJ$4-Resumen_Sprints!$E$11),0)</f>
        <v>0</v>
      </c>
      <c r="CK38" s="36">
        <f>IF(AND(CK$4&gt;Resumen_Sprints!$E$11,CK$4&lt;=Resumen_Sprints!$E$11+Resumen_Sprints!$D$11),INDEX('Sprint N°6'!$C$10:$N$10,CK$4-Resumen_Sprints!$E$11),0)</f>
        <v>0</v>
      </c>
      <c r="CL38" s="36">
        <f>IF(AND(CL$4&gt;Resumen_Sprints!$E$11,CL$4&lt;=Resumen_Sprints!$E$11+Resumen_Sprints!$D$11),INDEX('Sprint N°6'!$C$10:$N$10,CL$4-Resumen_Sprints!$E$11),0)</f>
        <v>0</v>
      </c>
      <c r="CM38" s="36">
        <f>IF(AND(CM$4&gt;Resumen_Sprints!$E$11,CM$4&lt;=Resumen_Sprints!$E$11+Resumen_Sprints!$D$11),INDEX('Sprint N°6'!$C$10:$N$10,CM$4-Resumen_Sprints!$E$11),0)</f>
        <v>0</v>
      </c>
      <c r="CN38" s="36">
        <f>IF(AND(CN$4&gt;Resumen_Sprints!$E$11,CN$4&lt;=Resumen_Sprints!$E$11+Resumen_Sprints!$D$11),INDEX('Sprint N°6'!$C$10:$N$10,CN$4-Resumen_Sprints!$E$11),0)</f>
        <v>0</v>
      </c>
      <c r="CO38" s="36">
        <f>IF(AND(CO$4&gt;Resumen_Sprints!$E$11,CO$4&lt;=Resumen_Sprints!$E$11+Resumen_Sprints!$D$11),INDEX('Sprint N°6'!$C$10:$N$10,CO$4-Resumen_Sprints!$E$11),0)</f>
        <v>0</v>
      </c>
      <c r="CP38" s="36">
        <f>IF(AND(CP$4&gt;Resumen_Sprints!$E$11,CP$4&lt;=Resumen_Sprints!$E$11+Resumen_Sprints!$D$11),INDEX('Sprint N°6'!$C$10:$N$10,CP$4-Resumen_Sprints!$E$11),0)</f>
        <v>0</v>
      </c>
      <c r="CQ38" s="36">
        <f>IF(AND(CQ$4&gt;Resumen_Sprints!$E$11,CQ$4&lt;=Resumen_Sprints!$E$11+Resumen_Sprints!$D$11),INDEX('Sprint N°6'!$C$10:$N$10,CQ$4-Resumen_Sprints!$E$11),0)</f>
        <v>0</v>
      </c>
      <c r="CR38" s="36">
        <f>IF(AND(CR$4&gt;Resumen_Sprints!$E$11,CR$4&lt;=Resumen_Sprints!$E$11+Resumen_Sprints!$D$11),INDEX('Sprint N°6'!$C$10:$N$10,CR$4-Resumen_Sprints!$E$11),0)</f>
        <v>0</v>
      </c>
      <c r="CS38" s="36">
        <f>IF(AND(CS$4&gt;Resumen_Sprints!$E$11,CS$4&lt;=Resumen_Sprints!$E$11+Resumen_Sprints!$D$11),INDEX('Sprint N°6'!$C$10:$N$10,CS$4-Resumen_Sprints!$E$11),0)</f>
        <v>0</v>
      </c>
      <c r="CT38" s="36">
        <f>IF(AND(CT$4&gt;Resumen_Sprints!$E$11,CT$4&lt;=Resumen_Sprints!$E$11+Resumen_Sprints!$D$11),INDEX('Sprint N°6'!$C$10:$N$10,CT$4-Resumen_Sprints!$E$11),0)</f>
        <v>0</v>
      </c>
      <c r="CU38" s="10">
        <f>SUM(C38:CT38)</f>
        <v>60</v>
      </c>
    </row>
    <row r="39" spans="1:99" x14ac:dyDescent="0.3">
      <c r="A39" s="17" t="str">
        <f>"Sprint N°"&amp;Resumen_Sprints!A12&amp;" – "&amp;Resumen_Sprints!B12</f>
        <v>Sprint N°7 – Pruebas y Corrección de Defectos</v>
      </c>
      <c r="B39" s="26">
        <f>SUM(B40:B44)</f>
        <v>114</v>
      </c>
      <c r="CU39" s="44"/>
    </row>
    <row r="40" spans="1:99" x14ac:dyDescent="0.3">
      <c r="A40" s="22" t="str">
        <f>'Sprint N°7'!A6</f>
        <v>Pruebas Unitarias Base de Datos y Catálogo</v>
      </c>
      <c r="B40" s="22">
        <f>'Sprint N°7'!B6</f>
        <v>16</v>
      </c>
      <c r="C40" s="36">
        <f>IF(AND(C$4&gt;Resumen_Sprints!$E$12,C$4&lt;=Resumen_Sprints!$E$12+Resumen_Sprints!$D$12),INDEX('Sprint N°7'!$C$6:$P$6,C$4-Resumen_Sprints!$E$12),0)</f>
        <v>0</v>
      </c>
      <c r="D40" s="36">
        <f>IF(AND(D$4&gt;Resumen_Sprints!$E$12,D$4&lt;=Resumen_Sprints!$E$12+Resumen_Sprints!$D$12),INDEX('Sprint N°7'!$C$6:$P$6,D$4-Resumen_Sprints!$E$12),0)</f>
        <v>0</v>
      </c>
      <c r="E40" s="36">
        <f>IF(AND(E$4&gt;Resumen_Sprints!$E$12,E$4&lt;=Resumen_Sprints!$E$12+Resumen_Sprints!$D$12),INDEX('Sprint N°7'!$C$6:$P$6,E$4-Resumen_Sprints!$E$12),0)</f>
        <v>0</v>
      </c>
      <c r="F40" s="36">
        <f>IF(AND(F$4&gt;Resumen_Sprints!$E$12,F$4&lt;=Resumen_Sprints!$E$12+Resumen_Sprints!$D$12),INDEX('Sprint N°7'!$C$6:$P$6,F$4-Resumen_Sprints!$E$12),0)</f>
        <v>0</v>
      </c>
      <c r="G40" s="36">
        <f>IF(AND(G$4&gt;Resumen_Sprints!$E$12,G$4&lt;=Resumen_Sprints!$E$12+Resumen_Sprints!$D$12),INDEX('Sprint N°7'!$C$6:$P$6,G$4-Resumen_Sprints!$E$12),0)</f>
        <v>0</v>
      </c>
      <c r="H40" s="36">
        <f>IF(AND(H$4&gt;Resumen_Sprints!$E$12,H$4&lt;=Resumen_Sprints!$E$12+Resumen_Sprints!$D$12),INDEX('Sprint N°7'!$C$6:$P$6,H$4-Resumen_Sprints!$E$12),0)</f>
        <v>0</v>
      </c>
      <c r="I40" s="36">
        <f>IF(AND(I$4&gt;Resumen_Sprints!$E$12,I$4&lt;=Resumen_Sprints!$E$12+Resumen_Sprints!$D$12),INDEX('Sprint N°7'!$C$6:$P$6,I$4-Resumen_Sprints!$E$12),0)</f>
        <v>0</v>
      </c>
      <c r="J40" s="36">
        <f>IF(AND(J$4&gt;Resumen_Sprints!$E$12,J$4&lt;=Resumen_Sprints!$E$12+Resumen_Sprints!$D$12),INDEX('Sprint N°7'!$C$6:$P$6,J$4-Resumen_Sprints!$E$12),0)</f>
        <v>0</v>
      </c>
      <c r="K40" s="36">
        <f>IF(AND(K$4&gt;Resumen_Sprints!$E$12,K$4&lt;=Resumen_Sprints!$E$12+Resumen_Sprints!$D$12),INDEX('Sprint N°7'!$C$6:$P$6,K$4-Resumen_Sprints!$E$12),0)</f>
        <v>0</v>
      </c>
      <c r="L40" s="36">
        <f>IF(AND(L$4&gt;Resumen_Sprints!$E$12,L$4&lt;=Resumen_Sprints!$E$12+Resumen_Sprints!$D$12),INDEX('Sprint N°7'!$C$6:$P$6,L$4-Resumen_Sprints!$E$12),0)</f>
        <v>0</v>
      </c>
      <c r="M40" s="36">
        <f>IF(AND(M$4&gt;Resumen_Sprints!$E$12,M$4&lt;=Resumen_Sprints!$E$12+Resumen_Sprints!$D$12),INDEX('Sprint N°7'!$C$6:$P$6,M$4-Resumen_Sprints!$E$12),0)</f>
        <v>0</v>
      </c>
      <c r="N40" s="36">
        <f>IF(AND(N$4&gt;Resumen_Sprints!$E$12,N$4&lt;=Resumen_Sprints!$E$12+Resumen_Sprints!$D$12),INDEX('Sprint N°7'!$C$6:$P$6,N$4-Resumen_Sprints!$E$12),0)</f>
        <v>0</v>
      </c>
      <c r="O40" s="36">
        <f>IF(AND(O$4&gt;Resumen_Sprints!$E$12,O$4&lt;=Resumen_Sprints!$E$12+Resumen_Sprints!$D$12),INDEX('Sprint N°7'!$C$6:$P$6,O$4-Resumen_Sprints!$E$12),0)</f>
        <v>0</v>
      </c>
      <c r="P40" s="36">
        <f>IF(AND(P$4&gt;Resumen_Sprints!$E$12,P$4&lt;=Resumen_Sprints!$E$12+Resumen_Sprints!$D$12),INDEX('Sprint N°7'!$C$6:$P$6,P$4-Resumen_Sprints!$E$12),0)</f>
        <v>0</v>
      </c>
      <c r="Q40" s="36">
        <f>IF(AND(Q$4&gt;Resumen_Sprints!$E$12,Q$4&lt;=Resumen_Sprints!$E$12+Resumen_Sprints!$D$12),INDEX('Sprint N°7'!$C$6:$P$6,Q$4-Resumen_Sprints!$E$12),0)</f>
        <v>0</v>
      </c>
      <c r="R40" s="36">
        <f>IF(AND(R$4&gt;Resumen_Sprints!$E$12,R$4&lt;=Resumen_Sprints!$E$12+Resumen_Sprints!$D$12),INDEX('Sprint N°7'!$C$6:$P$6,R$4-Resumen_Sprints!$E$12),0)</f>
        <v>0</v>
      </c>
      <c r="S40" s="36">
        <f>IF(AND(S$4&gt;Resumen_Sprints!$E$12,S$4&lt;=Resumen_Sprints!$E$12+Resumen_Sprints!$D$12),INDEX('Sprint N°7'!$C$6:$P$6,S$4-Resumen_Sprints!$E$12),0)</f>
        <v>0</v>
      </c>
      <c r="T40" s="36">
        <f>IF(AND(T$4&gt;Resumen_Sprints!$E$12,T$4&lt;=Resumen_Sprints!$E$12+Resumen_Sprints!$D$12),INDEX('Sprint N°7'!$C$6:$P$6,T$4-Resumen_Sprints!$E$12),0)</f>
        <v>0</v>
      </c>
      <c r="U40" s="36">
        <f>IF(AND(U$4&gt;Resumen_Sprints!$E$12,U$4&lt;=Resumen_Sprints!$E$12+Resumen_Sprints!$D$12),INDEX('Sprint N°7'!$C$6:$P$6,U$4-Resumen_Sprints!$E$12),0)</f>
        <v>0</v>
      </c>
      <c r="V40" s="36">
        <f>IF(AND(V$4&gt;Resumen_Sprints!$E$12,V$4&lt;=Resumen_Sprints!$E$12+Resumen_Sprints!$D$12),INDEX('Sprint N°7'!$C$6:$P$6,V$4-Resumen_Sprints!$E$12),0)</f>
        <v>0</v>
      </c>
      <c r="W40" s="36">
        <f>IF(AND(W$4&gt;Resumen_Sprints!$E$12,W$4&lt;=Resumen_Sprints!$E$12+Resumen_Sprints!$D$12),INDEX('Sprint N°7'!$C$6:$P$6,W$4-Resumen_Sprints!$E$12),0)</f>
        <v>0</v>
      </c>
      <c r="X40" s="36">
        <f>IF(AND(X$4&gt;Resumen_Sprints!$E$12,X$4&lt;=Resumen_Sprints!$E$12+Resumen_Sprints!$D$12),INDEX('Sprint N°7'!$C$6:$P$6,X$4-Resumen_Sprints!$E$12),0)</f>
        <v>0</v>
      </c>
      <c r="Y40" s="36">
        <f>IF(AND(Y$4&gt;Resumen_Sprints!$E$12,Y$4&lt;=Resumen_Sprints!$E$12+Resumen_Sprints!$D$12),INDEX('Sprint N°7'!$C$6:$P$6,Y$4-Resumen_Sprints!$E$12),0)</f>
        <v>0</v>
      </c>
      <c r="Z40" s="36">
        <f>IF(AND(Z$4&gt;Resumen_Sprints!$E$12,Z$4&lt;=Resumen_Sprints!$E$12+Resumen_Sprints!$D$12),INDEX('Sprint N°7'!$C$6:$P$6,Z$4-Resumen_Sprints!$E$12),0)</f>
        <v>0</v>
      </c>
      <c r="AA40" s="36">
        <f>IF(AND(AA$4&gt;Resumen_Sprints!$E$12,AA$4&lt;=Resumen_Sprints!$E$12+Resumen_Sprints!$D$12),INDEX('Sprint N°7'!$C$6:$P$6,AA$4-Resumen_Sprints!$E$12),0)</f>
        <v>0</v>
      </c>
      <c r="AB40" s="36">
        <f>IF(AND(AB$4&gt;Resumen_Sprints!$E$12,AB$4&lt;=Resumen_Sprints!$E$12+Resumen_Sprints!$D$12),INDEX('Sprint N°7'!$C$6:$P$6,AB$4-Resumen_Sprints!$E$12),0)</f>
        <v>0</v>
      </c>
      <c r="AC40" s="36">
        <f>IF(AND(AC$4&gt;Resumen_Sprints!$E$12,AC$4&lt;=Resumen_Sprints!$E$12+Resumen_Sprints!$D$12),INDEX('Sprint N°7'!$C$6:$P$6,AC$4-Resumen_Sprints!$E$12),0)</f>
        <v>0</v>
      </c>
      <c r="AD40" s="36">
        <f>IF(AND(AD$4&gt;Resumen_Sprints!$E$12,AD$4&lt;=Resumen_Sprints!$E$12+Resumen_Sprints!$D$12),INDEX('Sprint N°7'!$C$6:$P$6,AD$4-Resumen_Sprints!$E$12),0)</f>
        <v>0</v>
      </c>
      <c r="AE40" s="36">
        <f>IF(AND(AE$4&gt;Resumen_Sprints!$E$12,AE$4&lt;=Resumen_Sprints!$E$12+Resumen_Sprints!$D$12),INDEX('Sprint N°7'!$C$6:$P$6,AE$4-Resumen_Sprints!$E$12),0)</f>
        <v>0</v>
      </c>
      <c r="AF40" s="36">
        <f>IF(AND(AF$4&gt;Resumen_Sprints!$E$12,AF$4&lt;=Resumen_Sprints!$E$12+Resumen_Sprints!$D$12),INDEX('Sprint N°7'!$C$6:$P$6,AF$4-Resumen_Sprints!$E$12),0)</f>
        <v>0</v>
      </c>
      <c r="AG40" s="36">
        <f>IF(AND(AG$4&gt;Resumen_Sprints!$E$12,AG$4&lt;=Resumen_Sprints!$E$12+Resumen_Sprints!$D$12),INDEX('Sprint N°7'!$C$6:$P$6,AG$4-Resumen_Sprints!$E$12),0)</f>
        <v>0</v>
      </c>
      <c r="AH40" s="36">
        <f>IF(AND(AH$4&gt;Resumen_Sprints!$E$12,AH$4&lt;=Resumen_Sprints!$E$12+Resumen_Sprints!$D$12),INDEX('Sprint N°7'!$C$6:$P$6,AH$4-Resumen_Sprints!$E$12),0)</f>
        <v>0</v>
      </c>
      <c r="AI40" s="36">
        <f>IF(AND(AI$4&gt;Resumen_Sprints!$E$12,AI$4&lt;=Resumen_Sprints!$E$12+Resumen_Sprints!$D$12),INDEX('Sprint N°7'!$C$6:$P$6,AI$4-Resumen_Sprints!$E$12),0)</f>
        <v>0</v>
      </c>
      <c r="AJ40" s="36">
        <f>IF(AND(AJ$4&gt;Resumen_Sprints!$E$12,AJ$4&lt;=Resumen_Sprints!$E$12+Resumen_Sprints!$D$12),INDEX('Sprint N°7'!$C$6:$P$6,AJ$4-Resumen_Sprints!$E$12),0)</f>
        <v>0</v>
      </c>
      <c r="AK40" s="36">
        <f>IF(AND(AK$4&gt;Resumen_Sprints!$E$12,AK$4&lt;=Resumen_Sprints!$E$12+Resumen_Sprints!$D$12),INDEX('Sprint N°7'!$C$6:$P$6,AK$4-Resumen_Sprints!$E$12),0)</f>
        <v>0</v>
      </c>
      <c r="AL40" s="36">
        <f>IF(AND(AL$4&gt;Resumen_Sprints!$E$12,AL$4&lt;=Resumen_Sprints!$E$12+Resumen_Sprints!$D$12),INDEX('Sprint N°7'!$C$6:$P$6,AL$4-Resumen_Sprints!$E$12),0)</f>
        <v>0</v>
      </c>
      <c r="AM40" s="36">
        <f>IF(AND(AM$4&gt;Resumen_Sprints!$E$12,AM$4&lt;=Resumen_Sprints!$E$12+Resumen_Sprints!$D$12),INDEX('Sprint N°7'!$C$6:$P$6,AM$4-Resumen_Sprints!$E$12),0)</f>
        <v>0</v>
      </c>
      <c r="AN40" s="36">
        <f>IF(AND(AN$4&gt;Resumen_Sprints!$E$12,AN$4&lt;=Resumen_Sprints!$E$12+Resumen_Sprints!$D$12),INDEX('Sprint N°7'!$C$6:$P$6,AN$4-Resumen_Sprints!$E$12),0)</f>
        <v>0</v>
      </c>
      <c r="AO40" s="36">
        <f>IF(AND(AO$4&gt;Resumen_Sprints!$E$12,AO$4&lt;=Resumen_Sprints!$E$12+Resumen_Sprints!$D$12),INDEX('Sprint N°7'!$C$6:$P$6,AO$4-Resumen_Sprints!$E$12),0)</f>
        <v>0</v>
      </c>
      <c r="AP40" s="36">
        <f>IF(AND(AP$4&gt;Resumen_Sprints!$E$12,AP$4&lt;=Resumen_Sprints!$E$12+Resumen_Sprints!$D$12),INDEX('Sprint N°7'!$C$6:$P$6,AP$4-Resumen_Sprints!$E$12),0)</f>
        <v>0</v>
      </c>
      <c r="AQ40" s="36">
        <f>IF(AND(AQ$4&gt;Resumen_Sprints!$E$12,AQ$4&lt;=Resumen_Sprints!$E$12+Resumen_Sprints!$D$12),INDEX('Sprint N°7'!$C$6:$P$6,AQ$4-Resumen_Sprints!$E$12),0)</f>
        <v>0</v>
      </c>
      <c r="AR40" s="36">
        <f>IF(AND(AR$4&gt;Resumen_Sprints!$E$12,AR$4&lt;=Resumen_Sprints!$E$12+Resumen_Sprints!$D$12),INDEX('Sprint N°7'!$C$6:$P$6,AR$4-Resumen_Sprints!$E$12),0)</f>
        <v>0</v>
      </c>
      <c r="AS40" s="36">
        <f>IF(AND(AS$4&gt;Resumen_Sprints!$E$12,AS$4&lt;=Resumen_Sprints!$E$12+Resumen_Sprints!$D$12),INDEX('Sprint N°7'!$C$6:$P$6,AS$4-Resumen_Sprints!$E$12),0)</f>
        <v>0</v>
      </c>
      <c r="AT40" s="36">
        <f>IF(AND(AT$4&gt;Resumen_Sprints!$E$12,AT$4&lt;=Resumen_Sprints!$E$12+Resumen_Sprints!$D$12),INDEX('Sprint N°7'!$C$6:$P$6,AT$4-Resumen_Sprints!$E$12),0)</f>
        <v>0</v>
      </c>
      <c r="AU40" s="36">
        <f>IF(AND(AU$4&gt;Resumen_Sprints!$E$12,AU$4&lt;=Resumen_Sprints!$E$12+Resumen_Sprints!$D$12),INDEX('Sprint N°7'!$C$6:$P$6,AU$4-Resumen_Sprints!$E$12),0)</f>
        <v>0</v>
      </c>
      <c r="AV40" s="36">
        <f>IF(AND(AV$4&gt;Resumen_Sprints!$E$12,AV$4&lt;=Resumen_Sprints!$E$12+Resumen_Sprints!$D$12),INDEX('Sprint N°7'!$C$6:$P$6,AV$4-Resumen_Sprints!$E$12),0)</f>
        <v>0</v>
      </c>
      <c r="AW40" s="36">
        <f>IF(AND(AW$4&gt;Resumen_Sprints!$E$12,AW$4&lt;=Resumen_Sprints!$E$12+Resumen_Sprints!$D$12),INDEX('Sprint N°7'!$C$6:$P$6,AW$4-Resumen_Sprints!$E$12),0)</f>
        <v>0</v>
      </c>
      <c r="AX40" s="36">
        <f>IF(AND(AX$4&gt;Resumen_Sprints!$E$12,AX$4&lt;=Resumen_Sprints!$E$12+Resumen_Sprints!$D$12),INDEX('Sprint N°7'!$C$6:$P$6,AX$4-Resumen_Sprints!$E$12),0)</f>
        <v>0</v>
      </c>
      <c r="AY40" s="36">
        <f>IF(AND(AY$4&gt;Resumen_Sprints!$E$12,AY$4&lt;=Resumen_Sprints!$E$12+Resumen_Sprints!$D$12),INDEX('Sprint N°7'!$C$6:$P$6,AY$4-Resumen_Sprints!$E$12),0)</f>
        <v>0</v>
      </c>
      <c r="AZ40" s="36">
        <f>IF(AND(AZ$4&gt;Resumen_Sprints!$E$12,AZ$4&lt;=Resumen_Sprints!$E$12+Resumen_Sprints!$D$12),INDEX('Sprint N°7'!$C$6:$P$6,AZ$4-Resumen_Sprints!$E$12),0)</f>
        <v>0</v>
      </c>
      <c r="BA40" s="36">
        <f>IF(AND(BA$4&gt;Resumen_Sprints!$E$12,BA$4&lt;=Resumen_Sprints!$E$12+Resumen_Sprints!$D$12),INDEX('Sprint N°7'!$C$6:$P$6,BA$4-Resumen_Sprints!$E$12),0)</f>
        <v>0</v>
      </c>
      <c r="BB40" s="36">
        <f>IF(AND(BB$4&gt;Resumen_Sprints!$E$12,BB$4&lt;=Resumen_Sprints!$E$12+Resumen_Sprints!$D$12),INDEX('Sprint N°7'!$C$6:$P$6,BB$4-Resumen_Sprints!$E$12),0)</f>
        <v>0</v>
      </c>
      <c r="BC40" s="36">
        <f>IF(AND(BC$4&gt;Resumen_Sprints!$E$12,BC$4&lt;=Resumen_Sprints!$E$12+Resumen_Sprints!$D$12),INDEX('Sprint N°7'!$C$6:$P$6,BC$4-Resumen_Sprints!$E$12),0)</f>
        <v>0</v>
      </c>
      <c r="BD40" s="36">
        <f>IF(AND(BD$4&gt;Resumen_Sprints!$E$12,BD$4&lt;=Resumen_Sprints!$E$12+Resumen_Sprints!$D$12),INDEX('Sprint N°7'!$C$6:$P$6,BD$4-Resumen_Sprints!$E$12),0)</f>
        <v>0</v>
      </c>
      <c r="BE40" s="36">
        <f>IF(AND(BE$4&gt;Resumen_Sprints!$E$12,BE$4&lt;=Resumen_Sprints!$E$12+Resumen_Sprints!$D$12),INDEX('Sprint N°7'!$C$6:$P$6,BE$4-Resumen_Sprints!$E$12),0)</f>
        <v>0</v>
      </c>
      <c r="BF40" s="36">
        <f>IF(AND(BF$4&gt;Resumen_Sprints!$E$12,BF$4&lt;=Resumen_Sprints!$E$12+Resumen_Sprints!$D$12),INDEX('Sprint N°7'!$C$6:$P$6,BF$4-Resumen_Sprints!$E$12),0)</f>
        <v>0</v>
      </c>
      <c r="BG40" s="36">
        <f>IF(AND(BG$4&gt;Resumen_Sprints!$E$12,BG$4&lt;=Resumen_Sprints!$E$12+Resumen_Sprints!$D$12),INDEX('Sprint N°7'!$C$6:$P$6,BG$4-Resumen_Sprints!$E$12),0)</f>
        <v>0</v>
      </c>
      <c r="BH40" s="36">
        <f>IF(AND(BH$4&gt;Resumen_Sprints!$E$12,BH$4&lt;=Resumen_Sprints!$E$12+Resumen_Sprints!$D$12),INDEX('Sprint N°7'!$C$6:$P$6,BH$4-Resumen_Sprints!$E$12),0)</f>
        <v>0</v>
      </c>
      <c r="BI40" s="36">
        <f>IF(AND(BI$4&gt;Resumen_Sprints!$E$12,BI$4&lt;=Resumen_Sprints!$E$12+Resumen_Sprints!$D$12),INDEX('Sprint N°7'!$C$6:$P$6,BI$4-Resumen_Sprints!$E$12),0)</f>
        <v>0</v>
      </c>
      <c r="BJ40" s="36">
        <f>IF(AND(BJ$4&gt;Resumen_Sprints!$E$12,BJ$4&lt;=Resumen_Sprints!$E$12+Resumen_Sprints!$D$12),INDEX('Sprint N°7'!$C$6:$P$6,BJ$4-Resumen_Sprints!$E$12),0)</f>
        <v>0</v>
      </c>
      <c r="BK40" s="36">
        <f>IF(AND(BK$4&gt;Resumen_Sprints!$E$12,BK$4&lt;=Resumen_Sprints!$E$12+Resumen_Sprints!$D$12),INDEX('Sprint N°7'!$C$6:$P$6,BK$4-Resumen_Sprints!$E$12),0)</f>
        <v>0</v>
      </c>
      <c r="BL40" s="36">
        <f>IF(AND(BL$4&gt;Resumen_Sprints!$E$12,BL$4&lt;=Resumen_Sprints!$E$12+Resumen_Sprints!$D$12),INDEX('Sprint N°7'!$C$6:$P$6,BL$4-Resumen_Sprints!$E$12),0)</f>
        <v>0</v>
      </c>
      <c r="BM40" s="36">
        <f>IF(AND(BM$4&gt;Resumen_Sprints!$E$12,BM$4&lt;=Resumen_Sprints!$E$12+Resumen_Sprints!$D$12),INDEX('Sprint N°7'!$C$6:$P$6,BM$4-Resumen_Sprints!$E$12),0)</f>
        <v>0</v>
      </c>
      <c r="BN40" s="36">
        <f>IF(AND(BN$4&gt;Resumen_Sprints!$E$12,BN$4&lt;=Resumen_Sprints!$E$12+Resumen_Sprints!$D$12),INDEX('Sprint N°7'!$C$6:$P$6,BN$4-Resumen_Sprints!$E$12),0)</f>
        <v>0</v>
      </c>
      <c r="BO40" s="36">
        <f>IF(AND(BO$4&gt;Resumen_Sprints!$E$12,BO$4&lt;=Resumen_Sprints!$E$12+Resumen_Sprints!$D$12),INDEX('Sprint N°7'!$C$6:$P$6,BO$4-Resumen_Sprints!$E$12),0)</f>
        <v>0</v>
      </c>
      <c r="BP40" s="36">
        <f>IF(AND(BP$4&gt;Resumen_Sprints!$E$12,BP$4&lt;=Resumen_Sprints!$E$12+Resumen_Sprints!$D$12),INDEX('Sprint N°7'!$C$6:$P$6,BP$4-Resumen_Sprints!$E$12),0)</f>
        <v>0</v>
      </c>
      <c r="BQ40" s="36">
        <f>IF(AND(BQ$4&gt;Resumen_Sprints!$E$12,BQ$4&lt;=Resumen_Sprints!$E$12+Resumen_Sprints!$D$12),INDEX('Sprint N°7'!$C$6:$P$6,BQ$4-Resumen_Sprints!$E$12),0)</f>
        <v>0</v>
      </c>
      <c r="BR40" s="36">
        <f>IF(AND(BR$4&gt;Resumen_Sprints!$E$12,BR$4&lt;=Resumen_Sprints!$E$12+Resumen_Sprints!$D$12),INDEX('Sprint N°7'!$C$6:$P$6,BR$4-Resumen_Sprints!$E$12),0)</f>
        <v>0</v>
      </c>
      <c r="BS40" s="36">
        <f>IF(AND(BS$4&gt;Resumen_Sprints!$E$12,BS$4&lt;=Resumen_Sprints!$E$12+Resumen_Sprints!$D$12),INDEX('Sprint N°7'!$C$6:$P$6,BS$4-Resumen_Sprints!$E$12),0)</f>
        <v>0</v>
      </c>
      <c r="BT40" s="36">
        <f>IF(AND(BT$4&gt;Resumen_Sprints!$E$12,BT$4&lt;=Resumen_Sprints!$E$12+Resumen_Sprints!$D$12),INDEX('Sprint N°7'!$C$6:$P$6,BT$4-Resumen_Sprints!$E$12),0)</f>
        <v>8</v>
      </c>
      <c r="BU40" s="36">
        <f>IF(AND(BU$4&gt;Resumen_Sprints!$E$12,BU$4&lt;=Resumen_Sprints!$E$12+Resumen_Sprints!$D$12),INDEX('Sprint N°7'!$C$6:$P$6,BU$4-Resumen_Sprints!$E$12),0)</f>
        <v>7</v>
      </c>
      <c r="BV40" s="36">
        <f>IF(AND(BV$4&gt;Resumen_Sprints!$E$12,BV$4&lt;=Resumen_Sprints!$E$12+Resumen_Sprints!$D$12),INDEX('Sprint N°7'!$C$6:$P$6,BV$4-Resumen_Sprints!$E$12),0)</f>
        <v>1</v>
      </c>
      <c r="BW40" s="36">
        <f>IF(AND(BW$4&gt;Resumen_Sprints!$E$12,BW$4&lt;=Resumen_Sprints!$E$12+Resumen_Sprints!$D$12),INDEX('Sprint N°7'!$C$6:$P$6,BW$4-Resumen_Sprints!$E$12),0)</f>
        <v>0</v>
      </c>
      <c r="BX40" s="36">
        <f>IF(AND(BX$4&gt;Resumen_Sprints!$E$12,BX$4&lt;=Resumen_Sprints!$E$12+Resumen_Sprints!$D$12),INDEX('Sprint N°7'!$C$6:$P$6,BX$4-Resumen_Sprints!$E$12),0)</f>
        <v>0</v>
      </c>
      <c r="BY40" s="36">
        <f>IF(AND(BY$4&gt;Resumen_Sprints!$E$12,BY$4&lt;=Resumen_Sprints!$E$12+Resumen_Sprints!$D$12),INDEX('Sprint N°7'!$C$6:$P$6,BY$4-Resumen_Sprints!$E$12),0)</f>
        <v>0</v>
      </c>
      <c r="BZ40" s="36">
        <f>IF(AND(BZ$4&gt;Resumen_Sprints!$E$12,BZ$4&lt;=Resumen_Sprints!$E$12+Resumen_Sprints!$D$12),INDEX('Sprint N°7'!$C$6:$P$6,BZ$4-Resumen_Sprints!$E$12),0)</f>
        <v>0</v>
      </c>
      <c r="CA40" s="36">
        <f>IF(AND(CA$4&gt;Resumen_Sprints!$E$12,CA$4&lt;=Resumen_Sprints!$E$12+Resumen_Sprints!$D$12),INDEX('Sprint N°7'!$C$6:$P$6,CA$4-Resumen_Sprints!$E$12),0)</f>
        <v>0</v>
      </c>
      <c r="CB40" s="36">
        <f>IF(AND(CB$4&gt;Resumen_Sprints!$E$12,CB$4&lt;=Resumen_Sprints!$E$12+Resumen_Sprints!$D$12),INDEX('Sprint N°7'!$C$6:$P$6,CB$4-Resumen_Sprints!$E$12),0)</f>
        <v>0</v>
      </c>
      <c r="CC40" s="36">
        <f>IF(AND(CC$4&gt;Resumen_Sprints!$E$12,CC$4&lt;=Resumen_Sprints!$E$12+Resumen_Sprints!$D$12),INDEX('Sprint N°7'!$C$6:$P$6,CC$4-Resumen_Sprints!$E$12),0)</f>
        <v>0</v>
      </c>
      <c r="CD40" s="36">
        <f>IF(AND(CD$4&gt;Resumen_Sprints!$E$12,CD$4&lt;=Resumen_Sprints!$E$12+Resumen_Sprints!$D$12),INDEX('Sprint N°7'!$C$6:$P$6,CD$4-Resumen_Sprints!$E$12),0)</f>
        <v>0</v>
      </c>
      <c r="CE40" s="36">
        <f>IF(AND(CE$4&gt;Resumen_Sprints!$E$12,CE$4&lt;=Resumen_Sprints!$E$12+Resumen_Sprints!$D$12),INDEX('Sprint N°7'!$C$6:$P$6,CE$4-Resumen_Sprints!$E$12),0)</f>
        <v>0</v>
      </c>
      <c r="CF40" s="36">
        <f>IF(AND(CF$4&gt;Resumen_Sprints!$E$12,CF$4&lt;=Resumen_Sprints!$E$12+Resumen_Sprints!$D$12),INDEX('Sprint N°7'!$C$6:$P$6,CF$4-Resumen_Sprints!$E$12),0)</f>
        <v>0</v>
      </c>
      <c r="CG40" s="36">
        <f>IF(AND(CG$4&gt;Resumen_Sprints!$E$12,CG$4&lt;=Resumen_Sprints!$E$12+Resumen_Sprints!$D$12),INDEX('Sprint N°7'!$C$6:$P$6,CG$4-Resumen_Sprints!$E$12),0)</f>
        <v>0</v>
      </c>
      <c r="CH40" s="36">
        <f>IF(AND(CH$4&gt;Resumen_Sprints!$E$12,CH$4&lt;=Resumen_Sprints!$E$12+Resumen_Sprints!$D$12),INDEX('Sprint N°7'!$C$6:$P$6,CH$4-Resumen_Sprints!$E$12),0)</f>
        <v>0</v>
      </c>
      <c r="CI40" s="36">
        <f>IF(AND(CI$4&gt;Resumen_Sprints!$E$12,CI$4&lt;=Resumen_Sprints!$E$12+Resumen_Sprints!$D$12),INDEX('Sprint N°7'!$C$6:$P$6,CI$4-Resumen_Sprints!$E$12),0)</f>
        <v>0</v>
      </c>
      <c r="CJ40" s="36">
        <f>IF(AND(CJ$4&gt;Resumen_Sprints!$E$12,CJ$4&lt;=Resumen_Sprints!$E$12+Resumen_Sprints!$D$12),INDEX('Sprint N°7'!$C$6:$P$6,CJ$4-Resumen_Sprints!$E$12),0)</f>
        <v>0</v>
      </c>
      <c r="CK40" s="36">
        <f>IF(AND(CK$4&gt;Resumen_Sprints!$E$12,CK$4&lt;=Resumen_Sprints!$E$12+Resumen_Sprints!$D$12),INDEX('Sprint N°7'!$C$6:$P$6,CK$4-Resumen_Sprints!$E$12),0)</f>
        <v>0</v>
      </c>
      <c r="CL40" s="36">
        <f>IF(AND(CL$4&gt;Resumen_Sprints!$E$12,CL$4&lt;=Resumen_Sprints!$E$12+Resumen_Sprints!$D$12),INDEX('Sprint N°7'!$C$6:$P$6,CL$4-Resumen_Sprints!$E$12),0)</f>
        <v>0</v>
      </c>
      <c r="CM40" s="36">
        <f>IF(AND(CM$4&gt;Resumen_Sprints!$E$12,CM$4&lt;=Resumen_Sprints!$E$12+Resumen_Sprints!$D$12),INDEX('Sprint N°7'!$C$6:$P$6,CM$4-Resumen_Sprints!$E$12),0)</f>
        <v>0</v>
      </c>
      <c r="CN40" s="36">
        <f>IF(AND(CN$4&gt;Resumen_Sprints!$E$12,CN$4&lt;=Resumen_Sprints!$E$12+Resumen_Sprints!$D$12),INDEX('Sprint N°7'!$C$6:$P$6,CN$4-Resumen_Sprints!$E$12),0)</f>
        <v>0</v>
      </c>
      <c r="CO40" s="36">
        <f>IF(AND(CO$4&gt;Resumen_Sprints!$E$12,CO$4&lt;=Resumen_Sprints!$E$12+Resumen_Sprints!$D$12),INDEX('Sprint N°7'!$C$6:$P$6,CO$4-Resumen_Sprints!$E$12),0)</f>
        <v>0</v>
      </c>
      <c r="CP40" s="36">
        <f>IF(AND(CP$4&gt;Resumen_Sprints!$E$12,CP$4&lt;=Resumen_Sprints!$E$12+Resumen_Sprints!$D$12),INDEX('Sprint N°7'!$C$6:$P$6,CP$4-Resumen_Sprints!$E$12),0)</f>
        <v>0</v>
      </c>
      <c r="CQ40" s="36">
        <f>IF(AND(CQ$4&gt;Resumen_Sprints!$E$12,CQ$4&lt;=Resumen_Sprints!$E$12+Resumen_Sprints!$D$12),INDEX('Sprint N°7'!$C$6:$P$6,CQ$4-Resumen_Sprints!$E$12),0)</f>
        <v>0</v>
      </c>
      <c r="CR40" s="36">
        <f>IF(AND(CR$4&gt;Resumen_Sprints!$E$12,CR$4&lt;=Resumen_Sprints!$E$12+Resumen_Sprints!$D$12),INDEX('Sprint N°7'!$C$6:$P$6,CR$4-Resumen_Sprints!$E$12),0)</f>
        <v>0</v>
      </c>
      <c r="CS40" s="36">
        <f>IF(AND(CS$4&gt;Resumen_Sprints!$E$12,CS$4&lt;=Resumen_Sprints!$E$12+Resumen_Sprints!$D$12),INDEX('Sprint N°7'!$C$6:$P$6,CS$4-Resumen_Sprints!$E$12),0)</f>
        <v>0</v>
      </c>
      <c r="CT40" s="36">
        <f>IF(AND(CT$4&gt;Resumen_Sprints!$E$12,CT$4&lt;=Resumen_Sprints!$E$12+Resumen_Sprints!$D$12),INDEX('Sprint N°7'!$C$6:$P$6,CT$4-Resumen_Sprints!$E$12),0)</f>
        <v>0</v>
      </c>
      <c r="CU40" s="10">
        <f>SUM(C40:CT40)</f>
        <v>16</v>
      </c>
    </row>
    <row r="41" spans="1:99" x14ac:dyDescent="0.3">
      <c r="A41" s="22" t="str">
        <f>'Sprint N°7'!A7</f>
        <v>Pruebas Unitarias Motor de Cálculo</v>
      </c>
      <c r="B41" s="22">
        <f>'Sprint N°7'!B7</f>
        <v>30</v>
      </c>
      <c r="C41" s="36">
        <f>IF(AND(C$4&gt;Resumen_Sprints!$E$12,C$4&lt;=Resumen_Sprints!$E$12+Resumen_Sprints!$D$12),INDEX('Sprint N°7'!$C$7:$P$7,C$4-Resumen_Sprints!$E$12),0)</f>
        <v>0</v>
      </c>
      <c r="D41" s="36">
        <f>IF(AND(D$4&gt;Resumen_Sprints!$E$12,D$4&lt;=Resumen_Sprints!$E$12+Resumen_Sprints!$D$12),INDEX('Sprint N°7'!$C$7:$P$7,D$4-Resumen_Sprints!$E$12),0)</f>
        <v>0</v>
      </c>
      <c r="E41" s="36">
        <f>IF(AND(E$4&gt;Resumen_Sprints!$E$12,E$4&lt;=Resumen_Sprints!$E$12+Resumen_Sprints!$D$12),INDEX('Sprint N°7'!$C$7:$P$7,E$4-Resumen_Sprints!$E$12),0)</f>
        <v>0</v>
      </c>
      <c r="F41" s="36">
        <f>IF(AND(F$4&gt;Resumen_Sprints!$E$12,F$4&lt;=Resumen_Sprints!$E$12+Resumen_Sprints!$D$12),INDEX('Sprint N°7'!$C$7:$P$7,F$4-Resumen_Sprints!$E$12),0)</f>
        <v>0</v>
      </c>
      <c r="G41" s="36">
        <f>IF(AND(G$4&gt;Resumen_Sprints!$E$12,G$4&lt;=Resumen_Sprints!$E$12+Resumen_Sprints!$D$12),INDEX('Sprint N°7'!$C$7:$P$7,G$4-Resumen_Sprints!$E$12),0)</f>
        <v>0</v>
      </c>
      <c r="H41" s="36">
        <f>IF(AND(H$4&gt;Resumen_Sprints!$E$12,H$4&lt;=Resumen_Sprints!$E$12+Resumen_Sprints!$D$12),INDEX('Sprint N°7'!$C$7:$P$7,H$4-Resumen_Sprints!$E$12),0)</f>
        <v>0</v>
      </c>
      <c r="I41" s="36">
        <f>IF(AND(I$4&gt;Resumen_Sprints!$E$12,I$4&lt;=Resumen_Sprints!$E$12+Resumen_Sprints!$D$12),INDEX('Sprint N°7'!$C$7:$P$7,I$4-Resumen_Sprints!$E$12),0)</f>
        <v>0</v>
      </c>
      <c r="J41" s="36">
        <f>IF(AND(J$4&gt;Resumen_Sprints!$E$12,J$4&lt;=Resumen_Sprints!$E$12+Resumen_Sprints!$D$12),INDEX('Sprint N°7'!$C$7:$P$7,J$4-Resumen_Sprints!$E$12),0)</f>
        <v>0</v>
      </c>
      <c r="K41" s="36">
        <f>IF(AND(K$4&gt;Resumen_Sprints!$E$12,K$4&lt;=Resumen_Sprints!$E$12+Resumen_Sprints!$D$12),INDEX('Sprint N°7'!$C$7:$P$7,K$4-Resumen_Sprints!$E$12),0)</f>
        <v>0</v>
      </c>
      <c r="L41" s="36">
        <f>IF(AND(L$4&gt;Resumen_Sprints!$E$12,L$4&lt;=Resumen_Sprints!$E$12+Resumen_Sprints!$D$12),INDEX('Sprint N°7'!$C$7:$P$7,L$4-Resumen_Sprints!$E$12),0)</f>
        <v>0</v>
      </c>
      <c r="M41" s="36">
        <f>IF(AND(M$4&gt;Resumen_Sprints!$E$12,M$4&lt;=Resumen_Sprints!$E$12+Resumen_Sprints!$D$12),INDEX('Sprint N°7'!$C$7:$P$7,M$4-Resumen_Sprints!$E$12),0)</f>
        <v>0</v>
      </c>
      <c r="N41" s="36">
        <f>IF(AND(N$4&gt;Resumen_Sprints!$E$12,N$4&lt;=Resumen_Sprints!$E$12+Resumen_Sprints!$D$12),INDEX('Sprint N°7'!$C$7:$P$7,N$4-Resumen_Sprints!$E$12),0)</f>
        <v>0</v>
      </c>
      <c r="O41" s="36">
        <f>IF(AND(O$4&gt;Resumen_Sprints!$E$12,O$4&lt;=Resumen_Sprints!$E$12+Resumen_Sprints!$D$12),INDEX('Sprint N°7'!$C$7:$P$7,O$4-Resumen_Sprints!$E$12),0)</f>
        <v>0</v>
      </c>
      <c r="P41" s="36">
        <f>IF(AND(P$4&gt;Resumen_Sprints!$E$12,P$4&lt;=Resumen_Sprints!$E$12+Resumen_Sprints!$D$12),INDEX('Sprint N°7'!$C$7:$P$7,P$4-Resumen_Sprints!$E$12),0)</f>
        <v>0</v>
      </c>
      <c r="Q41" s="36">
        <f>IF(AND(Q$4&gt;Resumen_Sprints!$E$12,Q$4&lt;=Resumen_Sprints!$E$12+Resumen_Sprints!$D$12),INDEX('Sprint N°7'!$C$7:$P$7,Q$4-Resumen_Sprints!$E$12),0)</f>
        <v>0</v>
      </c>
      <c r="R41" s="36">
        <f>IF(AND(R$4&gt;Resumen_Sprints!$E$12,R$4&lt;=Resumen_Sprints!$E$12+Resumen_Sprints!$D$12),INDEX('Sprint N°7'!$C$7:$P$7,R$4-Resumen_Sprints!$E$12),0)</f>
        <v>0</v>
      </c>
      <c r="S41" s="36">
        <f>IF(AND(S$4&gt;Resumen_Sprints!$E$12,S$4&lt;=Resumen_Sprints!$E$12+Resumen_Sprints!$D$12),INDEX('Sprint N°7'!$C$7:$P$7,S$4-Resumen_Sprints!$E$12),0)</f>
        <v>0</v>
      </c>
      <c r="T41" s="36">
        <f>IF(AND(T$4&gt;Resumen_Sprints!$E$12,T$4&lt;=Resumen_Sprints!$E$12+Resumen_Sprints!$D$12),INDEX('Sprint N°7'!$C$7:$P$7,T$4-Resumen_Sprints!$E$12),0)</f>
        <v>0</v>
      </c>
      <c r="U41" s="36">
        <f>IF(AND(U$4&gt;Resumen_Sprints!$E$12,U$4&lt;=Resumen_Sprints!$E$12+Resumen_Sprints!$D$12),INDEX('Sprint N°7'!$C$7:$P$7,U$4-Resumen_Sprints!$E$12),0)</f>
        <v>0</v>
      </c>
      <c r="V41" s="36">
        <f>IF(AND(V$4&gt;Resumen_Sprints!$E$12,V$4&lt;=Resumen_Sprints!$E$12+Resumen_Sprints!$D$12),INDEX('Sprint N°7'!$C$7:$P$7,V$4-Resumen_Sprints!$E$12),0)</f>
        <v>0</v>
      </c>
      <c r="W41" s="36">
        <f>IF(AND(W$4&gt;Resumen_Sprints!$E$12,W$4&lt;=Resumen_Sprints!$E$12+Resumen_Sprints!$D$12),INDEX('Sprint N°7'!$C$7:$P$7,W$4-Resumen_Sprints!$E$12),0)</f>
        <v>0</v>
      </c>
      <c r="X41" s="36">
        <f>IF(AND(X$4&gt;Resumen_Sprints!$E$12,X$4&lt;=Resumen_Sprints!$E$12+Resumen_Sprints!$D$12),INDEX('Sprint N°7'!$C$7:$P$7,X$4-Resumen_Sprints!$E$12),0)</f>
        <v>0</v>
      </c>
      <c r="Y41" s="36">
        <f>IF(AND(Y$4&gt;Resumen_Sprints!$E$12,Y$4&lt;=Resumen_Sprints!$E$12+Resumen_Sprints!$D$12),INDEX('Sprint N°7'!$C$7:$P$7,Y$4-Resumen_Sprints!$E$12),0)</f>
        <v>0</v>
      </c>
      <c r="Z41" s="36">
        <f>IF(AND(Z$4&gt;Resumen_Sprints!$E$12,Z$4&lt;=Resumen_Sprints!$E$12+Resumen_Sprints!$D$12),INDEX('Sprint N°7'!$C$7:$P$7,Z$4-Resumen_Sprints!$E$12),0)</f>
        <v>0</v>
      </c>
      <c r="AA41" s="36">
        <f>IF(AND(AA$4&gt;Resumen_Sprints!$E$12,AA$4&lt;=Resumen_Sprints!$E$12+Resumen_Sprints!$D$12),INDEX('Sprint N°7'!$C$7:$P$7,AA$4-Resumen_Sprints!$E$12),0)</f>
        <v>0</v>
      </c>
      <c r="AB41" s="36">
        <f>IF(AND(AB$4&gt;Resumen_Sprints!$E$12,AB$4&lt;=Resumen_Sprints!$E$12+Resumen_Sprints!$D$12),INDEX('Sprint N°7'!$C$7:$P$7,AB$4-Resumen_Sprints!$E$12),0)</f>
        <v>0</v>
      </c>
      <c r="AC41" s="36">
        <f>IF(AND(AC$4&gt;Resumen_Sprints!$E$12,AC$4&lt;=Resumen_Sprints!$E$12+Resumen_Sprints!$D$12),INDEX('Sprint N°7'!$C$7:$P$7,AC$4-Resumen_Sprints!$E$12),0)</f>
        <v>0</v>
      </c>
      <c r="AD41" s="36">
        <f>IF(AND(AD$4&gt;Resumen_Sprints!$E$12,AD$4&lt;=Resumen_Sprints!$E$12+Resumen_Sprints!$D$12),INDEX('Sprint N°7'!$C$7:$P$7,AD$4-Resumen_Sprints!$E$12),0)</f>
        <v>0</v>
      </c>
      <c r="AE41" s="36">
        <f>IF(AND(AE$4&gt;Resumen_Sprints!$E$12,AE$4&lt;=Resumen_Sprints!$E$12+Resumen_Sprints!$D$12),INDEX('Sprint N°7'!$C$7:$P$7,AE$4-Resumen_Sprints!$E$12),0)</f>
        <v>0</v>
      </c>
      <c r="AF41" s="36">
        <f>IF(AND(AF$4&gt;Resumen_Sprints!$E$12,AF$4&lt;=Resumen_Sprints!$E$12+Resumen_Sprints!$D$12),INDEX('Sprint N°7'!$C$7:$P$7,AF$4-Resumen_Sprints!$E$12),0)</f>
        <v>0</v>
      </c>
      <c r="AG41" s="36">
        <f>IF(AND(AG$4&gt;Resumen_Sprints!$E$12,AG$4&lt;=Resumen_Sprints!$E$12+Resumen_Sprints!$D$12),INDEX('Sprint N°7'!$C$7:$P$7,AG$4-Resumen_Sprints!$E$12),0)</f>
        <v>0</v>
      </c>
      <c r="AH41" s="36">
        <f>IF(AND(AH$4&gt;Resumen_Sprints!$E$12,AH$4&lt;=Resumen_Sprints!$E$12+Resumen_Sprints!$D$12),INDEX('Sprint N°7'!$C$7:$P$7,AH$4-Resumen_Sprints!$E$12),0)</f>
        <v>0</v>
      </c>
      <c r="AI41" s="36">
        <f>IF(AND(AI$4&gt;Resumen_Sprints!$E$12,AI$4&lt;=Resumen_Sprints!$E$12+Resumen_Sprints!$D$12),INDEX('Sprint N°7'!$C$7:$P$7,AI$4-Resumen_Sprints!$E$12),0)</f>
        <v>0</v>
      </c>
      <c r="AJ41" s="36">
        <f>IF(AND(AJ$4&gt;Resumen_Sprints!$E$12,AJ$4&lt;=Resumen_Sprints!$E$12+Resumen_Sprints!$D$12),INDEX('Sprint N°7'!$C$7:$P$7,AJ$4-Resumen_Sprints!$E$12),0)</f>
        <v>0</v>
      </c>
      <c r="AK41" s="36">
        <f>IF(AND(AK$4&gt;Resumen_Sprints!$E$12,AK$4&lt;=Resumen_Sprints!$E$12+Resumen_Sprints!$D$12),INDEX('Sprint N°7'!$C$7:$P$7,AK$4-Resumen_Sprints!$E$12),0)</f>
        <v>0</v>
      </c>
      <c r="AL41" s="36">
        <f>IF(AND(AL$4&gt;Resumen_Sprints!$E$12,AL$4&lt;=Resumen_Sprints!$E$12+Resumen_Sprints!$D$12),INDEX('Sprint N°7'!$C$7:$P$7,AL$4-Resumen_Sprints!$E$12),0)</f>
        <v>0</v>
      </c>
      <c r="AM41" s="36">
        <f>IF(AND(AM$4&gt;Resumen_Sprints!$E$12,AM$4&lt;=Resumen_Sprints!$E$12+Resumen_Sprints!$D$12),INDEX('Sprint N°7'!$C$7:$P$7,AM$4-Resumen_Sprints!$E$12),0)</f>
        <v>0</v>
      </c>
      <c r="AN41" s="36">
        <f>IF(AND(AN$4&gt;Resumen_Sprints!$E$12,AN$4&lt;=Resumen_Sprints!$E$12+Resumen_Sprints!$D$12),INDEX('Sprint N°7'!$C$7:$P$7,AN$4-Resumen_Sprints!$E$12),0)</f>
        <v>0</v>
      </c>
      <c r="AO41" s="36">
        <f>IF(AND(AO$4&gt;Resumen_Sprints!$E$12,AO$4&lt;=Resumen_Sprints!$E$12+Resumen_Sprints!$D$12),INDEX('Sprint N°7'!$C$7:$P$7,AO$4-Resumen_Sprints!$E$12),0)</f>
        <v>0</v>
      </c>
      <c r="AP41" s="36">
        <f>IF(AND(AP$4&gt;Resumen_Sprints!$E$12,AP$4&lt;=Resumen_Sprints!$E$12+Resumen_Sprints!$D$12),INDEX('Sprint N°7'!$C$7:$P$7,AP$4-Resumen_Sprints!$E$12),0)</f>
        <v>0</v>
      </c>
      <c r="AQ41" s="36">
        <f>IF(AND(AQ$4&gt;Resumen_Sprints!$E$12,AQ$4&lt;=Resumen_Sprints!$E$12+Resumen_Sprints!$D$12),INDEX('Sprint N°7'!$C$7:$P$7,AQ$4-Resumen_Sprints!$E$12),0)</f>
        <v>0</v>
      </c>
      <c r="AR41" s="36">
        <f>IF(AND(AR$4&gt;Resumen_Sprints!$E$12,AR$4&lt;=Resumen_Sprints!$E$12+Resumen_Sprints!$D$12),INDEX('Sprint N°7'!$C$7:$P$7,AR$4-Resumen_Sprints!$E$12),0)</f>
        <v>0</v>
      </c>
      <c r="AS41" s="36">
        <f>IF(AND(AS$4&gt;Resumen_Sprints!$E$12,AS$4&lt;=Resumen_Sprints!$E$12+Resumen_Sprints!$D$12),INDEX('Sprint N°7'!$C$7:$P$7,AS$4-Resumen_Sprints!$E$12),0)</f>
        <v>0</v>
      </c>
      <c r="AT41" s="36">
        <f>IF(AND(AT$4&gt;Resumen_Sprints!$E$12,AT$4&lt;=Resumen_Sprints!$E$12+Resumen_Sprints!$D$12),INDEX('Sprint N°7'!$C$7:$P$7,AT$4-Resumen_Sprints!$E$12),0)</f>
        <v>0</v>
      </c>
      <c r="AU41" s="36">
        <f>IF(AND(AU$4&gt;Resumen_Sprints!$E$12,AU$4&lt;=Resumen_Sprints!$E$12+Resumen_Sprints!$D$12),INDEX('Sprint N°7'!$C$7:$P$7,AU$4-Resumen_Sprints!$E$12),0)</f>
        <v>0</v>
      </c>
      <c r="AV41" s="36">
        <f>IF(AND(AV$4&gt;Resumen_Sprints!$E$12,AV$4&lt;=Resumen_Sprints!$E$12+Resumen_Sprints!$D$12),INDEX('Sprint N°7'!$C$7:$P$7,AV$4-Resumen_Sprints!$E$12),0)</f>
        <v>0</v>
      </c>
      <c r="AW41" s="36">
        <f>IF(AND(AW$4&gt;Resumen_Sprints!$E$12,AW$4&lt;=Resumen_Sprints!$E$12+Resumen_Sprints!$D$12),INDEX('Sprint N°7'!$C$7:$P$7,AW$4-Resumen_Sprints!$E$12),0)</f>
        <v>0</v>
      </c>
      <c r="AX41" s="36">
        <f>IF(AND(AX$4&gt;Resumen_Sprints!$E$12,AX$4&lt;=Resumen_Sprints!$E$12+Resumen_Sprints!$D$12),INDEX('Sprint N°7'!$C$7:$P$7,AX$4-Resumen_Sprints!$E$12),0)</f>
        <v>0</v>
      </c>
      <c r="AY41" s="36">
        <f>IF(AND(AY$4&gt;Resumen_Sprints!$E$12,AY$4&lt;=Resumen_Sprints!$E$12+Resumen_Sprints!$D$12),INDEX('Sprint N°7'!$C$7:$P$7,AY$4-Resumen_Sprints!$E$12),0)</f>
        <v>0</v>
      </c>
      <c r="AZ41" s="36">
        <f>IF(AND(AZ$4&gt;Resumen_Sprints!$E$12,AZ$4&lt;=Resumen_Sprints!$E$12+Resumen_Sprints!$D$12),INDEX('Sprint N°7'!$C$7:$P$7,AZ$4-Resumen_Sprints!$E$12),0)</f>
        <v>0</v>
      </c>
      <c r="BA41" s="36">
        <f>IF(AND(BA$4&gt;Resumen_Sprints!$E$12,BA$4&lt;=Resumen_Sprints!$E$12+Resumen_Sprints!$D$12),INDEX('Sprint N°7'!$C$7:$P$7,BA$4-Resumen_Sprints!$E$12),0)</f>
        <v>0</v>
      </c>
      <c r="BB41" s="36">
        <f>IF(AND(BB$4&gt;Resumen_Sprints!$E$12,BB$4&lt;=Resumen_Sprints!$E$12+Resumen_Sprints!$D$12),INDEX('Sprint N°7'!$C$7:$P$7,BB$4-Resumen_Sprints!$E$12),0)</f>
        <v>0</v>
      </c>
      <c r="BC41" s="36">
        <f>IF(AND(BC$4&gt;Resumen_Sprints!$E$12,BC$4&lt;=Resumen_Sprints!$E$12+Resumen_Sprints!$D$12),INDEX('Sprint N°7'!$C$7:$P$7,BC$4-Resumen_Sprints!$E$12),0)</f>
        <v>0</v>
      </c>
      <c r="BD41" s="36">
        <f>IF(AND(BD$4&gt;Resumen_Sprints!$E$12,BD$4&lt;=Resumen_Sprints!$E$12+Resumen_Sprints!$D$12),INDEX('Sprint N°7'!$C$7:$P$7,BD$4-Resumen_Sprints!$E$12),0)</f>
        <v>0</v>
      </c>
      <c r="BE41" s="36">
        <f>IF(AND(BE$4&gt;Resumen_Sprints!$E$12,BE$4&lt;=Resumen_Sprints!$E$12+Resumen_Sprints!$D$12),INDEX('Sprint N°7'!$C$7:$P$7,BE$4-Resumen_Sprints!$E$12),0)</f>
        <v>0</v>
      </c>
      <c r="BF41" s="36">
        <f>IF(AND(BF$4&gt;Resumen_Sprints!$E$12,BF$4&lt;=Resumen_Sprints!$E$12+Resumen_Sprints!$D$12),INDEX('Sprint N°7'!$C$7:$P$7,BF$4-Resumen_Sprints!$E$12),0)</f>
        <v>0</v>
      </c>
      <c r="BG41" s="36">
        <f>IF(AND(BG$4&gt;Resumen_Sprints!$E$12,BG$4&lt;=Resumen_Sprints!$E$12+Resumen_Sprints!$D$12),INDEX('Sprint N°7'!$C$7:$P$7,BG$4-Resumen_Sprints!$E$12),0)</f>
        <v>0</v>
      </c>
      <c r="BH41" s="36">
        <f>IF(AND(BH$4&gt;Resumen_Sprints!$E$12,BH$4&lt;=Resumen_Sprints!$E$12+Resumen_Sprints!$D$12),INDEX('Sprint N°7'!$C$7:$P$7,BH$4-Resumen_Sprints!$E$12),0)</f>
        <v>0</v>
      </c>
      <c r="BI41" s="36">
        <f>IF(AND(BI$4&gt;Resumen_Sprints!$E$12,BI$4&lt;=Resumen_Sprints!$E$12+Resumen_Sprints!$D$12),INDEX('Sprint N°7'!$C$7:$P$7,BI$4-Resumen_Sprints!$E$12),0)</f>
        <v>0</v>
      </c>
      <c r="BJ41" s="36">
        <f>IF(AND(BJ$4&gt;Resumen_Sprints!$E$12,BJ$4&lt;=Resumen_Sprints!$E$12+Resumen_Sprints!$D$12),INDEX('Sprint N°7'!$C$7:$P$7,BJ$4-Resumen_Sprints!$E$12),0)</f>
        <v>0</v>
      </c>
      <c r="BK41" s="36">
        <f>IF(AND(BK$4&gt;Resumen_Sprints!$E$12,BK$4&lt;=Resumen_Sprints!$E$12+Resumen_Sprints!$D$12),INDEX('Sprint N°7'!$C$7:$P$7,BK$4-Resumen_Sprints!$E$12),0)</f>
        <v>0</v>
      </c>
      <c r="BL41" s="36">
        <f>IF(AND(BL$4&gt;Resumen_Sprints!$E$12,BL$4&lt;=Resumen_Sprints!$E$12+Resumen_Sprints!$D$12),INDEX('Sprint N°7'!$C$7:$P$7,BL$4-Resumen_Sprints!$E$12),0)</f>
        <v>0</v>
      </c>
      <c r="BM41" s="36">
        <f>IF(AND(BM$4&gt;Resumen_Sprints!$E$12,BM$4&lt;=Resumen_Sprints!$E$12+Resumen_Sprints!$D$12),INDEX('Sprint N°7'!$C$7:$P$7,BM$4-Resumen_Sprints!$E$12),0)</f>
        <v>0</v>
      </c>
      <c r="BN41" s="36">
        <f>IF(AND(BN$4&gt;Resumen_Sprints!$E$12,BN$4&lt;=Resumen_Sprints!$E$12+Resumen_Sprints!$D$12),INDEX('Sprint N°7'!$C$7:$P$7,BN$4-Resumen_Sprints!$E$12),0)</f>
        <v>0</v>
      </c>
      <c r="BO41" s="36">
        <f>IF(AND(BO$4&gt;Resumen_Sprints!$E$12,BO$4&lt;=Resumen_Sprints!$E$12+Resumen_Sprints!$D$12),INDEX('Sprint N°7'!$C$7:$P$7,BO$4-Resumen_Sprints!$E$12),0)</f>
        <v>0</v>
      </c>
      <c r="BP41" s="36">
        <f>IF(AND(BP$4&gt;Resumen_Sprints!$E$12,BP$4&lt;=Resumen_Sprints!$E$12+Resumen_Sprints!$D$12),INDEX('Sprint N°7'!$C$7:$P$7,BP$4-Resumen_Sprints!$E$12),0)</f>
        <v>0</v>
      </c>
      <c r="BQ41" s="36">
        <f>IF(AND(BQ$4&gt;Resumen_Sprints!$E$12,BQ$4&lt;=Resumen_Sprints!$E$12+Resumen_Sprints!$D$12),INDEX('Sprint N°7'!$C$7:$P$7,BQ$4-Resumen_Sprints!$E$12),0)</f>
        <v>0</v>
      </c>
      <c r="BR41" s="36">
        <f>IF(AND(BR$4&gt;Resumen_Sprints!$E$12,BR$4&lt;=Resumen_Sprints!$E$12+Resumen_Sprints!$D$12),INDEX('Sprint N°7'!$C$7:$P$7,BR$4-Resumen_Sprints!$E$12),0)</f>
        <v>0</v>
      </c>
      <c r="BS41" s="36">
        <f>IF(AND(BS$4&gt;Resumen_Sprints!$E$12,BS$4&lt;=Resumen_Sprints!$E$12+Resumen_Sprints!$D$12),INDEX('Sprint N°7'!$C$7:$P$7,BS$4-Resumen_Sprints!$E$12),0)</f>
        <v>0</v>
      </c>
      <c r="BT41" s="36">
        <f>IF(AND(BT$4&gt;Resumen_Sprints!$E$12,BT$4&lt;=Resumen_Sprints!$E$12+Resumen_Sprints!$D$12),INDEX('Sprint N°7'!$C$7:$P$7,BT$4-Resumen_Sprints!$E$12),0)</f>
        <v>0</v>
      </c>
      <c r="BU41" s="36">
        <f>IF(AND(BU$4&gt;Resumen_Sprints!$E$12,BU$4&lt;=Resumen_Sprints!$E$12+Resumen_Sprints!$D$12),INDEX('Sprint N°7'!$C$7:$P$7,BU$4-Resumen_Sprints!$E$12),0)</f>
        <v>0</v>
      </c>
      <c r="BV41" s="36">
        <f>IF(AND(BV$4&gt;Resumen_Sprints!$E$12,BV$4&lt;=Resumen_Sprints!$E$12+Resumen_Sprints!$D$12),INDEX('Sprint N°7'!$C$7:$P$7,BV$4-Resumen_Sprints!$E$12),0)</f>
        <v>6</v>
      </c>
      <c r="BW41" s="36">
        <f>IF(AND(BW$4&gt;Resumen_Sprints!$E$12,BW$4&lt;=Resumen_Sprints!$E$12+Resumen_Sprints!$D$12),INDEX('Sprint N°7'!$C$7:$P$7,BW$4-Resumen_Sprints!$E$12),0)</f>
        <v>10</v>
      </c>
      <c r="BX41" s="36">
        <f>IF(AND(BX$4&gt;Resumen_Sprints!$E$12,BX$4&lt;=Resumen_Sprints!$E$12+Resumen_Sprints!$D$12),INDEX('Sprint N°7'!$C$7:$P$7,BX$4-Resumen_Sprints!$E$12),0)</f>
        <v>8</v>
      </c>
      <c r="BY41" s="36">
        <f>IF(AND(BY$4&gt;Resumen_Sprints!$E$12,BY$4&lt;=Resumen_Sprints!$E$12+Resumen_Sprints!$D$12),INDEX('Sprint N°7'!$C$7:$P$7,BY$4-Resumen_Sprints!$E$12),0)</f>
        <v>6</v>
      </c>
      <c r="BZ41" s="36">
        <f>IF(AND(BZ$4&gt;Resumen_Sprints!$E$12,BZ$4&lt;=Resumen_Sprints!$E$12+Resumen_Sprints!$D$12),INDEX('Sprint N°7'!$C$7:$P$7,BZ$4-Resumen_Sprints!$E$12),0)</f>
        <v>0</v>
      </c>
      <c r="CA41" s="36">
        <f>IF(AND(CA$4&gt;Resumen_Sprints!$E$12,CA$4&lt;=Resumen_Sprints!$E$12+Resumen_Sprints!$D$12),INDEX('Sprint N°7'!$C$7:$P$7,CA$4-Resumen_Sprints!$E$12),0)</f>
        <v>0</v>
      </c>
      <c r="CB41" s="36">
        <f>IF(AND(CB$4&gt;Resumen_Sprints!$E$12,CB$4&lt;=Resumen_Sprints!$E$12+Resumen_Sprints!$D$12),INDEX('Sprint N°7'!$C$7:$P$7,CB$4-Resumen_Sprints!$E$12),0)</f>
        <v>0</v>
      </c>
      <c r="CC41" s="36">
        <f>IF(AND(CC$4&gt;Resumen_Sprints!$E$12,CC$4&lt;=Resumen_Sprints!$E$12+Resumen_Sprints!$D$12),INDEX('Sprint N°7'!$C$7:$P$7,CC$4-Resumen_Sprints!$E$12),0)</f>
        <v>0</v>
      </c>
      <c r="CD41" s="36">
        <f>IF(AND(CD$4&gt;Resumen_Sprints!$E$12,CD$4&lt;=Resumen_Sprints!$E$12+Resumen_Sprints!$D$12),INDEX('Sprint N°7'!$C$7:$P$7,CD$4-Resumen_Sprints!$E$12),0)</f>
        <v>0</v>
      </c>
      <c r="CE41" s="36">
        <f>IF(AND(CE$4&gt;Resumen_Sprints!$E$12,CE$4&lt;=Resumen_Sprints!$E$12+Resumen_Sprints!$D$12),INDEX('Sprint N°7'!$C$7:$P$7,CE$4-Resumen_Sprints!$E$12),0)</f>
        <v>0</v>
      </c>
      <c r="CF41" s="36">
        <f>IF(AND(CF$4&gt;Resumen_Sprints!$E$12,CF$4&lt;=Resumen_Sprints!$E$12+Resumen_Sprints!$D$12),INDEX('Sprint N°7'!$C$7:$P$7,CF$4-Resumen_Sprints!$E$12),0)</f>
        <v>0</v>
      </c>
      <c r="CG41" s="36">
        <f>IF(AND(CG$4&gt;Resumen_Sprints!$E$12,CG$4&lt;=Resumen_Sprints!$E$12+Resumen_Sprints!$D$12),INDEX('Sprint N°7'!$C$7:$P$7,CG$4-Resumen_Sprints!$E$12),0)</f>
        <v>0</v>
      </c>
      <c r="CH41" s="36">
        <f>IF(AND(CH$4&gt;Resumen_Sprints!$E$12,CH$4&lt;=Resumen_Sprints!$E$12+Resumen_Sprints!$D$12),INDEX('Sprint N°7'!$C$7:$P$7,CH$4-Resumen_Sprints!$E$12),0)</f>
        <v>0</v>
      </c>
      <c r="CI41" s="36">
        <f>IF(AND(CI$4&gt;Resumen_Sprints!$E$12,CI$4&lt;=Resumen_Sprints!$E$12+Resumen_Sprints!$D$12),INDEX('Sprint N°7'!$C$7:$P$7,CI$4-Resumen_Sprints!$E$12),0)</f>
        <v>0</v>
      </c>
      <c r="CJ41" s="36">
        <f>IF(AND(CJ$4&gt;Resumen_Sprints!$E$12,CJ$4&lt;=Resumen_Sprints!$E$12+Resumen_Sprints!$D$12),INDEX('Sprint N°7'!$C$7:$P$7,CJ$4-Resumen_Sprints!$E$12),0)</f>
        <v>0</v>
      </c>
      <c r="CK41" s="36">
        <f>IF(AND(CK$4&gt;Resumen_Sprints!$E$12,CK$4&lt;=Resumen_Sprints!$E$12+Resumen_Sprints!$D$12),INDEX('Sprint N°7'!$C$7:$P$7,CK$4-Resumen_Sprints!$E$12),0)</f>
        <v>0</v>
      </c>
      <c r="CL41" s="36">
        <f>IF(AND(CL$4&gt;Resumen_Sprints!$E$12,CL$4&lt;=Resumen_Sprints!$E$12+Resumen_Sprints!$D$12),INDEX('Sprint N°7'!$C$7:$P$7,CL$4-Resumen_Sprints!$E$12),0)</f>
        <v>0</v>
      </c>
      <c r="CM41" s="36">
        <f>IF(AND(CM$4&gt;Resumen_Sprints!$E$12,CM$4&lt;=Resumen_Sprints!$E$12+Resumen_Sprints!$D$12),INDEX('Sprint N°7'!$C$7:$P$7,CM$4-Resumen_Sprints!$E$12),0)</f>
        <v>0</v>
      </c>
      <c r="CN41" s="36">
        <f>IF(AND(CN$4&gt;Resumen_Sprints!$E$12,CN$4&lt;=Resumen_Sprints!$E$12+Resumen_Sprints!$D$12),INDEX('Sprint N°7'!$C$7:$P$7,CN$4-Resumen_Sprints!$E$12),0)</f>
        <v>0</v>
      </c>
      <c r="CO41" s="36">
        <f>IF(AND(CO$4&gt;Resumen_Sprints!$E$12,CO$4&lt;=Resumen_Sprints!$E$12+Resumen_Sprints!$D$12),INDEX('Sprint N°7'!$C$7:$P$7,CO$4-Resumen_Sprints!$E$12),0)</f>
        <v>0</v>
      </c>
      <c r="CP41" s="36">
        <f>IF(AND(CP$4&gt;Resumen_Sprints!$E$12,CP$4&lt;=Resumen_Sprints!$E$12+Resumen_Sprints!$D$12),INDEX('Sprint N°7'!$C$7:$P$7,CP$4-Resumen_Sprints!$E$12),0)</f>
        <v>0</v>
      </c>
      <c r="CQ41" s="36">
        <f>IF(AND(CQ$4&gt;Resumen_Sprints!$E$12,CQ$4&lt;=Resumen_Sprints!$E$12+Resumen_Sprints!$D$12),INDEX('Sprint N°7'!$C$7:$P$7,CQ$4-Resumen_Sprints!$E$12),0)</f>
        <v>0</v>
      </c>
      <c r="CR41" s="36">
        <f>IF(AND(CR$4&gt;Resumen_Sprints!$E$12,CR$4&lt;=Resumen_Sprints!$E$12+Resumen_Sprints!$D$12),INDEX('Sprint N°7'!$C$7:$P$7,CR$4-Resumen_Sprints!$E$12),0)</f>
        <v>0</v>
      </c>
      <c r="CS41" s="36">
        <f>IF(AND(CS$4&gt;Resumen_Sprints!$E$12,CS$4&lt;=Resumen_Sprints!$E$12+Resumen_Sprints!$D$12),INDEX('Sprint N°7'!$C$7:$P$7,CS$4-Resumen_Sprints!$E$12),0)</f>
        <v>0</v>
      </c>
      <c r="CT41" s="36">
        <f>IF(AND(CT$4&gt;Resumen_Sprints!$E$12,CT$4&lt;=Resumen_Sprints!$E$12+Resumen_Sprints!$D$12),INDEX('Sprint N°7'!$C$7:$P$7,CT$4-Resumen_Sprints!$E$12),0)</f>
        <v>0</v>
      </c>
      <c r="CU41" s="10">
        <f>SUM(C41:CT41)</f>
        <v>30</v>
      </c>
    </row>
    <row r="42" spans="1:99" x14ac:dyDescent="0.3">
      <c r="A42" s="22" t="str">
        <f>'Sprint N°7'!A8</f>
        <v>Pruebas Unitarias Interfaz Gráfica</v>
      </c>
      <c r="B42" s="22">
        <f>'Sprint N°7'!B8</f>
        <v>14</v>
      </c>
      <c r="C42" s="36">
        <f>IF(AND(C$4&gt;Resumen_Sprints!$E$12,C$4&lt;=Resumen_Sprints!$E$12+Resumen_Sprints!$D$12),INDEX('Sprint N°7'!$C$8:$P$8,C$4-Resumen_Sprints!$E$12),0)</f>
        <v>0</v>
      </c>
      <c r="D42" s="36">
        <f>IF(AND(D$4&gt;Resumen_Sprints!$E$12,D$4&lt;=Resumen_Sprints!$E$12+Resumen_Sprints!$D$12),INDEX('Sprint N°7'!$C$8:$P$8,D$4-Resumen_Sprints!$E$12),0)</f>
        <v>0</v>
      </c>
      <c r="E42" s="36">
        <f>IF(AND(E$4&gt;Resumen_Sprints!$E$12,E$4&lt;=Resumen_Sprints!$E$12+Resumen_Sprints!$D$12),INDEX('Sprint N°7'!$C$8:$P$8,E$4-Resumen_Sprints!$E$12),0)</f>
        <v>0</v>
      </c>
      <c r="F42" s="36">
        <f>IF(AND(F$4&gt;Resumen_Sprints!$E$12,F$4&lt;=Resumen_Sprints!$E$12+Resumen_Sprints!$D$12),INDEX('Sprint N°7'!$C$8:$P$8,F$4-Resumen_Sprints!$E$12),0)</f>
        <v>0</v>
      </c>
      <c r="G42" s="36">
        <f>IF(AND(G$4&gt;Resumen_Sprints!$E$12,G$4&lt;=Resumen_Sprints!$E$12+Resumen_Sprints!$D$12),INDEX('Sprint N°7'!$C$8:$P$8,G$4-Resumen_Sprints!$E$12),0)</f>
        <v>0</v>
      </c>
      <c r="H42" s="36">
        <f>IF(AND(H$4&gt;Resumen_Sprints!$E$12,H$4&lt;=Resumen_Sprints!$E$12+Resumen_Sprints!$D$12),INDEX('Sprint N°7'!$C$8:$P$8,H$4-Resumen_Sprints!$E$12),0)</f>
        <v>0</v>
      </c>
      <c r="I42" s="36">
        <f>IF(AND(I$4&gt;Resumen_Sprints!$E$12,I$4&lt;=Resumen_Sprints!$E$12+Resumen_Sprints!$D$12),INDEX('Sprint N°7'!$C$8:$P$8,I$4-Resumen_Sprints!$E$12),0)</f>
        <v>0</v>
      </c>
      <c r="J42" s="36">
        <f>IF(AND(J$4&gt;Resumen_Sprints!$E$12,J$4&lt;=Resumen_Sprints!$E$12+Resumen_Sprints!$D$12),INDEX('Sprint N°7'!$C$8:$P$8,J$4-Resumen_Sprints!$E$12),0)</f>
        <v>0</v>
      </c>
      <c r="K42" s="36">
        <f>IF(AND(K$4&gt;Resumen_Sprints!$E$12,K$4&lt;=Resumen_Sprints!$E$12+Resumen_Sprints!$D$12),INDEX('Sprint N°7'!$C$8:$P$8,K$4-Resumen_Sprints!$E$12),0)</f>
        <v>0</v>
      </c>
      <c r="L42" s="36">
        <f>IF(AND(L$4&gt;Resumen_Sprints!$E$12,L$4&lt;=Resumen_Sprints!$E$12+Resumen_Sprints!$D$12),INDEX('Sprint N°7'!$C$8:$P$8,L$4-Resumen_Sprints!$E$12),0)</f>
        <v>0</v>
      </c>
      <c r="M42" s="36">
        <f>IF(AND(M$4&gt;Resumen_Sprints!$E$12,M$4&lt;=Resumen_Sprints!$E$12+Resumen_Sprints!$D$12),INDEX('Sprint N°7'!$C$8:$P$8,M$4-Resumen_Sprints!$E$12),0)</f>
        <v>0</v>
      </c>
      <c r="N42" s="36">
        <f>IF(AND(N$4&gt;Resumen_Sprints!$E$12,N$4&lt;=Resumen_Sprints!$E$12+Resumen_Sprints!$D$12),INDEX('Sprint N°7'!$C$8:$P$8,N$4-Resumen_Sprints!$E$12),0)</f>
        <v>0</v>
      </c>
      <c r="O42" s="36">
        <f>IF(AND(O$4&gt;Resumen_Sprints!$E$12,O$4&lt;=Resumen_Sprints!$E$12+Resumen_Sprints!$D$12),INDEX('Sprint N°7'!$C$8:$P$8,O$4-Resumen_Sprints!$E$12),0)</f>
        <v>0</v>
      </c>
      <c r="P42" s="36">
        <f>IF(AND(P$4&gt;Resumen_Sprints!$E$12,P$4&lt;=Resumen_Sprints!$E$12+Resumen_Sprints!$D$12),INDEX('Sprint N°7'!$C$8:$P$8,P$4-Resumen_Sprints!$E$12),0)</f>
        <v>0</v>
      </c>
      <c r="Q42" s="36">
        <f>IF(AND(Q$4&gt;Resumen_Sprints!$E$12,Q$4&lt;=Resumen_Sprints!$E$12+Resumen_Sprints!$D$12),INDEX('Sprint N°7'!$C$8:$P$8,Q$4-Resumen_Sprints!$E$12),0)</f>
        <v>0</v>
      </c>
      <c r="R42" s="36">
        <f>IF(AND(R$4&gt;Resumen_Sprints!$E$12,R$4&lt;=Resumen_Sprints!$E$12+Resumen_Sprints!$D$12),INDEX('Sprint N°7'!$C$8:$P$8,R$4-Resumen_Sprints!$E$12),0)</f>
        <v>0</v>
      </c>
      <c r="S42" s="36">
        <f>IF(AND(S$4&gt;Resumen_Sprints!$E$12,S$4&lt;=Resumen_Sprints!$E$12+Resumen_Sprints!$D$12),INDEX('Sprint N°7'!$C$8:$P$8,S$4-Resumen_Sprints!$E$12),0)</f>
        <v>0</v>
      </c>
      <c r="T42" s="36">
        <f>IF(AND(T$4&gt;Resumen_Sprints!$E$12,T$4&lt;=Resumen_Sprints!$E$12+Resumen_Sprints!$D$12),INDEX('Sprint N°7'!$C$8:$P$8,T$4-Resumen_Sprints!$E$12),0)</f>
        <v>0</v>
      </c>
      <c r="U42" s="36">
        <f>IF(AND(U$4&gt;Resumen_Sprints!$E$12,U$4&lt;=Resumen_Sprints!$E$12+Resumen_Sprints!$D$12),INDEX('Sprint N°7'!$C$8:$P$8,U$4-Resumen_Sprints!$E$12),0)</f>
        <v>0</v>
      </c>
      <c r="V42" s="36">
        <f>IF(AND(V$4&gt;Resumen_Sprints!$E$12,V$4&lt;=Resumen_Sprints!$E$12+Resumen_Sprints!$D$12),INDEX('Sprint N°7'!$C$8:$P$8,V$4-Resumen_Sprints!$E$12),0)</f>
        <v>0</v>
      </c>
      <c r="W42" s="36">
        <f>IF(AND(W$4&gt;Resumen_Sprints!$E$12,W$4&lt;=Resumen_Sprints!$E$12+Resumen_Sprints!$D$12),INDEX('Sprint N°7'!$C$8:$P$8,W$4-Resumen_Sprints!$E$12),0)</f>
        <v>0</v>
      </c>
      <c r="X42" s="36">
        <f>IF(AND(X$4&gt;Resumen_Sprints!$E$12,X$4&lt;=Resumen_Sprints!$E$12+Resumen_Sprints!$D$12),INDEX('Sprint N°7'!$C$8:$P$8,X$4-Resumen_Sprints!$E$12),0)</f>
        <v>0</v>
      </c>
      <c r="Y42" s="36">
        <f>IF(AND(Y$4&gt;Resumen_Sprints!$E$12,Y$4&lt;=Resumen_Sprints!$E$12+Resumen_Sprints!$D$12),INDEX('Sprint N°7'!$C$8:$P$8,Y$4-Resumen_Sprints!$E$12),0)</f>
        <v>0</v>
      </c>
      <c r="Z42" s="36">
        <f>IF(AND(Z$4&gt;Resumen_Sprints!$E$12,Z$4&lt;=Resumen_Sprints!$E$12+Resumen_Sprints!$D$12),INDEX('Sprint N°7'!$C$8:$P$8,Z$4-Resumen_Sprints!$E$12),0)</f>
        <v>0</v>
      </c>
      <c r="AA42" s="36">
        <f>IF(AND(AA$4&gt;Resumen_Sprints!$E$12,AA$4&lt;=Resumen_Sprints!$E$12+Resumen_Sprints!$D$12),INDEX('Sprint N°7'!$C$8:$P$8,AA$4-Resumen_Sprints!$E$12),0)</f>
        <v>0</v>
      </c>
      <c r="AB42" s="36">
        <f>IF(AND(AB$4&gt;Resumen_Sprints!$E$12,AB$4&lt;=Resumen_Sprints!$E$12+Resumen_Sprints!$D$12),INDEX('Sprint N°7'!$C$8:$P$8,AB$4-Resumen_Sprints!$E$12),0)</f>
        <v>0</v>
      </c>
      <c r="AC42" s="36">
        <f>IF(AND(AC$4&gt;Resumen_Sprints!$E$12,AC$4&lt;=Resumen_Sprints!$E$12+Resumen_Sprints!$D$12),INDEX('Sprint N°7'!$C$8:$P$8,AC$4-Resumen_Sprints!$E$12),0)</f>
        <v>0</v>
      </c>
      <c r="AD42" s="36">
        <f>IF(AND(AD$4&gt;Resumen_Sprints!$E$12,AD$4&lt;=Resumen_Sprints!$E$12+Resumen_Sprints!$D$12),INDEX('Sprint N°7'!$C$8:$P$8,AD$4-Resumen_Sprints!$E$12),0)</f>
        <v>0</v>
      </c>
      <c r="AE42" s="36">
        <f>IF(AND(AE$4&gt;Resumen_Sprints!$E$12,AE$4&lt;=Resumen_Sprints!$E$12+Resumen_Sprints!$D$12),INDEX('Sprint N°7'!$C$8:$P$8,AE$4-Resumen_Sprints!$E$12),0)</f>
        <v>0</v>
      </c>
      <c r="AF42" s="36">
        <f>IF(AND(AF$4&gt;Resumen_Sprints!$E$12,AF$4&lt;=Resumen_Sprints!$E$12+Resumen_Sprints!$D$12),INDEX('Sprint N°7'!$C$8:$P$8,AF$4-Resumen_Sprints!$E$12),0)</f>
        <v>0</v>
      </c>
      <c r="AG42" s="36">
        <f>IF(AND(AG$4&gt;Resumen_Sprints!$E$12,AG$4&lt;=Resumen_Sprints!$E$12+Resumen_Sprints!$D$12),INDEX('Sprint N°7'!$C$8:$P$8,AG$4-Resumen_Sprints!$E$12),0)</f>
        <v>0</v>
      </c>
      <c r="AH42" s="36">
        <f>IF(AND(AH$4&gt;Resumen_Sprints!$E$12,AH$4&lt;=Resumen_Sprints!$E$12+Resumen_Sprints!$D$12),INDEX('Sprint N°7'!$C$8:$P$8,AH$4-Resumen_Sprints!$E$12),0)</f>
        <v>0</v>
      </c>
      <c r="AI42" s="36">
        <f>IF(AND(AI$4&gt;Resumen_Sprints!$E$12,AI$4&lt;=Resumen_Sprints!$E$12+Resumen_Sprints!$D$12),INDEX('Sprint N°7'!$C$8:$P$8,AI$4-Resumen_Sprints!$E$12),0)</f>
        <v>0</v>
      </c>
      <c r="AJ42" s="36">
        <f>IF(AND(AJ$4&gt;Resumen_Sprints!$E$12,AJ$4&lt;=Resumen_Sprints!$E$12+Resumen_Sprints!$D$12),INDEX('Sprint N°7'!$C$8:$P$8,AJ$4-Resumen_Sprints!$E$12),0)</f>
        <v>0</v>
      </c>
      <c r="AK42" s="36">
        <f>IF(AND(AK$4&gt;Resumen_Sprints!$E$12,AK$4&lt;=Resumen_Sprints!$E$12+Resumen_Sprints!$D$12),INDEX('Sprint N°7'!$C$8:$P$8,AK$4-Resumen_Sprints!$E$12),0)</f>
        <v>0</v>
      </c>
      <c r="AL42" s="36">
        <f>IF(AND(AL$4&gt;Resumen_Sprints!$E$12,AL$4&lt;=Resumen_Sprints!$E$12+Resumen_Sprints!$D$12),INDEX('Sprint N°7'!$C$8:$P$8,AL$4-Resumen_Sprints!$E$12),0)</f>
        <v>0</v>
      </c>
      <c r="AM42" s="36">
        <f>IF(AND(AM$4&gt;Resumen_Sprints!$E$12,AM$4&lt;=Resumen_Sprints!$E$12+Resumen_Sprints!$D$12),INDEX('Sprint N°7'!$C$8:$P$8,AM$4-Resumen_Sprints!$E$12),0)</f>
        <v>0</v>
      </c>
      <c r="AN42" s="36">
        <f>IF(AND(AN$4&gt;Resumen_Sprints!$E$12,AN$4&lt;=Resumen_Sprints!$E$12+Resumen_Sprints!$D$12),INDEX('Sprint N°7'!$C$8:$P$8,AN$4-Resumen_Sprints!$E$12),0)</f>
        <v>0</v>
      </c>
      <c r="AO42" s="36">
        <f>IF(AND(AO$4&gt;Resumen_Sprints!$E$12,AO$4&lt;=Resumen_Sprints!$E$12+Resumen_Sprints!$D$12),INDEX('Sprint N°7'!$C$8:$P$8,AO$4-Resumen_Sprints!$E$12),0)</f>
        <v>0</v>
      </c>
      <c r="AP42" s="36">
        <f>IF(AND(AP$4&gt;Resumen_Sprints!$E$12,AP$4&lt;=Resumen_Sprints!$E$12+Resumen_Sprints!$D$12),INDEX('Sprint N°7'!$C$8:$P$8,AP$4-Resumen_Sprints!$E$12),0)</f>
        <v>0</v>
      </c>
      <c r="AQ42" s="36">
        <f>IF(AND(AQ$4&gt;Resumen_Sprints!$E$12,AQ$4&lt;=Resumen_Sprints!$E$12+Resumen_Sprints!$D$12),INDEX('Sprint N°7'!$C$8:$P$8,AQ$4-Resumen_Sprints!$E$12),0)</f>
        <v>0</v>
      </c>
      <c r="AR42" s="36">
        <f>IF(AND(AR$4&gt;Resumen_Sprints!$E$12,AR$4&lt;=Resumen_Sprints!$E$12+Resumen_Sprints!$D$12),INDEX('Sprint N°7'!$C$8:$P$8,AR$4-Resumen_Sprints!$E$12),0)</f>
        <v>0</v>
      </c>
      <c r="AS42" s="36">
        <f>IF(AND(AS$4&gt;Resumen_Sprints!$E$12,AS$4&lt;=Resumen_Sprints!$E$12+Resumen_Sprints!$D$12),INDEX('Sprint N°7'!$C$8:$P$8,AS$4-Resumen_Sprints!$E$12),0)</f>
        <v>0</v>
      </c>
      <c r="AT42" s="36">
        <f>IF(AND(AT$4&gt;Resumen_Sprints!$E$12,AT$4&lt;=Resumen_Sprints!$E$12+Resumen_Sprints!$D$12),INDEX('Sprint N°7'!$C$8:$P$8,AT$4-Resumen_Sprints!$E$12),0)</f>
        <v>0</v>
      </c>
      <c r="AU42" s="36">
        <f>IF(AND(AU$4&gt;Resumen_Sprints!$E$12,AU$4&lt;=Resumen_Sprints!$E$12+Resumen_Sprints!$D$12),INDEX('Sprint N°7'!$C$8:$P$8,AU$4-Resumen_Sprints!$E$12),0)</f>
        <v>0</v>
      </c>
      <c r="AV42" s="36">
        <f>IF(AND(AV$4&gt;Resumen_Sprints!$E$12,AV$4&lt;=Resumen_Sprints!$E$12+Resumen_Sprints!$D$12),INDEX('Sprint N°7'!$C$8:$P$8,AV$4-Resumen_Sprints!$E$12),0)</f>
        <v>0</v>
      </c>
      <c r="AW42" s="36">
        <f>IF(AND(AW$4&gt;Resumen_Sprints!$E$12,AW$4&lt;=Resumen_Sprints!$E$12+Resumen_Sprints!$D$12),INDEX('Sprint N°7'!$C$8:$P$8,AW$4-Resumen_Sprints!$E$12),0)</f>
        <v>0</v>
      </c>
      <c r="AX42" s="36">
        <f>IF(AND(AX$4&gt;Resumen_Sprints!$E$12,AX$4&lt;=Resumen_Sprints!$E$12+Resumen_Sprints!$D$12),INDEX('Sprint N°7'!$C$8:$P$8,AX$4-Resumen_Sprints!$E$12),0)</f>
        <v>0</v>
      </c>
      <c r="AY42" s="36">
        <f>IF(AND(AY$4&gt;Resumen_Sprints!$E$12,AY$4&lt;=Resumen_Sprints!$E$12+Resumen_Sprints!$D$12),INDEX('Sprint N°7'!$C$8:$P$8,AY$4-Resumen_Sprints!$E$12),0)</f>
        <v>0</v>
      </c>
      <c r="AZ42" s="36">
        <f>IF(AND(AZ$4&gt;Resumen_Sprints!$E$12,AZ$4&lt;=Resumen_Sprints!$E$12+Resumen_Sprints!$D$12),INDEX('Sprint N°7'!$C$8:$P$8,AZ$4-Resumen_Sprints!$E$12),0)</f>
        <v>0</v>
      </c>
      <c r="BA42" s="36">
        <f>IF(AND(BA$4&gt;Resumen_Sprints!$E$12,BA$4&lt;=Resumen_Sprints!$E$12+Resumen_Sprints!$D$12),INDEX('Sprint N°7'!$C$8:$P$8,BA$4-Resumen_Sprints!$E$12),0)</f>
        <v>0</v>
      </c>
      <c r="BB42" s="36">
        <f>IF(AND(BB$4&gt;Resumen_Sprints!$E$12,BB$4&lt;=Resumen_Sprints!$E$12+Resumen_Sprints!$D$12),INDEX('Sprint N°7'!$C$8:$P$8,BB$4-Resumen_Sprints!$E$12),0)</f>
        <v>0</v>
      </c>
      <c r="BC42" s="36">
        <f>IF(AND(BC$4&gt;Resumen_Sprints!$E$12,BC$4&lt;=Resumen_Sprints!$E$12+Resumen_Sprints!$D$12),INDEX('Sprint N°7'!$C$8:$P$8,BC$4-Resumen_Sprints!$E$12),0)</f>
        <v>0</v>
      </c>
      <c r="BD42" s="36">
        <f>IF(AND(BD$4&gt;Resumen_Sprints!$E$12,BD$4&lt;=Resumen_Sprints!$E$12+Resumen_Sprints!$D$12),INDEX('Sprint N°7'!$C$8:$P$8,BD$4-Resumen_Sprints!$E$12),0)</f>
        <v>0</v>
      </c>
      <c r="BE42" s="36">
        <f>IF(AND(BE$4&gt;Resumen_Sprints!$E$12,BE$4&lt;=Resumen_Sprints!$E$12+Resumen_Sprints!$D$12),INDEX('Sprint N°7'!$C$8:$P$8,BE$4-Resumen_Sprints!$E$12),0)</f>
        <v>0</v>
      </c>
      <c r="BF42" s="36">
        <f>IF(AND(BF$4&gt;Resumen_Sprints!$E$12,BF$4&lt;=Resumen_Sprints!$E$12+Resumen_Sprints!$D$12),INDEX('Sprint N°7'!$C$8:$P$8,BF$4-Resumen_Sprints!$E$12),0)</f>
        <v>0</v>
      </c>
      <c r="BG42" s="36">
        <f>IF(AND(BG$4&gt;Resumen_Sprints!$E$12,BG$4&lt;=Resumen_Sprints!$E$12+Resumen_Sprints!$D$12),INDEX('Sprint N°7'!$C$8:$P$8,BG$4-Resumen_Sprints!$E$12),0)</f>
        <v>0</v>
      </c>
      <c r="BH42" s="36">
        <f>IF(AND(BH$4&gt;Resumen_Sprints!$E$12,BH$4&lt;=Resumen_Sprints!$E$12+Resumen_Sprints!$D$12),INDEX('Sprint N°7'!$C$8:$P$8,BH$4-Resumen_Sprints!$E$12),0)</f>
        <v>0</v>
      </c>
      <c r="BI42" s="36">
        <f>IF(AND(BI$4&gt;Resumen_Sprints!$E$12,BI$4&lt;=Resumen_Sprints!$E$12+Resumen_Sprints!$D$12),INDEX('Sprint N°7'!$C$8:$P$8,BI$4-Resumen_Sprints!$E$12),0)</f>
        <v>0</v>
      </c>
      <c r="BJ42" s="36">
        <f>IF(AND(BJ$4&gt;Resumen_Sprints!$E$12,BJ$4&lt;=Resumen_Sprints!$E$12+Resumen_Sprints!$D$12),INDEX('Sprint N°7'!$C$8:$P$8,BJ$4-Resumen_Sprints!$E$12),0)</f>
        <v>0</v>
      </c>
      <c r="BK42" s="36">
        <f>IF(AND(BK$4&gt;Resumen_Sprints!$E$12,BK$4&lt;=Resumen_Sprints!$E$12+Resumen_Sprints!$D$12),INDEX('Sprint N°7'!$C$8:$P$8,BK$4-Resumen_Sprints!$E$12),0)</f>
        <v>0</v>
      </c>
      <c r="BL42" s="36">
        <f>IF(AND(BL$4&gt;Resumen_Sprints!$E$12,BL$4&lt;=Resumen_Sprints!$E$12+Resumen_Sprints!$D$12),INDEX('Sprint N°7'!$C$8:$P$8,BL$4-Resumen_Sprints!$E$12),0)</f>
        <v>0</v>
      </c>
      <c r="BM42" s="36">
        <f>IF(AND(BM$4&gt;Resumen_Sprints!$E$12,BM$4&lt;=Resumen_Sprints!$E$12+Resumen_Sprints!$D$12),INDEX('Sprint N°7'!$C$8:$P$8,BM$4-Resumen_Sprints!$E$12),0)</f>
        <v>0</v>
      </c>
      <c r="BN42" s="36">
        <f>IF(AND(BN$4&gt;Resumen_Sprints!$E$12,BN$4&lt;=Resumen_Sprints!$E$12+Resumen_Sprints!$D$12),INDEX('Sprint N°7'!$C$8:$P$8,BN$4-Resumen_Sprints!$E$12),0)</f>
        <v>0</v>
      </c>
      <c r="BO42" s="36">
        <f>IF(AND(BO$4&gt;Resumen_Sprints!$E$12,BO$4&lt;=Resumen_Sprints!$E$12+Resumen_Sprints!$D$12),INDEX('Sprint N°7'!$C$8:$P$8,BO$4-Resumen_Sprints!$E$12),0)</f>
        <v>0</v>
      </c>
      <c r="BP42" s="36">
        <f>IF(AND(BP$4&gt;Resumen_Sprints!$E$12,BP$4&lt;=Resumen_Sprints!$E$12+Resumen_Sprints!$D$12),INDEX('Sprint N°7'!$C$8:$P$8,BP$4-Resumen_Sprints!$E$12),0)</f>
        <v>0</v>
      </c>
      <c r="BQ42" s="36">
        <f>IF(AND(BQ$4&gt;Resumen_Sprints!$E$12,BQ$4&lt;=Resumen_Sprints!$E$12+Resumen_Sprints!$D$12),INDEX('Sprint N°7'!$C$8:$P$8,BQ$4-Resumen_Sprints!$E$12),0)</f>
        <v>0</v>
      </c>
      <c r="BR42" s="36">
        <f>IF(AND(BR$4&gt;Resumen_Sprints!$E$12,BR$4&lt;=Resumen_Sprints!$E$12+Resumen_Sprints!$D$12),INDEX('Sprint N°7'!$C$8:$P$8,BR$4-Resumen_Sprints!$E$12),0)</f>
        <v>0</v>
      </c>
      <c r="BS42" s="36">
        <f>IF(AND(BS$4&gt;Resumen_Sprints!$E$12,BS$4&lt;=Resumen_Sprints!$E$12+Resumen_Sprints!$D$12),INDEX('Sprint N°7'!$C$8:$P$8,BS$4-Resumen_Sprints!$E$12),0)</f>
        <v>0</v>
      </c>
      <c r="BT42" s="36">
        <f>IF(AND(BT$4&gt;Resumen_Sprints!$E$12,BT$4&lt;=Resumen_Sprints!$E$12+Resumen_Sprints!$D$12),INDEX('Sprint N°7'!$C$8:$P$8,BT$4-Resumen_Sprints!$E$12),0)</f>
        <v>0</v>
      </c>
      <c r="BU42" s="36">
        <f>IF(AND(BU$4&gt;Resumen_Sprints!$E$12,BU$4&lt;=Resumen_Sprints!$E$12+Resumen_Sprints!$D$12),INDEX('Sprint N°7'!$C$8:$P$8,BU$4-Resumen_Sprints!$E$12),0)</f>
        <v>0</v>
      </c>
      <c r="BV42" s="36">
        <f>IF(AND(BV$4&gt;Resumen_Sprints!$E$12,BV$4&lt;=Resumen_Sprints!$E$12+Resumen_Sprints!$D$12),INDEX('Sprint N°7'!$C$8:$P$8,BV$4-Resumen_Sprints!$E$12),0)</f>
        <v>0</v>
      </c>
      <c r="BW42" s="36">
        <f>IF(AND(BW$4&gt;Resumen_Sprints!$E$12,BW$4&lt;=Resumen_Sprints!$E$12+Resumen_Sprints!$D$12),INDEX('Sprint N°7'!$C$8:$P$8,BW$4-Resumen_Sprints!$E$12),0)</f>
        <v>0</v>
      </c>
      <c r="BX42" s="36">
        <f>IF(AND(BX$4&gt;Resumen_Sprints!$E$12,BX$4&lt;=Resumen_Sprints!$E$12+Resumen_Sprints!$D$12),INDEX('Sprint N°7'!$C$8:$P$8,BX$4-Resumen_Sprints!$E$12),0)</f>
        <v>0</v>
      </c>
      <c r="BY42" s="36">
        <f>IF(AND(BY$4&gt;Resumen_Sprints!$E$12,BY$4&lt;=Resumen_Sprints!$E$12+Resumen_Sprints!$D$12),INDEX('Sprint N°7'!$C$8:$P$8,BY$4-Resumen_Sprints!$E$12),0)</f>
        <v>5</v>
      </c>
      <c r="BZ42" s="36">
        <f>IF(AND(BZ$4&gt;Resumen_Sprints!$E$12,BZ$4&lt;=Resumen_Sprints!$E$12+Resumen_Sprints!$D$12),INDEX('Sprint N°7'!$C$8:$P$8,BZ$4-Resumen_Sprints!$E$12),0)</f>
        <v>9</v>
      </c>
      <c r="CA42" s="36">
        <f>IF(AND(CA$4&gt;Resumen_Sprints!$E$12,CA$4&lt;=Resumen_Sprints!$E$12+Resumen_Sprints!$D$12),INDEX('Sprint N°7'!$C$8:$P$8,CA$4-Resumen_Sprints!$E$12),0)</f>
        <v>0</v>
      </c>
      <c r="CB42" s="36">
        <f>IF(AND(CB$4&gt;Resumen_Sprints!$E$12,CB$4&lt;=Resumen_Sprints!$E$12+Resumen_Sprints!$D$12),INDEX('Sprint N°7'!$C$8:$P$8,CB$4-Resumen_Sprints!$E$12),0)</f>
        <v>0</v>
      </c>
      <c r="CC42" s="36">
        <f>IF(AND(CC$4&gt;Resumen_Sprints!$E$12,CC$4&lt;=Resumen_Sprints!$E$12+Resumen_Sprints!$D$12),INDEX('Sprint N°7'!$C$8:$P$8,CC$4-Resumen_Sprints!$E$12),0)</f>
        <v>0</v>
      </c>
      <c r="CD42" s="36">
        <f>IF(AND(CD$4&gt;Resumen_Sprints!$E$12,CD$4&lt;=Resumen_Sprints!$E$12+Resumen_Sprints!$D$12),INDEX('Sprint N°7'!$C$8:$P$8,CD$4-Resumen_Sprints!$E$12),0)</f>
        <v>0</v>
      </c>
      <c r="CE42" s="36">
        <f>IF(AND(CE$4&gt;Resumen_Sprints!$E$12,CE$4&lt;=Resumen_Sprints!$E$12+Resumen_Sprints!$D$12),INDEX('Sprint N°7'!$C$8:$P$8,CE$4-Resumen_Sprints!$E$12),0)</f>
        <v>0</v>
      </c>
      <c r="CF42" s="36">
        <f>IF(AND(CF$4&gt;Resumen_Sprints!$E$12,CF$4&lt;=Resumen_Sprints!$E$12+Resumen_Sprints!$D$12),INDEX('Sprint N°7'!$C$8:$P$8,CF$4-Resumen_Sprints!$E$12),0)</f>
        <v>0</v>
      </c>
      <c r="CG42" s="36">
        <f>IF(AND(CG$4&gt;Resumen_Sprints!$E$12,CG$4&lt;=Resumen_Sprints!$E$12+Resumen_Sprints!$D$12),INDEX('Sprint N°7'!$C$8:$P$8,CG$4-Resumen_Sprints!$E$12),0)</f>
        <v>0</v>
      </c>
      <c r="CH42" s="36">
        <f>IF(AND(CH$4&gt;Resumen_Sprints!$E$12,CH$4&lt;=Resumen_Sprints!$E$12+Resumen_Sprints!$D$12),INDEX('Sprint N°7'!$C$8:$P$8,CH$4-Resumen_Sprints!$E$12),0)</f>
        <v>0</v>
      </c>
      <c r="CI42" s="36">
        <f>IF(AND(CI$4&gt;Resumen_Sprints!$E$12,CI$4&lt;=Resumen_Sprints!$E$12+Resumen_Sprints!$D$12),INDEX('Sprint N°7'!$C$8:$P$8,CI$4-Resumen_Sprints!$E$12),0)</f>
        <v>0</v>
      </c>
      <c r="CJ42" s="36">
        <f>IF(AND(CJ$4&gt;Resumen_Sprints!$E$12,CJ$4&lt;=Resumen_Sprints!$E$12+Resumen_Sprints!$D$12),INDEX('Sprint N°7'!$C$8:$P$8,CJ$4-Resumen_Sprints!$E$12),0)</f>
        <v>0</v>
      </c>
      <c r="CK42" s="36">
        <f>IF(AND(CK$4&gt;Resumen_Sprints!$E$12,CK$4&lt;=Resumen_Sprints!$E$12+Resumen_Sprints!$D$12),INDEX('Sprint N°7'!$C$8:$P$8,CK$4-Resumen_Sprints!$E$12),0)</f>
        <v>0</v>
      </c>
      <c r="CL42" s="36">
        <f>IF(AND(CL$4&gt;Resumen_Sprints!$E$12,CL$4&lt;=Resumen_Sprints!$E$12+Resumen_Sprints!$D$12),INDEX('Sprint N°7'!$C$8:$P$8,CL$4-Resumen_Sprints!$E$12),0)</f>
        <v>0</v>
      </c>
      <c r="CM42" s="36">
        <f>IF(AND(CM$4&gt;Resumen_Sprints!$E$12,CM$4&lt;=Resumen_Sprints!$E$12+Resumen_Sprints!$D$12),INDEX('Sprint N°7'!$C$8:$P$8,CM$4-Resumen_Sprints!$E$12),0)</f>
        <v>0</v>
      </c>
      <c r="CN42" s="36">
        <f>IF(AND(CN$4&gt;Resumen_Sprints!$E$12,CN$4&lt;=Resumen_Sprints!$E$12+Resumen_Sprints!$D$12),INDEX('Sprint N°7'!$C$8:$P$8,CN$4-Resumen_Sprints!$E$12),0)</f>
        <v>0</v>
      </c>
      <c r="CO42" s="36">
        <f>IF(AND(CO$4&gt;Resumen_Sprints!$E$12,CO$4&lt;=Resumen_Sprints!$E$12+Resumen_Sprints!$D$12),INDEX('Sprint N°7'!$C$8:$P$8,CO$4-Resumen_Sprints!$E$12),0)</f>
        <v>0</v>
      </c>
      <c r="CP42" s="36">
        <f>IF(AND(CP$4&gt;Resumen_Sprints!$E$12,CP$4&lt;=Resumen_Sprints!$E$12+Resumen_Sprints!$D$12),INDEX('Sprint N°7'!$C$8:$P$8,CP$4-Resumen_Sprints!$E$12),0)</f>
        <v>0</v>
      </c>
      <c r="CQ42" s="36">
        <f>IF(AND(CQ$4&gt;Resumen_Sprints!$E$12,CQ$4&lt;=Resumen_Sprints!$E$12+Resumen_Sprints!$D$12),INDEX('Sprint N°7'!$C$8:$P$8,CQ$4-Resumen_Sprints!$E$12),0)</f>
        <v>0</v>
      </c>
      <c r="CR42" s="36">
        <f>IF(AND(CR$4&gt;Resumen_Sprints!$E$12,CR$4&lt;=Resumen_Sprints!$E$12+Resumen_Sprints!$D$12),INDEX('Sprint N°7'!$C$8:$P$8,CR$4-Resumen_Sprints!$E$12),0)</f>
        <v>0</v>
      </c>
      <c r="CS42" s="36">
        <f>IF(AND(CS$4&gt;Resumen_Sprints!$E$12,CS$4&lt;=Resumen_Sprints!$E$12+Resumen_Sprints!$D$12),INDEX('Sprint N°7'!$C$8:$P$8,CS$4-Resumen_Sprints!$E$12),0)</f>
        <v>0</v>
      </c>
      <c r="CT42" s="36">
        <f>IF(AND(CT$4&gt;Resumen_Sprints!$E$12,CT$4&lt;=Resumen_Sprints!$E$12+Resumen_Sprints!$D$12),INDEX('Sprint N°7'!$C$8:$P$8,CT$4-Resumen_Sprints!$E$12),0)</f>
        <v>0</v>
      </c>
      <c r="CU42" s="10">
        <f>SUM(C42:CT42)</f>
        <v>14</v>
      </c>
    </row>
    <row r="43" spans="1:99" x14ac:dyDescent="0.3">
      <c r="A43" s="22" t="str">
        <f>'Sprint N°7'!A9</f>
        <v>Pruebas de Integración</v>
      </c>
      <c r="B43" s="22">
        <f>'Sprint N°7'!B9</f>
        <v>24</v>
      </c>
      <c r="C43" s="36">
        <f>IF(AND(C$4&gt;Resumen_Sprints!$E$12,C$4&lt;=Resumen_Sprints!$E$12+Resumen_Sprints!$D$12),INDEX('Sprint N°7'!$C$9:$P$9,C$4-Resumen_Sprints!$E$12),0)</f>
        <v>0</v>
      </c>
      <c r="D43" s="36">
        <f>IF(AND(D$4&gt;Resumen_Sprints!$E$12,D$4&lt;=Resumen_Sprints!$E$12+Resumen_Sprints!$D$12),INDEX('Sprint N°7'!$C$9:$P$9,D$4-Resumen_Sprints!$E$12),0)</f>
        <v>0</v>
      </c>
      <c r="E43" s="36">
        <f>IF(AND(E$4&gt;Resumen_Sprints!$E$12,E$4&lt;=Resumen_Sprints!$E$12+Resumen_Sprints!$D$12),INDEX('Sprint N°7'!$C$9:$P$9,E$4-Resumen_Sprints!$E$12),0)</f>
        <v>0</v>
      </c>
      <c r="F43" s="36">
        <f>IF(AND(F$4&gt;Resumen_Sprints!$E$12,F$4&lt;=Resumen_Sprints!$E$12+Resumen_Sprints!$D$12),INDEX('Sprint N°7'!$C$9:$P$9,F$4-Resumen_Sprints!$E$12),0)</f>
        <v>0</v>
      </c>
      <c r="G43" s="36">
        <f>IF(AND(G$4&gt;Resumen_Sprints!$E$12,G$4&lt;=Resumen_Sprints!$E$12+Resumen_Sprints!$D$12),INDEX('Sprint N°7'!$C$9:$P$9,G$4-Resumen_Sprints!$E$12),0)</f>
        <v>0</v>
      </c>
      <c r="H43" s="36">
        <f>IF(AND(H$4&gt;Resumen_Sprints!$E$12,H$4&lt;=Resumen_Sprints!$E$12+Resumen_Sprints!$D$12),INDEX('Sprint N°7'!$C$9:$P$9,H$4-Resumen_Sprints!$E$12),0)</f>
        <v>0</v>
      </c>
      <c r="I43" s="36">
        <f>IF(AND(I$4&gt;Resumen_Sprints!$E$12,I$4&lt;=Resumen_Sprints!$E$12+Resumen_Sprints!$D$12),INDEX('Sprint N°7'!$C$9:$P$9,I$4-Resumen_Sprints!$E$12),0)</f>
        <v>0</v>
      </c>
      <c r="J43" s="36">
        <f>IF(AND(J$4&gt;Resumen_Sprints!$E$12,J$4&lt;=Resumen_Sprints!$E$12+Resumen_Sprints!$D$12),INDEX('Sprint N°7'!$C$9:$P$9,J$4-Resumen_Sprints!$E$12),0)</f>
        <v>0</v>
      </c>
      <c r="K43" s="36">
        <f>IF(AND(K$4&gt;Resumen_Sprints!$E$12,K$4&lt;=Resumen_Sprints!$E$12+Resumen_Sprints!$D$12),INDEX('Sprint N°7'!$C$9:$P$9,K$4-Resumen_Sprints!$E$12),0)</f>
        <v>0</v>
      </c>
      <c r="L43" s="36">
        <f>IF(AND(L$4&gt;Resumen_Sprints!$E$12,L$4&lt;=Resumen_Sprints!$E$12+Resumen_Sprints!$D$12),INDEX('Sprint N°7'!$C$9:$P$9,L$4-Resumen_Sprints!$E$12),0)</f>
        <v>0</v>
      </c>
      <c r="M43" s="36">
        <f>IF(AND(M$4&gt;Resumen_Sprints!$E$12,M$4&lt;=Resumen_Sprints!$E$12+Resumen_Sprints!$D$12),INDEX('Sprint N°7'!$C$9:$P$9,M$4-Resumen_Sprints!$E$12),0)</f>
        <v>0</v>
      </c>
      <c r="N43" s="36">
        <f>IF(AND(N$4&gt;Resumen_Sprints!$E$12,N$4&lt;=Resumen_Sprints!$E$12+Resumen_Sprints!$D$12),INDEX('Sprint N°7'!$C$9:$P$9,N$4-Resumen_Sprints!$E$12),0)</f>
        <v>0</v>
      </c>
      <c r="O43" s="36">
        <f>IF(AND(O$4&gt;Resumen_Sprints!$E$12,O$4&lt;=Resumen_Sprints!$E$12+Resumen_Sprints!$D$12),INDEX('Sprint N°7'!$C$9:$P$9,O$4-Resumen_Sprints!$E$12),0)</f>
        <v>0</v>
      </c>
      <c r="P43" s="36">
        <f>IF(AND(P$4&gt;Resumen_Sprints!$E$12,P$4&lt;=Resumen_Sprints!$E$12+Resumen_Sprints!$D$12),INDEX('Sprint N°7'!$C$9:$P$9,P$4-Resumen_Sprints!$E$12),0)</f>
        <v>0</v>
      </c>
      <c r="Q43" s="36">
        <f>IF(AND(Q$4&gt;Resumen_Sprints!$E$12,Q$4&lt;=Resumen_Sprints!$E$12+Resumen_Sprints!$D$12),INDEX('Sprint N°7'!$C$9:$P$9,Q$4-Resumen_Sprints!$E$12),0)</f>
        <v>0</v>
      </c>
      <c r="R43" s="36">
        <f>IF(AND(R$4&gt;Resumen_Sprints!$E$12,R$4&lt;=Resumen_Sprints!$E$12+Resumen_Sprints!$D$12),INDEX('Sprint N°7'!$C$9:$P$9,R$4-Resumen_Sprints!$E$12),0)</f>
        <v>0</v>
      </c>
      <c r="S43" s="36">
        <f>IF(AND(S$4&gt;Resumen_Sprints!$E$12,S$4&lt;=Resumen_Sprints!$E$12+Resumen_Sprints!$D$12),INDEX('Sprint N°7'!$C$9:$P$9,S$4-Resumen_Sprints!$E$12),0)</f>
        <v>0</v>
      </c>
      <c r="T43" s="36">
        <f>IF(AND(T$4&gt;Resumen_Sprints!$E$12,T$4&lt;=Resumen_Sprints!$E$12+Resumen_Sprints!$D$12),INDEX('Sprint N°7'!$C$9:$P$9,T$4-Resumen_Sprints!$E$12),0)</f>
        <v>0</v>
      </c>
      <c r="U43" s="36">
        <f>IF(AND(U$4&gt;Resumen_Sprints!$E$12,U$4&lt;=Resumen_Sprints!$E$12+Resumen_Sprints!$D$12),INDEX('Sprint N°7'!$C$9:$P$9,U$4-Resumen_Sprints!$E$12),0)</f>
        <v>0</v>
      </c>
      <c r="V43" s="36">
        <f>IF(AND(V$4&gt;Resumen_Sprints!$E$12,V$4&lt;=Resumen_Sprints!$E$12+Resumen_Sprints!$D$12),INDEX('Sprint N°7'!$C$9:$P$9,V$4-Resumen_Sprints!$E$12),0)</f>
        <v>0</v>
      </c>
      <c r="W43" s="36">
        <f>IF(AND(W$4&gt;Resumen_Sprints!$E$12,W$4&lt;=Resumen_Sprints!$E$12+Resumen_Sprints!$D$12),INDEX('Sprint N°7'!$C$9:$P$9,W$4-Resumen_Sprints!$E$12),0)</f>
        <v>0</v>
      </c>
      <c r="X43" s="36">
        <f>IF(AND(X$4&gt;Resumen_Sprints!$E$12,X$4&lt;=Resumen_Sprints!$E$12+Resumen_Sprints!$D$12),INDEX('Sprint N°7'!$C$9:$P$9,X$4-Resumen_Sprints!$E$12),0)</f>
        <v>0</v>
      </c>
      <c r="Y43" s="36">
        <f>IF(AND(Y$4&gt;Resumen_Sprints!$E$12,Y$4&lt;=Resumen_Sprints!$E$12+Resumen_Sprints!$D$12),INDEX('Sprint N°7'!$C$9:$P$9,Y$4-Resumen_Sprints!$E$12),0)</f>
        <v>0</v>
      </c>
      <c r="Z43" s="36">
        <f>IF(AND(Z$4&gt;Resumen_Sprints!$E$12,Z$4&lt;=Resumen_Sprints!$E$12+Resumen_Sprints!$D$12),INDEX('Sprint N°7'!$C$9:$P$9,Z$4-Resumen_Sprints!$E$12),0)</f>
        <v>0</v>
      </c>
      <c r="AA43" s="36">
        <f>IF(AND(AA$4&gt;Resumen_Sprints!$E$12,AA$4&lt;=Resumen_Sprints!$E$12+Resumen_Sprints!$D$12),INDEX('Sprint N°7'!$C$9:$P$9,AA$4-Resumen_Sprints!$E$12),0)</f>
        <v>0</v>
      </c>
      <c r="AB43" s="36">
        <f>IF(AND(AB$4&gt;Resumen_Sprints!$E$12,AB$4&lt;=Resumen_Sprints!$E$12+Resumen_Sprints!$D$12),INDEX('Sprint N°7'!$C$9:$P$9,AB$4-Resumen_Sprints!$E$12),0)</f>
        <v>0</v>
      </c>
      <c r="AC43" s="36">
        <f>IF(AND(AC$4&gt;Resumen_Sprints!$E$12,AC$4&lt;=Resumen_Sprints!$E$12+Resumen_Sprints!$D$12),INDEX('Sprint N°7'!$C$9:$P$9,AC$4-Resumen_Sprints!$E$12),0)</f>
        <v>0</v>
      </c>
      <c r="AD43" s="36">
        <f>IF(AND(AD$4&gt;Resumen_Sprints!$E$12,AD$4&lt;=Resumen_Sprints!$E$12+Resumen_Sprints!$D$12),INDEX('Sprint N°7'!$C$9:$P$9,AD$4-Resumen_Sprints!$E$12),0)</f>
        <v>0</v>
      </c>
      <c r="AE43" s="36">
        <f>IF(AND(AE$4&gt;Resumen_Sprints!$E$12,AE$4&lt;=Resumen_Sprints!$E$12+Resumen_Sprints!$D$12),INDEX('Sprint N°7'!$C$9:$P$9,AE$4-Resumen_Sprints!$E$12),0)</f>
        <v>0</v>
      </c>
      <c r="AF43" s="36">
        <f>IF(AND(AF$4&gt;Resumen_Sprints!$E$12,AF$4&lt;=Resumen_Sprints!$E$12+Resumen_Sprints!$D$12),INDEX('Sprint N°7'!$C$9:$P$9,AF$4-Resumen_Sprints!$E$12),0)</f>
        <v>0</v>
      </c>
      <c r="AG43" s="36">
        <f>IF(AND(AG$4&gt;Resumen_Sprints!$E$12,AG$4&lt;=Resumen_Sprints!$E$12+Resumen_Sprints!$D$12),INDEX('Sprint N°7'!$C$9:$P$9,AG$4-Resumen_Sprints!$E$12),0)</f>
        <v>0</v>
      </c>
      <c r="AH43" s="36">
        <f>IF(AND(AH$4&gt;Resumen_Sprints!$E$12,AH$4&lt;=Resumen_Sprints!$E$12+Resumen_Sprints!$D$12),INDEX('Sprint N°7'!$C$9:$P$9,AH$4-Resumen_Sprints!$E$12),0)</f>
        <v>0</v>
      </c>
      <c r="AI43" s="36">
        <f>IF(AND(AI$4&gt;Resumen_Sprints!$E$12,AI$4&lt;=Resumen_Sprints!$E$12+Resumen_Sprints!$D$12),INDEX('Sprint N°7'!$C$9:$P$9,AI$4-Resumen_Sprints!$E$12),0)</f>
        <v>0</v>
      </c>
      <c r="AJ43" s="36">
        <f>IF(AND(AJ$4&gt;Resumen_Sprints!$E$12,AJ$4&lt;=Resumen_Sprints!$E$12+Resumen_Sprints!$D$12),INDEX('Sprint N°7'!$C$9:$P$9,AJ$4-Resumen_Sprints!$E$12),0)</f>
        <v>0</v>
      </c>
      <c r="AK43" s="36">
        <f>IF(AND(AK$4&gt;Resumen_Sprints!$E$12,AK$4&lt;=Resumen_Sprints!$E$12+Resumen_Sprints!$D$12),INDEX('Sprint N°7'!$C$9:$P$9,AK$4-Resumen_Sprints!$E$12),0)</f>
        <v>0</v>
      </c>
      <c r="AL43" s="36">
        <f>IF(AND(AL$4&gt;Resumen_Sprints!$E$12,AL$4&lt;=Resumen_Sprints!$E$12+Resumen_Sprints!$D$12),INDEX('Sprint N°7'!$C$9:$P$9,AL$4-Resumen_Sprints!$E$12),0)</f>
        <v>0</v>
      </c>
      <c r="AM43" s="36">
        <f>IF(AND(AM$4&gt;Resumen_Sprints!$E$12,AM$4&lt;=Resumen_Sprints!$E$12+Resumen_Sprints!$D$12),INDEX('Sprint N°7'!$C$9:$P$9,AM$4-Resumen_Sprints!$E$12),0)</f>
        <v>0</v>
      </c>
      <c r="AN43" s="36">
        <f>IF(AND(AN$4&gt;Resumen_Sprints!$E$12,AN$4&lt;=Resumen_Sprints!$E$12+Resumen_Sprints!$D$12),INDEX('Sprint N°7'!$C$9:$P$9,AN$4-Resumen_Sprints!$E$12),0)</f>
        <v>0</v>
      </c>
      <c r="AO43" s="36">
        <f>IF(AND(AO$4&gt;Resumen_Sprints!$E$12,AO$4&lt;=Resumen_Sprints!$E$12+Resumen_Sprints!$D$12),INDEX('Sprint N°7'!$C$9:$P$9,AO$4-Resumen_Sprints!$E$12),0)</f>
        <v>0</v>
      </c>
      <c r="AP43" s="36">
        <f>IF(AND(AP$4&gt;Resumen_Sprints!$E$12,AP$4&lt;=Resumen_Sprints!$E$12+Resumen_Sprints!$D$12),INDEX('Sprint N°7'!$C$9:$P$9,AP$4-Resumen_Sprints!$E$12),0)</f>
        <v>0</v>
      </c>
      <c r="AQ43" s="36">
        <f>IF(AND(AQ$4&gt;Resumen_Sprints!$E$12,AQ$4&lt;=Resumen_Sprints!$E$12+Resumen_Sprints!$D$12),INDEX('Sprint N°7'!$C$9:$P$9,AQ$4-Resumen_Sprints!$E$12),0)</f>
        <v>0</v>
      </c>
      <c r="AR43" s="36">
        <f>IF(AND(AR$4&gt;Resumen_Sprints!$E$12,AR$4&lt;=Resumen_Sprints!$E$12+Resumen_Sprints!$D$12),INDEX('Sprint N°7'!$C$9:$P$9,AR$4-Resumen_Sprints!$E$12),0)</f>
        <v>0</v>
      </c>
      <c r="AS43" s="36">
        <f>IF(AND(AS$4&gt;Resumen_Sprints!$E$12,AS$4&lt;=Resumen_Sprints!$E$12+Resumen_Sprints!$D$12),INDEX('Sprint N°7'!$C$9:$P$9,AS$4-Resumen_Sprints!$E$12),0)</f>
        <v>0</v>
      </c>
      <c r="AT43" s="36">
        <f>IF(AND(AT$4&gt;Resumen_Sprints!$E$12,AT$4&lt;=Resumen_Sprints!$E$12+Resumen_Sprints!$D$12),INDEX('Sprint N°7'!$C$9:$P$9,AT$4-Resumen_Sprints!$E$12),0)</f>
        <v>0</v>
      </c>
      <c r="AU43" s="36">
        <f>IF(AND(AU$4&gt;Resumen_Sprints!$E$12,AU$4&lt;=Resumen_Sprints!$E$12+Resumen_Sprints!$D$12),INDEX('Sprint N°7'!$C$9:$P$9,AU$4-Resumen_Sprints!$E$12),0)</f>
        <v>0</v>
      </c>
      <c r="AV43" s="36">
        <f>IF(AND(AV$4&gt;Resumen_Sprints!$E$12,AV$4&lt;=Resumen_Sprints!$E$12+Resumen_Sprints!$D$12),INDEX('Sprint N°7'!$C$9:$P$9,AV$4-Resumen_Sprints!$E$12),0)</f>
        <v>0</v>
      </c>
      <c r="AW43" s="36">
        <f>IF(AND(AW$4&gt;Resumen_Sprints!$E$12,AW$4&lt;=Resumen_Sprints!$E$12+Resumen_Sprints!$D$12),INDEX('Sprint N°7'!$C$9:$P$9,AW$4-Resumen_Sprints!$E$12),0)</f>
        <v>0</v>
      </c>
      <c r="AX43" s="36">
        <f>IF(AND(AX$4&gt;Resumen_Sprints!$E$12,AX$4&lt;=Resumen_Sprints!$E$12+Resumen_Sprints!$D$12),INDEX('Sprint N°7'!$C$9:$P$9,AX$4-Resumen_Sprints!$E$12),0)</f>
        <v>0</v>
      </c>
      <c r="AY43" s="36">
        <f>IF(AND(AY$4&gt;Resumen_Sprints!$E$12,AY$4&lt;=Resumen_Sprints!$E$12+Resumen_Sprints!$D$12),INDEX('Sprint N°7'!$C$9:$P$9,AY$4-Resumen_Sprints!$E$12),0)</f>
        <v>0</v>
      </c>
      <c r="AZ43" s="36">
        <f>IF(AND(AZ$4&gt;Resumen_Sprints!$E$12,AZ$4&lt;=Resumen_Sprints!$E$12+Resumen_Sprints!$D$12),INDEX('Sprint N°7'!$C$9:$P$9,AZ$4-Resumen_Sprints!$E$12),0)</f>
        <v>0</v>
      </c>
      <c r="BA43" s="36">
        <f>IF(AND(BA$4&gt;Resumen_Sprints!$E$12,BA$4&lt;=Resumen_Sprints!$E$12+Resumen_Sprints!$D$12),INDEX('Sprint N°7'!$C$9:$P$9,BA$4-Resumen_Sprints!$E$12),0)</f>
        <v>0</v>
      </c>
      <c r="BB43" s="36">
        <f>IF(AND(BB$4&gt;Resumen_Sprints!$E$12,BB$4&lt;=Resumen_Sprints!$E$12+Resumen_Sprints!$D$12),INDEX('Sprint N°7'!$C$9:$P$9,BB$4-Resumen_Sprints!$E$12),0)</f>
        <v>0</v>
      </c>
      <c r="BC43" s="36">
        <f>IF(AND(BC$4&gt;Resumen_Sprints!$E$12,BC$4&lt;=Resumen_Sprints!$E$12+Resumen_Sprints!$D$12),INDEX('Sprint N°7'!$C$9:$P$9,BC$4-Resumen_Sprints!$E$12),0)</f>
        <v>0</v>
      </c>
      <c r="BD43" s="36">
        <f>IF(AND(BD$4&gt;Resumen_Sprints!$E$12,BD$4&lt;=Resumen_Sprints!$E$12+Resumen_Sprints!$D$12),INDEX('Sprint N°7'!$C$9:$P$9,BD$4-Resumen_Sprints!$E$12),0)</f>
        <v>0</v>
      </c>
      <c r="BE43" s="36">
        <f>IF(AND(BE$4&gt;Resumen_Sprints!$E$12,BE$4&lt;=Resumen_Sprints!$E$12+Resumen_Sprints!$D$12),INDEX('Sprint N°7'!$C$9:$P$9,BE$4-Resumen_Sprints!$E$12),0)</f>
        <v>0</v>
      </c>
      <c r="BF43" s="36">
        <f>IF(AND(BF$4&gt;Resumen_Sprints!$E$12,BF$4&lt;=Resumen_Sprints!$E$12+Resumen_Sprints!$D$12),INDEX('Sprint N°7'!$C$9:$P$9,BF$4-Resumen_Sprints!$E$12),0)</f>
        <v>0</v>
      </c>
      <c r="BG43" s="36">
        <f>IF(AND(BG$4&gt;Resumen_Sprints!$E$12,BG$4&lt;=Resumen_Sprints!$E$12+Resumen_Sprints!$D$12),INDEX('Sprint N°7'!$C$9:$P$9,BG$4-Resumen_Sprints!$E$12),0)</f>
        <v>0</v>
      </c>
      <c r="BH43" s="36">
        <f>IF(AND(BH$4&gt;Resumen_Sprints!$E$12,BH$4&lt;=Resumen_Sprints!$E$12+Resumen_Sprints!$D$12),INDEX('Sprint N°7'!$C$9:$P$9,BH$4-Resumen_Sprints!$E$12),0)</f>
        <v>0</v>
      </c>
      <c r="BI43" s="36">
        <f>IF(AND(BI$4&gt;Resumen_Sprints!$E$12,BI$4&lt;=Resumen_Sprints!$E$12+Resumen_Sprints!$D$12),INDEX('Sprint N°7'!$C$9:$P$9,BI$4-Resumen_Sprints!$E$12),0)</f>
        <v>0</v>
      </c>
      <c r="BJ43" s="36">
        <f>IF(AND(BJ$4&gt;Resumen_Sprints!$E$12,BJ$4&lt;=Resumen_Sprints!$E$12+Resumen_Sprints!$D$12),INDEX('Sprint N°7'!$C$9:$P$9,BJ$4-Resumen_Sprints!$E$12),0)</f>
        <v>0</v>
      </c>
      <c r="BK43" s="36">
        <f>IF(AND(BK$4&gt;Resumen_Sprints!$E$12,BK$4&lt;=Resumen_Sprints!$E$12+Resumen_Sprints!$D$12),INDEX('Sprint N°7'!$C$9:$P$9,BK$4-Resumen_Sprints!$E$12),0)</f>
        <v>0</v>
      </c>
      <c r="BL43" s="36">
        <f>IF(AND(BL$4&gt;Resumen_Sprints!$E$12,BL$4&lt;=Resumen_Sprints!$E$12+Resumen_Sprints!$D$12),INDEX('Sprint N°7'!$C$9:$P$9,BL$4-Resumen_Sprints!$E$12),0)</f>
        <v>0</v>
      </c>
      <c r="BM43" s="36">
        <f>IF(AND(BM$4&gt;Resumen_Sprints!$E$12,BM$4&lt;=Resumen_Sprints!$E$12+Resumen_Sprints!$D$12),INDEX('Sprint N°7'!$C$9:$P$9,BM$4-Resumen_Sprints!$E$12),0)</f>
        <v>0</v>
      </c>
      <c r="BN43" s="36">
        <f>IF(AND(BN$4&gt;Resumen_Sprints!$E$12,BN$4&lt;=Resumen_Sprints!$E$12+Resumen_Sprints!$D$12),INDEX('Sprint N°7'!$C$9:$P$9,BN$4-Resumen_Sprints!$E$12),0)</f>
        <v>0</v>
      </c>
      <c r="BO43" s="36">
        <f>IF(AND(BO$4&gt;Resumen_Sprints!$E$12,BO$4&lt;=Resumen_Sprints!$E$12+Resumen_Sprints!$D$12),INDEX('Sprint N°7'!$C$9:$P$9,BO$4-Resumen_Sprints!$E$12),0)</f>
        <v>0</v>
      </c>
      <c r="BP43" s="36">
        <f>IF(AND(BP$4&gt;Resumen_Sprints!$E$12,BP$4&lt;=Resumen_Sprints!$E$12+Resumen_Sprints!$D$12),INDEX('Sprint N°7'!$C$9:$P$9,BP$4-Resumen_Sprints!$E$12),0)</f>
        <v>0</v>
      </c>
      <c r="BQ43" s="36">
        <f>IF(AND(BQ$4&gt;Resumen_Sprints!$E$12,BQ$4&lt;=Resumen_Sprints!$E$12+Resumen_Sprints!$D$12),INDEX('Sprint N°7'!$C$9:$P$9,BQ$4-Resumen_Sprints!$E$12),0)</f>
        <v>0</v>
      </c>
      <c r="BR43" s="36">
        <f>IF(AND(BR$4&gt;Resumen_Sprints!$E$12,BR$4&lt;=Resumen_Sprints!$E$12+Resumen_Sprints!$D$12),INDEX('Sprint N°7'!$C$9:$P$9,BR$4-Resumen_Sprints!$E$12),0)</f>
        <v>0</v>
      </c>
      <c r="BS43" s="36">
        <f>IF(AND(BS$4&gt;Resumen_Sprints!$E$12,BS$4&lt;=Resumen_Sprints!$E$12+Resumen_Sprints!$D$12),INDEX('Sprint N°7'!$C$9:$P$9,BS$4-Resumen_Sprints!$E$12),0)</f>
        <v>0</v>
      </c>
      <c r="BT43" s="36">
        <f>IF(AND(BT$4&gt;Resumen_Sprints!$E$12,BT$4&lt;=Resumen_Sprints!$E$12+Resumen_Sprints!$D$12),INDEX('Sprint N°7'!$C$9:$P$9,BT$4-Resumen_Sprints!$E$12),0)</f>
        <v>0</v>
      </c>
      <c r="BU43" s="36">
        <f>IF(AND(BU$4&gt;Resumen_Sprints!$E$12,BU$4&lt;=Resumen_Sprints!$E$12+Resumen_Sprints!$D$12),INDEX('Sprint N°7'!$C$9:$P$9,BU$4-Resumen_Sprints!$E$12),0)</f>
        <v>0</v>
      </c>
      <c r="BV43" s="36">
        <f>IF(AND(BV$4&gt;Resumen_Sprints!$E$12,BV$4&lt;=Resumen_Sprints!$E$12+Resumen_Sprints!$D$12),INDEX('Sprint N°7'!$C$9:$P$9,BV$4-Resumen_Sprints!$E$12),0)</f>
        <v>0</v>
      </c>
      <c r="BW43" s="36">
        <f>IF(AND(BW$4&gt;Resumen_Sprints!$E$12,BW$4&lt;=Resumen_Sprints!$E$12+Resumen_Sprints!$D$12),INDEX('Sprint N°7'!$C$9:$P$9,BW$4-Resumen_Sprints!$E$12),0)</f>
        <v>0</v>
      </c>
      <c r="BX43" s="36">
        <f>IF(AND(BX$4&gt;Resumen_Sprints!$E$12,BX$4&lt;=Resumen_Sprints!$E$12+Resumen_Sprints!$D$12),INDEX('Sprint N°7'!$C$9:$P$9,BX$4-Resumen_Sprints!$E$12),0)</f>
        <v>0</v>
      </c>
      <c r="BY43" s="36">
        <f>IF(AND(BY$4&gt;Resumen_Sprints!$E$12,BY$4&lt;=Resumen_Sprints!$E$12+Resumen_Sprints!$D$12),INDEX('Sprint N°7'!$C$9:$P$9,BY$4-Resumen_Sprints!$E$12),0)</f>
        <v>0</v>
      </c>
      <c r="BZ43" s="36">
        <f>IF(AND(BZ$4&gt;Resumen_Sprints!$E$12,BZ$4&lt;=Resumen_Sprints!$E$12+Resumen_Sprints!$D$12),INDEX('Sprint N°7'!$C$9:$P$9,BZ$4-Resumen_Sprints!$E$12),0)</f>
        <v>0</v>
      </c>
      <c r="CA43" s="36">
        <f>IF(AND(CA$4&gt;Resumen_Sprints!$E$12,CA$4&lt;=Resumen_Sprints!$E$12+Resumen_Sprints!$D$12),INDEX('Sprint N°7'!$C$9:$P$9,CA$4-Resumen_Sprints!$E$12),0)</f>
        <v>7</v>
      </c>
      <c r="CB43" s="36">
        <f>IF(AND(CB$4&gt;Resumen_Sprints!$E$12,CB$4&lt;=Resumen_Sprints!$E$12+Resumen_Sprints!$D$12),INDEX('Sprint N°7'!$C$9:$P$9,CB$4-Resumen_Sprints!$E$12),0)</f>
        <v>8</v>
      </c>
      <c r="CC43" s="36">
        <f>IF(AND(CC$4&gt;Resumen_Sprints!$E$12,CC$4&lt;=Resumen_Sprints!$E$12+Resumen_Sprints!$D$12),INDEX('Sprint N°7'!$C$9:$P$9,CC$4-Resumen_Sprints!$E$12),0)</f>
        <v>7</v>
      </c>
      <c r="CD43" s="36">
        <f>IF(AND(CD$4&gt;Resumen_Sprints!$E$12,CD$4&lt;=Resumen_Sprints!$E$12+Resumen_Sprints!$D$12),INDEX('Sprint N°7'!$C$9:$P$9,CD$4-Resumen_Sprints!$E$12),0)</f>
        <v>2</v>
      </c>
      <c r="CE43" s="36">
        <f>IF(AND(CE$4&gt;Resumen_Sprints!$E$12,CE$4&lt;=Resumen_Sprints!$E$12+Resumen_Sprints!$D$12),INDEX('Sprint N°7'!$C$9:$P$9,CE$4-Resumen_Sprints!$E$12),0)</f>
        <v>0</v>
      </c>
      <c r="CF43" s="36">
        <f>IF(AND(CF$4&gt;Resumen_Sprints!$E$12,CF$4&lt;=Resumen_Sprints!$E$12+Resumen_Sprints!$D$12),INDEX('Sprint N°7'!$C$9:$P$9,CF$4-Resumen_Sprints!$E$12),0)</f>
        <v>0</v>
      </c>
      <c r="CG43" s="36">
        <f>IF(AND(CG$4&gt;Resumen_Sprints!$E$12,CG$4&lt;=Resumen_Sprints!$E$12+Resumen_Sprints!$D$12),INDEX('Sprint N°7'!$C$9:$P$9,CG$4-Resumen_Sprints!$E$12),0)</f>
        <v>0</v>
      </c>
      <c r="CH43" s="36">
        <f>IF(AND(CH$4&gt;Resumen_Sprints!$E$12,CH$4&lt;=Resumen_Sprints!$E$12+Resumen_Sprints!$D$12),INDEX('Sprint N°7'!$C$9:$P$9,CH$4-Resumen_Sprints!$E$12),0)</f>
        <v>0</v>
      </c>
      <c r="CI43" s="36">
        <f>IF(AND(CI$4&gt;Resumen_Sprints!$E$12,CI$4&lt;=Resumen_Sprints!$E$12+Resumen_Sprints!$D$12),INDEX('Sprint N°7'!$C$9:$P$9,CI$4-Resumen_Sprints!$E$12),0)</f>
        <v>0</v>
      </c>
      <c r="CJ43" s="36">
        <f>IF(AND(CJ$4&gt;Resumen_Sprints!$E$12,CJ$4&lt;=Resumen_Sprints!$E$12+Resumen_Sprints!$D$12),INDEX('Sprint N°7'!$C$9:$P$9,CJ$4-Resumen_Sprints!$E$12),0)</f>
        <v>0</v>
      </c>
      <c r="CK43" s="36">
        <f>IF(AND(CK$4&gt;Resumen_Sprints!$E$12,CK$4&lt;=Resumen_Sprints!$E$12+Resumen_Sprints!$D$12),INDEX('Sprint N°7'!$C$9:$P$9,CK$4-Resumen_Sprints!$E$12),0)</f>
        <v>0</v>
      </c>
      <c r="CL43" s="36">
        <f>IF(AND(CL$4&gt;Resumen_Sprints!$E$12,CL$4&lt;=Resumen_Sprints!$E$12+Resumen_Sprints!$D$12),INDEX('Sprint N°7'!$C$9:$P$9,CL$4-Resumen_Sprints!$E$12),0)</f>
        <v>0</v>
      </c>
      <c r="CM43" s="36">
        <f>IF(AND(CM$4&gt;Resumen_Sprints!$E$12,CM$4&lt;=Resumen_Sprints!$E$12+Resumen_Sprints!$D$12),INDEX('Sprint N°7'!$C$9:$P$9,CM$4-Resumen_Sprints!$E$12),0)</f>
        <v>0</v>
      </c>
      <c r="CN43" s="36">
        <f>IF(AND(CN$4&gt;Resumen_Sprints!$E$12,CN$4&lt;=Resumen_Sprints!$E$12+Resumen_Sprints!$D$12),INDEX('Sprint N°7'!$C$9:$P$9,CN$4-Resumen_Sprints!$E$12),0)</f>
        <v>0</v>
      </c>
      <c r="CO43" s="36">
        <f>IF(AND(CO$4&gt;Resumen_Sprints!$E$12,CO$4&lt;=Resumen_Sprints!$E$12+Resumen_Sprints!$D$12),INDEX('Sprint N°7'!$C$9:$P$9,CO$4-Resumen_Sprints!$E$12),0)</f>
        <v>0</v>
      </c>
      <c r="CP43" s="36">
        <f>IF(AND(CP$4&gt;Resumen_Sprints!$E$12,CP$4&lt;=Resumen_Sprints!$E$12+Resumen_Sprints!$D$12),INDEX('Sprint N°7'!$C$9:$P$9,CP$4-Resumen_Sprints!$E$12),0)</f>
        <v>0</v>
      </c>
      <c r="CQ43" s="36">
        <f>IF(AND(CQ$4&gt;Resumen_Sprints!$E$12,CQ$4&lt;=Resumen_Sprints!$E$12+Resumen_Sprints!$D$12),INDEX('Sprint N°7'!$C$9:$P$9,CQ$4-Resumen_Sprints!$E$12),0)</f>
        <v>0</v>
      </c>
      <c r="CR43" s="36">
        <f>IF(AND(CR$4&gt;Resumen_Sprints!$E$12,CR$4&lt;=Resumen_Sprints!$E$12+Resumen_Sprints!$D$12),INDEX('Sprint N°7'!$C$9:$P$9,CR$4-Resumen_Sprints!$E$12),0)</f>
        <v>0</v>
      </c>
      <c r="CS43" s="36">
        <f>IF(AND(CS$4&gt;Resumen_Sprints!$E$12,CS$4&lt;=Resumen_Sprints!$E$12+Resumen_Sprints!$D$12),INDEX('Sprint N°7'!$C$9:$P$9,CS$4-Resumen_Sprints!$E$12),0)</f>
        <v>0</v>
      </c>
      <c r="CT43" s="36">
        <f>IF(AND(CT$4&gt;Resumen_Sprints!$E$12,CT$4&lt;=Resumen_Sprints!$E$12+Resumen_Sprints!$D$12),INDEX('Sprint N°7'!$C$9:$P$9,CT$4-Resumen_Sprints!$E$12),0)</f>
        <v>0</v>
      </c>
      <c r="CU43" s="10">
        <f>SUM(C43:CT43)</f>
        <v>24</v>
      </c>
    </row>
    <row r="44" spans="1:99" x14ac:dyDescent="0.3">
      <c r="A44" s="22" t="str">
        <f>'Sprint N°7'!A10</f>
        <v>Corrección de Defectos y Retesteo de Funcionalidades</v>
      </c>
      <c r="B44" s="22">
        <f>'Sprint N°7'!B10</f>
        <v>30</v>
      </c>
      <c r="C44" s="36">
        <f>IF(AND(C$4&gt;Resumen_Sprints!$E$12,C$4&lt;=Resumen_Sprints!$E$12+Resumen_Sprints!$D$12),INDEX('Sprint N°7'!$C$10:$P$10,C$4-Resumen_Sprints!$E$12),0)</f>
        <v>0</v>
      </c>
      <c r="D44" s="36">
        <f>IF(AND(D$4&gt;Resumen_Sprints!$E$12,D$4&lt;=Resumen_Sprints!$E$12+Resumen_Sprints!$D$12),INDEX('Sprint N°7'!$C$10:$P$10,D$4-Resumen_Sprints!$E$12),0)</f>
        <v>0</v>
      </c>
      <c r="E44" s="36">
        <f>IF(AND(E$4&gt;Resumen_Sprints!$E$12,E$4&lt;=Resumen_Sprints!$E$12+Resumen_Sprints!$D$12),INDEX('Sprint N°7'!$C$10:$P$10,E$4-Resumen_Sprints!$E$12),0)</f>
        <v>0</v>
      </c>
      <c r="F44" s="36">
        <f>IF(AND(F$4&gt;Resumen_Sprints!$E$12,F$4&lt;=Resumen_Sprints!$E$12+Resumen_Sprints!$D$12),INDEX('Sprint N°7'!$C$10:$P$10,F$4-Resumen_Sprints!$E$12),0)</f>
        <v>0</v>
      </c>
      <c r="G44" s="36">
        <f>IF(AND(G$4&gt;Resumen_Sprints!$E$12,G$4&lt;=Resumen_Sprints!$E$12+Resumen_Sprints!$D$12),INDEX('Sprint N°7'!$C$10:$P$10,G$4-Resumen_Sprints!$E$12),0)</f>
        <v>0</v>
      </c>
      <c r="H44" s="36">
        <f>IF(AND(H$4&gt;Resumen_Sprints!$E$12,H$4&lt;=Resumen_Sprints!$E$12+Resumen_Sprints!$D$12),INDEX('Sprint N°7'!$C$10:$P$10,H$4-Resumen_Sprints!$E$12),0)</f>
        <v>0</v>
      </c>
      <c r="I44" s="36">
        <f>IF(AND(I$4&gt;Resumen_Sprints!$E$12,I$4&lt;=Resumen_Sprints!$E$12+Resumen_Sprints!$D$12),INDEX('Sprint N°7'!$C$10:$P$10,I$4-Resumen_Sprints!$E$12),0)</f>
        <v>0</v>
      </c>
      <c r="J44" s="36">
        <f>IF(AND(J$4&gt;Resumen_Sprints!$E$12,J$4&lt;=Resumen_Sprints!$E$12+Resumen_Sprints!$D$12),INDEX('Sprint N°7'!$C$10:$P$10,J$4-Resumen_Sprints!$E$12),0)</f>
        <v>0</v>
      </c>
      <c r="K44" s="36">
        <f>IF(AND(K$4&gt;Resumen_Sprints!$E$12,K$4&lt;=Resumen_Sprints!$E$12+Resumen_Sprints!$D$12),INDEX('Sprint N°7'!$C$10:$P$10,K$4-Resumen_Sprints!$E$12),0)</f>
        <v>0</v>
      </c>
      <c r="L44" s="36">
        <f>IF(AND(L$4&gt;Resumen_Sprints!$E$12,L$4&lt;=Resumen_Sprints!$E$12+Resumen_Sprints!$D$12),INDEX('Sprint N°7'!$C$10:$P$10,L$4-Resumen_Sprints!$E$12),0)</f>
        <v>0</v>
      </c>
      <c r="M44" s="36">
        <f>IF(AND(M$4&gt;Resumen_Sprints!$E$12,M$4&lt;=Resumen_Sprints!$E$12+Resumen_Sprints!$D$12),INDEX('Sprint N°7'!$C$10:$P$10,M$4-Resumen_Sprints!$E$12),0)</f>
        <v>0</v>
      </c>
      <c r="N44" s="36">
        <f>IF(AND(N$4&gt;Resumen_Sprints!$E$12,N$4&lt;=Resumen_Sprints!$E$12+Resumen_Sprints!$D$12),INDEX('Sprint N°7'!$C$10:$P$10,N$4-Resumen_Sprints!$E$12),0)</f>
        <v>0</v>
      </c>
      <c r="O44" s="36">
        <f>IF(AND(O$4&gt;Resumen_Sprints!$E$12,O$4&lt;=Resumen_Sprints!$E$12+Resumen_Sprints!$D$12),INDEX('Sprint N°7'!$C$10:$P$10,O$4-Resumen_Sprints!$E$12),0)</f>
        <v>0</v>
      </c>
      <c r="P44" s="36">
        <f>IF(AND(P$4&gt;Resumen_Sprints!$E$12,P$4&lt;=Resumen_Sprints!$E$12+Resumen_Sprints!$D$12),INDEX('Sprint N°7'!$C$10:$P$10,P$4-Resumen_Sprints!$E$12),0)</f>
        <v>0</v>
      </c>
      <c r="Q44" s="36">
        <f>IF(AND(Q$4&gt;Resumen_Sprints!$E$12,Q$4&lt;=Resumen_Sprints!$E$12+Resumen_Sprints!$D$12),INDEX('Sprint N°7'!$C$10:$P$10,Q$4-Resumen_Sprints!$E$12),0)</f>
        <v>0</v>
      </c>
      <c r="R44" s="36">
        <f>IF(AND(R$4&gt;Resumen_Sprints!$E$12,R$4&lt;=Resumen_Sprints!$E$12+Resumen_Sprints!$D$12),INDEX('Sprint N°7'!$C$10:$P$10,R$4-Resumen_Sprints!$E$12),0)</f>
        <v>0</v>
      </c>
      <c r="S44" s="36">
        <f>IF(AND(S$4&gt;Resumen_Sprints!$E$12,S$4&lt;=Resumen_Sprints!$E$12+Resumen_Sprints!$D$12),INDEX('Sprint N°7'!$C$10:$P$10,S$4-Resumen_Sprints!$E$12),0)</f>
        <v>0</v>
      </c>
      <c r="T44" s="36">
        <f>IF(AND(T$4&gt;Resumen_Sprints!$E$12,T$4&lt;=Resumen_Sprints!$E$12+Resumen_Sprints!$D$12),INDEX('Sprint N°7'!$C$10:$P$10,T$4-Resumen_Sprints!$E$12),0)</f>
        <v>0</v>
      </c>
      <c r="U44" s="36">
        <f>IF(AND(U$4&gt;Resumen_Sprints!$E$12,U$4&lt;=Resumen_Sprints!$E$12+Resumen_Sprints!$D$12),INDEX('Sprint N°7'!$C$10:$P$10,U$4-Resumen_Sprints!$E$12),0)</f>
        <v>0</v>
      </c>
      <c r="V44" s="36">
        <f>IF(AND(V$4&gt;Resumen_Sprints!$E$12,V$4&lt;=Resumen_Sprints!$E$12+Resumen_Sprints!$D$12),INDEX('Sprint N°7'!$C$10:$P$10,V$4-Resumen_Sprints!$E$12),0)</f>
        <v>0</v>
      </c>
      <c r="W44" s="36">
        <f>IF(AND(W$4&gt;Resumen_Sprints!$E$12,W$4&lt;=Resumen_Sprints!$E$12+Resumen_Sprints!$D$12),INDEX('Sprint N°7'!$C$10:$P$10,W$4-Resumen_Sprints!$E$12),0)</f>
        <v>0</v>
      </c>
      <c r="X44" s="36">
        <f>IF(AND(X$4&gt;Resumen_Sprints!$E$12,X$4&lt;=Resumen_Sprints!$E$12+Resumen_Sprints!$D$12),INDEX('Sprint N°7'!$C$10:$P$10,X$4-Resumen_Sprints!$E$12),0)</f>
        <v>0</v>
      </c>
      <c r="Y44" s="36">
        <f>IF(AND(Y$4&gt;Resumen_Sprints!$E$12,Y$4&lt;=Resumen_Sprints!$E$12+Resumen_Sprints!$D$12),INDEX('Sprint N°7'!$C$10:$P$10,Y$4-Resumen_Sprints!$E$12),0)</f>
        <v>0</v>
      </c>
      <c r="Z44" s="36">
        <f>IF(AND(Z$4&gt;Resumen_Sprints!$E$12,Z$4&lt;=Resumen_Sprints!$E$12+Resumen_Sprints!$D$12),INDEX('Sprint N°7'!$C$10:$P$10,Z$4-Resumen_Sprints!$E$12),0)</f>
        <v>0</v>
      </c>
      <c r="AA44" s="36">
        <f>IF(AND(AA$4&gt;Resumen_Sprints!$E$12,AA$4&lt;=Resumen_Sprints!$E$12+Resumen_Sprints!$D$12),INDEX('Sprint N°7'!$C$10:$P$10,AA$4-Resumen_Sprints!$E$12),0)</f>
        <v>0</v>
      </c>
      <c r="AB44" s="36">
        <f>IF(AND(AB$4&gt;Resumen_Sprints!$E$12,AB$4&lt;=Resumen_Sprints!$E$12+Resumen_Sprints!$D$12),INDEX('Sprint N°7'!$C$10:$P$10,AB$4-Resumen_Sprints!$E$12),0)</f>
        <v>0</v>
      </c>
      <c r="AC44" s="36">
        <f>IF(AND(AC$4&gt;Resumen_Sprints!$E$12,AC$4&lt;=Resumen_Sprints!$E$12+Resumen_Sprints!$D$12),INDEX('Sprint N°7'!$C$10:$P$10,AC$4-Resumen_Sprints!$E$12),0)</f>
        <v>0</v>
      </c>
      <c r="AD44" s="36">
        <f>IF(AND(AD$4&gt;Resumen_Sprints!$E$12,AD$4&lt;=Resumen_Sprints!$E$12+Resumen_Sprints!$D$12),INDEX('Sprint N°7'!$C$10:$P$10,AD$4-Resumen_Sprints!$E$12),0)</f>
        <v>0</v>
      </c>
      <c r="AE44" s="36">
        <f>IF(AND(AE$4&gt;Resumen_Sprints!$E$12,AE$4&lt;=Resumen_Sprints!$E$12+Resumen_Sprints!$D$12),INDEX('Sprint N°7'!$C$10:$P$10,AE$4-Resumen_Sprints!$E$12),0)</f>
        <v>0</v>
      </c>
      <c r="AF44" s="36">
        <f>IF(AND(AF$4&gt;Resumen_Sprints!$E$12,AF$4&lt;=Resumen_Sprints!$E$12+Resumen_Sprints!$D$12),INDEX('Sprint N°7'!$C$10:$P$10,AF$4-Resumen_Sprints!$E$12),0)</f>
        <v>0</v>
      </c>
      <c r="AG44" s="36">
        <f>IF(AND(AG$4&gt;Resumen_Sprints!$E$12,AG$4&lt;=Resumen_Sprints!$E$12+Resumen_Sprints!$D$12),INDEX('Sprint N°7'!$C$10:$P$10,AG$4-Resumen_Sprints!$E$12),0)</f>
        <v>0</v>
      </c>
      <c r="AH44" s="36">
        <f>IF(AND(AH$4&gt;Resumen_Sprints!$E$12,AH$4&lt;=Resumen_Sprints!$E$12+Resumen_Sprints!$D$12),INDEX('Sprint N°7'!$C$10:$P$10,AH$4-Resumen_Sprints!$E$12),0)</f>
        <v>0</v>
      </c>
      <c r="AI44" s="36">
        <f>IF(AND(AI$4&gt;Resumen_Sprints!$E$12,AI$4&lt;=Resumen_Sprints!$E$12+Resumen_Sprints!$D$12),INDEX('Sprint N°7'!$C$10:$P$10,AI$4-Resumen_Sprints!$E$12),0)</f>
        <v>0</v>
      </c>
      <c r="AJ44" s="36">
        <f>IF(AND(AJ$4&gt;Resumen_Sprints!$E$12,AJ$4&lt;=Resumen_Sprints!$E$12+Resumen_Sprints!$D$12),INDEX('Sprint N°7'!$C$10:$P$10,AJ$4-Resumen_Sprints!$E$12),0)</f>
        <v>0</v>
      </c>
      <c r="AK44" s="36">
        <f>IF(AND(AK$4&gt;Resumen_Sprints!$E$12,AK$4&lt;=Resumen_Sprints!$E$12+Resumen_Sprints!$D$12),INDEX('Sprint N°7'!$C$10:$P$10,AK$4-Resumen_Sprints!$E$12),0)</f>
        <v>0</v>
      </c>
      <c r="AL44" s="36">
        <f>IF(AND(AL$4&gt;Resumen_Sprints!$E$12,AL$4&lt;=Resumen_Sprints!$E$12+Resumen_Sprints!$D$12),INDEX('Sprint N°7'!$C$10:$P$10,AL$4-Resumen_Sprints!$E$12),0)</f>
        <v>0</v>
      </c>
      <c r="AM44" s="36">
        <f>IF(AND(AM$4&gt;Resumen_Sprints!$E$12,AM$4&lt;=Resumen_Sprints!$E$12+Resumen_Sprints!$D$12),INDEX('Sprint N°7'!$C$10:$P$10,AM$4-Resumen_Sprints!$E$12),0)</f>
        <v>0</v>
      </c>
      <c r="AN44" s="36">
        <f>IF(AND(AN$4&gt;Resumen_Sprints!$E$12,AN$4&lt;=Resumen_Sprints!$E$12+Resumen_Sprints!$D$12),INDEX('Sprint N°7'!$C$10:$P$10,AN$4-Resumen_Sprints!$E$12),0)</f>
        <v>0</v>
      </c>
      <c r="AO44" s="36">
        <f>IF(AND(AO$4&gt;Resumen_Sprints!$E$12,AO$4&lt;=Resumen_Sprints!$E$12+Resumen_Sprints!$D$12),INDEX('Sprint N°7'!$C$10:$P$10,AO$4-Resumen_Sprints!$E$12),0)</f>
        <v>0</v>
      </c>
      <c r="AP44" s="36">
        <f>IF(AND(AP$4&gt;Resumen_Sprints!$E$12,AP$4&lt;=Resumen_Sprints!$E$12+Resumen_Sprints!$D$12),INDEX('Sprint N°7'!$C$10:$P$10,AP$4-Resumen_Sprints!$E$12),0)</f>
        <v>0</v>
      </c>
      <c r="AQ44" s="36">
        <f>IF(AND(AQ$4&gt;Resumen_Sprints!$E$12,AQ$4&lt;=Resumen_Sprints!$E$12+Resumen_Sprints!$D$12),INDEX('Sprint N°7'!$C$10:$P$10,AQ$4-Resumen_Sprints!$E$12),0)</f>
        <v>0</v>
      </c>
      <c r="AR44" s="36">
        <f>IF(AND(AR$4&gt;Resumen_Sprints!$E$12,AR$4&lt;=Resumen_Sprints!$E$12+Resumen_Sprints!$D$12),INDEX('Sprint N°7'!$C$10:$P$10,AR$4-Resumen_Sprints!$E$12),0)</f>
        <v>0</v>
      </c>
      <c r="AS44" s="36">
        <f>IF(AND(AS$4&gt;Resumen_Sprints!$E$12,AS$4&lt;=Resumen_Sprints!$E$12+Resumen_Sprints!$D$12),INDEX('Sprint N°7'!$C$10:$P$10,AS$4-Resumen_Sprints!$E$12),0)</f>
        <v>0</v>
      </c>
      <c r="AT44" s="36">
        <f>IF(AND(AT$4&gt;Resumen_Sprints!$E$12,AT$4&lt;=Resumen_Sprints!$E$12+Resumen_Sprints!$D$12),INDEX('Sprint N°7'!$C$10:$P$10,AT$4-Resumen_Sprints!$E$12),0)</f>
        <v>0</v>
      </c>
      <c r="AU44" s="36">
        <f>IF(AND(AU$4&gt;Resumen_Sprints!$E$12,AU$4&lt;=Resumen_Sprints!$E$12+Resumen_Sprints!$D$12),INDEX('Sprint N°7'!$C$10:$P$10,AU$4-Resumen_Sprints!$E$12),0)</f>
        <v>0</v>
      </c>
      <c r="AV44" s="36">
        <f>IF(AND(AV$4&gt;Resumen_Sprints!$E$12,AV$4&lt;=Resumen_Sprints!$E$12+Resumen_Sprints!$D$12),INDEX('Sprint N°7'!$C$10:$P$10,AV$4-Resumen_Sprints!$E$12),0)</f>
        <v>0</v>
      </c>
      <c r="AW44" s="36">
        <f>IF(AND(AW$4&gt;Resumen_Sprints!$E$12,AW$4&lt;=Resumen_Sprints!$E$12+Resumen_Sprints!$D$12),INDEX('Sprint N°7'!$C$10:$P$10,AW$4-Resumen_Sprints!$E$12),0)</f>
        <v>0</v>
      </c>
      <c r="AX44" s="36">
        <f>IF(AND(AX$4&gt;Resumen_Sprints!$E$12,AX$4&lt;=Resumen_Sprints!$E$12+Resumen_Sprints!$D$12),INDEX('Sprint N°7'!$C$10:$P$10,AX$4-Resumen_Sprints!$E$12),0)</f>
        <v>0</v>
      </c>
      <c r="AY44" s="36">
        <f>IF(AND(AY$4&gt;Resumen_Sprints!$E$12,AY$4&lt;=Resumen_Sprints!$E$12+Resumen_Sprints!$D$12),INDEX('Sprint N°7'!$C$10:$P$10,AY$4-Resumen_Sprints!$E$12),0)</f>
        <v>0</v>
      </c>
      <c r="AZ44" s="36">
        <f>IF(AND(AZ$4&gt;Resumen_Sprints!$E$12,AZ$4&lt;=Resumen_Sprints!$E$12+Resumen_Sprints!$D$12),INDEX('Sprint N°7'!$C$10:$P$10,AZ$4-Resumen_Sprints!$E$12),0)</f>
        <v>0</v>
      </c>
      <c r="BA44" s="36">
        <f>IF(AND(BA$4&gt;Resumen_Sprints!$E$12,BA$4&lt;=Resumen_Sprints!$E$12+Resumen_Sprints!$D$12),INDEX('Sprint N°7'!$C$10:$P$10,BA$4-Resumen_Sprints!$E$12),0)</f>
        <v>0</v>
      </c>
      <c r="BB44" s="36">
        <f>IF(AND(BB$4&gt;Resumen_Sprints!$E$12,BB$4&lt;=Resumen_Sprints!$E$12+Resumen_Sprints!$D$12),INDEX('Sprint N°7'!$C$10:$P$10,BB$4-Resumen_Sprints!$E$12),0)</f>
        <v>0</v>
      </c>
      <c r="BC44" s="36">
        <f>IF(AND(BC$4&gt;Resumen_Sprints!$E$12,BC$4&lt;=Resumen_Sprints!$E$12+Resumen_Sprints!$D$12),INDEX('Sprint N°7'!$C$10:$P$10,BC$4-Resumen_Sprints!$E$12),0)</f>
        <v>0</v>
      </c>
      <c r="BD44" s="36">
        <f>IF(AND(BD$4&gt;Resumen_Sprints!$E$12,BD$4&lt;=Resumen_Sprints!$E$12+Resumen_Sprints!$D$12),INDEX('Sprint N°7'!$C$10:$P$10,BD$4-Resumen_Sprints!$E$12),0)</f>
        <v>0</v>
      </c>
      <c r="BE44" s="36">
        <f>IF(AND(BE$4&gt;Resumen_Sprints!$E$12,BE$4&lt;=Resumen_Sprints!$E$12+Resumen_Sprints!$D$12),INDEX('Sprint N°7'!$C$10:$P$10,BE$4-Resumen_Sprints!$E$12),0)</f>
        <v>0</v>
      </c>
      <c r="BF44" s="36">
        <f>IF(AND(BF$4&gt;Resumen_Sprints!$E$12,BF$4&lt;=Resumen_Sprints!$E$12+Resumen_Sprints!$D$12),INDEX('Sprint N°7'!$C$10:$P$10,BF$4-Resumen_Sprints!$E$12),0)</f>
        <v>0</v>
      </c>
      <c r="BG44" s="36">
        <f>IF(AND(BG$4&gt;Resumen_Sprints!$E$12,BG$4&lt;=Resumen_Sprints!$E$12+Resumen_Sprints!$D$12),INDEX('Sprint N°7'!$C$10:$P$10,BG$4-Resumen_Sprints!$E$12),0)</f>
        <v>0</v>
      </c>
      <c r="BH44" s="36">
        <f>IF(AND(BH$4&gt;Resumen_Sprints!$E$12,BH$4&lt;=Resumen_Sprints!$E$12+Resumen_Sprints!$D$12),INDEX('Sprint N°7'!$C$10:$P$10,BH$4-Resumen_Sprints!$E$12),0)</f>
        <v>0</v>
      </c>
      <c r="BI44" s="36">
        <f>IF(AND(BI$4&gt;Resumen_Sprints!$E$12,BI$4&lt;=Resumen_Sprints!$E$12+Resumen_Sprints!$D$12),INDEX('Sprint N°7'!$C$10:$P$10,BI$4-Resumen_Sprints!$E$12),0)</f>
        <v>0</v>
      </c>
      <c r="BJ44" s="36">
        <f>IF(AND(BJ$4&gt;Resumen_Sprints!$E$12,BJ$4&lt;=Resumen_Sprints!$E$12+Resumen_Sprints!$D$12),INDEX('Sprint N°7'!$C$10:$P$10,BJ$4-Resumen_Sprints!$E$12),0)</f>
        <v>0</v>
      </c>
      <c r="BK44" s="36">
        <f>IF(AND(BK$4&gt;Resumen_Sprints!$E$12,BK$4&lt;=Resumen_Sprints!$E$12+Resumen_Sprints!$D$12),INDEX('Sprint N°7'!$C$10:$P$10,BK$4-Resumen_Sprints!$E$12),0)</f>
        <v>0</v>
      </c>
      <c r="BL44" s="36">
        <f>IF(AND(BL$4&gt;Resumen_Sprints!$E$12,BL$4&lt;=Resumen_Sprints!$E$12+Resumen_Sprints!$D$12),INDEX('Sprint N°7'!$C$10:$P$10,BL$4-Resumen_Sprints!$E$12),0)</f>
        <v>0</v>
      </c>
      <c r="BM44" s="36">
        <f>IF(AND(BM$4&gt;Resumen_Sprints!$E$12,BM$4&lt;=Resumen_Sprints!$E$12+Resumen_Sprints!$D$12),INDEX('Sprint N°7'!$C$10:$P$10,BM$4-Resumen_Sprints!$E$12),0)</f>
        <v>0</v>
      </c>
      <c r="BN44" s="36">
        <f>IF(AND(BN$4&gt;Resumen_Sprints!$E$12,BN$4&lt;=Resumen_Sprints!$E$12+Resumen_Sprints!$D$12),INDEX('Sprint N°7'!$C$10:$P$10,BN$4-Resumen_Sprints!$E$12),0)</f>
        <v>0</v>
      </c>
      <c r="BO44" s="36">
        <f>IF(AND(BO$4&gt;Resumen_Sprints!$E$12,BO$4&lt;=Resumen_Sprints!$E$12+Resumen_Sprints!$D$12),INDEX('Sprint N°7'!$C$10:$P$10,BO$4-Resumen_Sprints!$E$12),0)</f>
        <v>0</v>
      </c>
      <c r="BP44" s="36">
        <f>IF(AND(BP$4&gt;Resumen_Sprints!$E$12,BP$4&lt;=Resumen_Sprints!$E$12+Resumen_Sprints!$D$12),INDEX('Sprint N°7'!$C$10:$P$10,BP$4-Resumen_Sprints!$E$12),0)</f>
        <v>0</v>
      </c>
      <c r="BQ44" s="36">
        <f>IF(AND(BQ$4&gt;Resumen_Sprints!$E$12,BQ$4&lt;=Resumen_Sprints!$E$12+Resumen_Sprints!$D$12),INDEX('Sprint N°7'!$C$10:$P$10,BQ$4-Resumen_Sprints!$E$12),0)</f>
        <v>0</v>
      </c>
      <c r="BR44" s="36">
        <f>IF(AND(BR$4&gt;Resumen_Sprints!$E$12,BR$4&lt;=Resumen_Sprints!$E$12+Resumen_Sprints!$D$12),INDEX('Sprint N°7'!$C$10:$P$10,BR$4-Resumen_Sprints!$E$12),0)</f>
        <v>0</v>
      </c>
      <c r="BS44" s="36">
        <f>IF(AND(BS$4&gt;Resumen_Sprints!$E$12,BS$4&lt;=Resumen_Sprints!$E$12+Resumen_Sprints!$D$12),INDEX('Sprint N°7'!$C$10:$P$10,BS$4-Resumen_Sprints!$E$12),0)</f>
        <v>0</v>
      </c>
      <c r="BT44" s="36">
        <f>IF(AND(BT$4&gt;Resumen_Sprints!$E$12,BT$4&lt;=Resumen_Sprints!$E$12+Resumen_Sprints!$D$12),INDEX('Sprint N°7'!$C$10:$P$10,BT$4-Resumen_Sprints!$E$12),0)</f>
        <v>0</v>
      </c>
      <c r="BU44" s="36">
        <f>IF(AND(BU$4&gt;Resumen_Sprints!$E$12,BU$4&lt;=Resumen_Sprints!$E$12+Resumen_Sprints!$D$12),INDEX('Sprint N°7'!$C$10:$P$10,BU$4-Resumen_Sprints!$E$12),0)</f>
        <v>0</v>
      </c>
      <c r="BV44" s="36">
        <f>IF(AND(BV$4&gt;Resumen_Sprints!$E$12,BV$4&lt;=Resumen_Sprints!$E$12+Resumen_Sprints!$D$12),INDEX('Sprint N°7'!$C$10:$P$10,BV$4-Resumen_Sprints!$E$12),0)</f>
        <v>0</v>
      </c>
      <c r="BW44" s="36">
        <f>IF(AND(BW$4&gt;Resumen_Sprints!$E$12,BW$4&lt;=Resumen_Sprints!$E$12+Resumen_Sprints!$D$12),INDEX('Sprint N°7'!$C$10:$P$10,BW$4-Resumen_Sprints!$E$12),0)</f>
        <v>0</v>
      </c>
      <c r="BX44" s="36">
        <f>IF(AND(BX$4&gt;Resumen_Sprints!$E$12,BX$4&lt;=Resumen_Sprints!$E$12+Resumen_Sprints!$D$12),INDEX('Sprint N°7'!$C$10:$P$10,BX$4-Resumen_Sprints!$E$12),0)</f>
        <v>0</v>
      </c>
      <c r="BY44" s="36">
        <f>IF(AND(BY$4&gt;Resumen_Sprints!$E$12,BY$4&lt;=Resumen_Sprints!$E$12+Resumen_Sprints!$D$12),INDEX('Sprint N°7'!$C$10:$P$10,BY$4-Resumen_Sprints!$E$12),0)</f>
        <v>0</v>
      </c>
      <c r="BZ44" s="36">
        <f>IF(AND(BZ$4&gt;Resumen_Sprints!$E$12,BZ$4&lt;=Resumen_Sprints!$E$12+Resumen_Sprints!$D$12),INDEX('Sprint N°7'!$C$10:$P$10,BZ$4-Resumen_Sprints!$E$12),0)</f>
        <v>0</v>
      </c>
      <c r="CA44" s="36">
        <f>IF(AND(CA$4&gt;Resumen_Sprints!$E$12,CA$4&lt;=Resumen_Sprints!$E$12+Resumen_Sprints!$D$12),INDEX('Sprint N°7'!$C$10:$P$10,CA$4-Resumen_Sprints!$E$12),0)</f>
        <v>0</v>
      </c>
      <c r="CB44" s="36">
        <f>IF(AND(CB$4&gt;Resumen_Sprints!$E$12,CB$4&lt;=Resumen_Sprints!$E$12+Resumen_Sprints!$D$12),INDEX('Sprint N°7'!$C$10:$P$10,CB$4-Resumen_Sprints!$E$12),0)</f>
        <v>0</v>
      </c>
      <c r="CC44" s="36">
        <f>IF(AND(CC$4&gt;Resumen_Sprints!$E$12,CC$4&lt;=Resumen_Sprints!$E$12+Resumen_Sprints!$D$12),INDEX('Sprint N°7'!$C$10:$P$10,CC$4-Resumen_Sprints!$E$12),0)</f>
        <v>0</v>
      </c>
      <c r="CD44" s="36">
        <f>IF(AND(CD$4&gt;Resumen_Sprints!$E$12,CD$4&lt;=Resumen_Sprints!$E$12+Resumen_Sprints!$D$12),INDEX('Sprint N°7'!$C$10:$P$10,CD$4-Resumen_Sprints!$E$12),0)</f>
        <v>5</v>
      </c>
      <c r="CE44" s="36">
        <f>IF(AND(CE$4&gt;Resumen_Sprints!$E$12,CE$4&lt;=Resumen_Sprints!$E$12+Resumen_Sprints!$D$12),INDEX('Sprint N°7'!$C$10:$P$10,CE$4-Resumen_Sprints!$E$12),0)</f>
        <v>8</v>
      </c>
      <c r="CF44" s="36">
        <f>IF(AND(CF$4&gt;Resumen_Sprints!$E$12,CF$4&lt;=Resumen_Sprints!$E$12+Resumen_Sprints!$D$12),INDEX('Sprint N°7'!$C$10:$P$10,CF$4-Resumen_Sprints!$E$12),0)</f>
        <v>8</v>
      </c>
      <c r="CG44" s="36">
        <f>IF(AND(CG$4&gt;Resumen_Sprints!$E$12,CG$4&lt;=Resumen_Sprints!$E$12+Resumen_Sprints!$D$12),INDEX('Sprint N°7'!$C$10:$P$10,CG$4-Resumen_Sprints!$E$12),0)</f>
        <v>9</v>
      </c>
      <c r="CH44" s="36">
        <f>IF(AND(CH$4&gt;Resumen_Sprints!$E$12,CH$4&lt;=Resumen_Sprints!$E$12+Resumen_Sprints!$D$12),INDEX('Sprint N°7'!$C$10:$P$10,CH$4-Resumen_Sprints!$E$12),0)</f>
        <v>0</v>
      </c>
      <c r="CI44" s="36">
        <f>IF(AND(CI$4&gt;Resumen_Sprints!$E$12,CI$4&lt;=Resumen_Sprints!$E$12+Resumen_Sprints!$D$12),INDEX('Sprint N°7'!$C$10:$P$10,CI$4-Resumen_Sprints!$E$12),0)</f>
        <v>0</v>
      </c>
      <c r="CJ44" s="36">
        <f>IF(AND(CJ$4&gt;Resumen_Sprints!$E$12,CJ$4&lt;=Resumen_Sprints!$E$12+Resumen_Sprints!$D$12),INDEX('Sprint N°7'!$C$10:$P$10,CJ$4-Resumen_Sprints!$E$12),0)</f>
        <v>0</v>
      </c>
      <c r="CK44" s="36">
        <f>IF(AND(CK$4&gt;Resumen_Sprints!$E$12,CK$4&lt;=Resumen_Sprints!$E$12+Resumen_Sprints!$D$12),INDEX('Sprint N°7'!$C$10:$P$10,CK$4-Resumen_Sprints!$E$12),0)</f>
        <v>0</v>
      </c>
      <c r="CL44" s="36">
        <f>IF(AND(CL$4&gt;Resumen_Sprints!$E$12,CL$4&lt;=Resumen_Sprints!$E$12+Resumen_Sprints!$D$12),INDEX('Sprint N°7'!$C$10:$P$10,CL$4-Resumen_Sprints!$E$12),0)</f>
        <v>0</v>
      </c>
      <c r="CM44" s="36">
        <f>IF(AND(CM$4&gt;Resumen_Sprints!$E$12,CM$4&lt;=Resumen_Sprints!$E$12+Resumen_Sprints!$D$12),INDEX('Sprint N°7'!$C$10:$P$10,CM$4-Resumen_Sprints!$E$12),0)</f>
        <v>0</v>
      </c>
      <c r="CN44" s="36">
        <f>IF(AND(CN$4&gt;Resumen_Sprints!$E$12,CN$4&lt;=Resumen_Sprints!$E$12+Resumen_Sprints!$D$12),INDEX('Sprint N°7'!$C$10:$P$10,CN$4-Resumen_Sprints!$E$12),0)</f>
        <v>0</v>
      </c>
      <c r="CO44" s="36">
        <f>IF(AND(CO$4&gt;Resumen_Sprints!$E$12,CO$4&lt;=Resumen_Sprints!$E$12+Resumen_Sprints!$D$12),INDEX('Sprint N°7'!$C$10:$P$10,CO$4-Resumen_Sprints!$E$12),0)</f>
        <v>0</v>
      </c>
      <c r="CP44" s="36">
        <f>IF(AND(CP$4&gt;Resumen_Sprints!$E$12,CP$4&lt;=Resumen_Sprints!$E$12+Resumen_Sprints!$D$12),INDEX('Sprint N°7'!$C$10:$P$10,CP$4-Resumen_Sprints!$E$12),0)</f>
        <v>0</v>
      </c>
      <c r="CQ44" s="36">
        <f>IF(AND(CQ$4&gt;Resumen_Sprints!$E$12,CQ$4&lt;=Resumen_Sprints!$E$12+Resumen_Sprints!$D$12),INDEX('Sprint N°7'!$C$10:$P$10,CQ$4-Resumen_Sprints!$E$12),0)</f>
        <v>0</v>
      </c>
      <c r="CR44" s="36">
        <f>IF(AND(CR$4&gt;Resumen_Sprints!$E$12,CR$4&lt;=Resumen_Sprints!$E$12+Resumen_Sprints!$D$12),INDEX('Sprint N°7'!$C$10:$P$10,CR$4-Resumen_Sprints!$E$12),0)</f>
        <v>0</v>
      </c>
      <c r="CS44" s="36">
        <f>IF(AND(CS$4&gt;Resumen_Sprints!$E$12,CS$4&lt;=Resumen_Sprints!$E$12+Resumen_Sprints!$D$12),INDEX('Sprint N°7'!$C$10:$P$10,CS$4-Resumen_Sprints!$E$12),0)</f>
        <v>0</v>
      </c>
      <c r="CT44" s="36">
        <f>IF(AND(CT$4&gt;Resumen_Sprints!$E$12,CT$4&lt;=Resumen_Sprints!$E$12+Resumen_Sprints!$D$12),INDEX('Sprint N°7'!$C$10:$P$10,CT$4-Resumen_Sprints!$E$12),0)</f>
        <v>0</v>
      </c>
      <c r="CU44" s="10">
        <f>SUM(C44:CT44)</f>
        <v>30</v>
      </c>
    </row>
    <row r="45" spans="1:99" x14ac:dyDescent="0.3">
      <c r="A45" s="17" t="str">
        <f>"Sprint N°"&amp;Resumen_Sprints!A13&amp;" – "&amp;Resumen_Sprints!B13</f>
        <v>Sprint N°8 – Despliegue, Aceptación y Cierre</v>
      </c>
      <c r="B45" s="26">
        <f>SUM(B46:B50)</f>
        <v>86</v>
      </c>
      <c r="CU45" s="44"/>
    </row>
    <row r="46" spans="1:99" x14ac:dyDescent="0.3">
      <c r="A46" s="22" t="str">
        <f>'Sprint N°8'!A6</f>
        <v>Despliegue del Sistema a Producción</v>
      </c>
      <c r="B46" s="22">
        <f>'Sprint N°8'!B6</f>
        <v>20</v>
      </c>
      <c r="C46" s="36">
        <f>IF(AND(C$4&gt;Resumen_Sprints!$E$13,C$4&lt;=Resumen_Sprints!$E$13+Resumen_Sprints!$D$13),INDEX('Sprint N°8'!$C$6:$M$6,C$4-Resumen_Sprints!$E$13),0)</f>
        <v>0</v>
      </c>
      <c r="D46" s="36">
        <f>IF(AND(D$4&gt;Resumen_Sprints!$E$13,D$4&lt;=Resumen_Sprints!$E$13+Resumen_Sprints!$D$13),INDEX('Sprint N°8'!$C$6:$M$6,D$4-Resumen_Sprints!$E$13),0)</f>
        <v>0</v>
      </c>
      <c r="E46" s="36">
        <f>IF(AND(E$4&gt;Resumen_Sprints!$E$13,E$4&lt;=Resumen_Sprints!$E$13+Resumen_Sprints!$D$13),INDEX('Sprint N°8'!$C$6:$M$6,E$4-Resumen_Sprints!$E$13),0)</f>
        <v>0</v>
      </c>
      <c r="F46" s="36">
        <f>IF(AND(F$4&gt;Resumen_Sprints!$E$13,F$4&lt;=Resumen_Sprints!$E$13+Resumen_Sprints!$D$13),INDEX('Sprint N°8'!$C$6:$M$6,F$4-Resumen_Sprints!$E$13),0)</f>
        <v>0</v>
      </c>
      <c r="G46" s="36">
        <f>IF(AND(G$4&gt;Resumen_Sprints!$E$13,G$4&lt;=Resumen_Sprints!$E$13+Resumen_Sprints!$D$13),INDEX('Sprint N°8'!$C$6:$M$6,G$4-Resumen_Sprints!$E$13),0)</f>
        <v>0</v>
      </c>
      <c r="H46" s="36">
        <f>IF(AND(H$4&gt;Resumen_Sprints!$E$13,H$4&lt;=Resumen_Sprints!$E$13+Resumen_Sprints!$D$13),INDEX('Sprint N°8'!$C$6:$M$6,H$4-Resumen_Sprints!$E$13),0)</f>
        <v>0</v>
      </c>
      <c r="I46" s="36">
        <f>IF(AND(I$4&gt;Resumen_Sprints!$E$13,I$4&lt;=Resumen_Sprints!$E$13+Resumen_Sprints!$D$13),INDEX('Sprint N°8'!$C$6:$M$6,I$4-Resumen_Sprints!$E$13),0)</f>
        <v>0</v>
      </c>
      <c r="J46" s="36">
        <f>IF(AND(J$4&gt;Resumen_Sprints!$E$13,J$4&lt;=Resumen_Sprints!$E$13+Resumen_Sprints!$D$13),INDEX('Sprint N°8'!$C$6:$M$6,J$4-Resumen_Sprints!$E$13),0)</f>
        <v>0</v>
      </c>
      <c r="K46" s="36">
        <f>IF(AND(K$4&gt;Resumen_Sprints!$E$13,K$4&lt;=Resumen_Sprints!$E$13+Resumen_Sprints!$D$13),INDEX('Sprint N°8'!$C$6:$M$6,K$4-Resumen_Sprints!$E$13),0)</f>
        <v>0</v>
      </c>
      <c r="L46" s="36">
        <f>IF(AND(L$4&gt;Resumen_Sprints!$E$13,L$4&lt;=Resumen_Sprints!$E$13+Resumen_Sprints!$D$13),INDEX('Sprint N°8'!$C$6:$M$6,L$4-Resumen_Sprints!$E$13),0)</f>
        <v>0</v>
      </c>
      <c r="M46" s="36">
        <f>IF(AND(M$4&gt;Resumen_Sprints!$E$13,M$4&lt;=Resumen_Sprints!$E$13+Resumen_Sprints!$D$13),INDEX('Sprint N°8'!$C$6:$M$6,M$4-Resumen_Sprints!$E$13),0)</f>
        <v>0</v>
      </c>
      <c r="N46" s="36">
        <f>IF(AND(N$4&gt;Resumen_Sprints!$E$13,N$4&lt;=Resumen_Sprints!$E$13+Resumen_Sprints!$D$13),INDEX('Sprint N°8'!$C$6:$M$6,N$4-Resumen_Sprints!$E$13),0)</f>
        <v>0</v>
      </c>
      <c r="O46" s="36">
        <f>IF(AND(O$4&gt;Resumen_Sprints!$E$13,O$4&lt;=Resumen_Sprints!$E$13+Resumen_Sprints!$D$13),INDEX('Sprint N°8'!$C$6:$M$6,O$4-Resumen_Sprints!$E$13),0)</f>
        <v>0</v>
      </c>
      <c r="P46" s="36">
        <f>IF(AND(P$4&gt;Resumen_Sprints!$E$13,P$4&lt;=Resumen_Sprints!$E$13+Resumen_Sprints!$D$13),INDEX('Sprint N°8'!$C$6:$M$6,P$4-Resumen_Sprints!$E$13),0)</f>
        <v>0</v>
      </c>
      <c r="Q46" s="36">
        <f>IF(AND(Q$4&gt;Resumen_Sprints!$E$13,Q$4&lt;=Resumen_Sprints!$E$13+Resumen_Sprints!$D$13),INDEX('Sprint N°8'!$C$6:$M$6,Q$4-Resumen_Sprints!$E$13),0)</f>
        <v>0</v>
      </c>
      <c r="R46" s="36">
        <f>IF(AND(R$4&gt;Resumen_Sprints!$E$13,R$4&lt;=Resumen_Sprints!$E$13+Resumen_Sprints!$D$13),INDEX('Sprint N°8'!$C$6:$M$6,R$4-Resumen_Sprints!$E$13),0)</f>
        <v>0</v>
      </c>
      <c r="S46" s="36">
        <f>IF(AND(S$4&gt;Resumen_Sprints!$E$13,S$4&lt;=Resumen_Sprints!$E$13+Resumen_Sprints!$D$13),INDEX('Sprint N°8'!$C$6:$M$6,S$4-Resumen_Sprints!$E$13),0)</f>
        <v>0</v>
      </c>
      <c r="T46" s="36">
        <f>IF(AND(T$4&gt;Resumen_Sprints!$E$13,T$4&lt;=Resumen_Sprints!$E$13+Resumen_Sprints!$D$13),INDEX('Sprint N°8'!$C$6:$M$6,T$4-Resumen_Sprints!$E$13),0)</f>
        <v>0</v>
      </c>
      <c r="U46" s="36">
        <f>IF(AND(U$4&gt;Resumen_Sprints!$E$13,U$4&lt;=Resumen_Sprints!$E$13+Resumen_Sprints!$D$13),INDEX('Sprint N°8'!$C$6:$M$6,U$4-Resumen_Sprints!$E$13),0)</f>
        <v>0</v>
      </c>
      <c r="V46" s="36">
        <f>IF(AND(V$4&gt;Resumen_Sprints!$E$13,V$4&lt;=Resumen_Sprints!$E$13+Resumen_Sprints!$D$13),INDEX('Sprint N°8'!$C$6:$M$6,V$4-Resumen_Sprints!$E$13),0)</f>
        <v>0</v>
      </c>
      <c r="W46" s="36">
        <f>IF(AND(W$4&gt;Resumen_Sprints!$E$13,W$4&lt;=Resumen_Sprints!$E$13+Resumen_Sprints!$D$13),INDEX('Sprint N°8'!$C$6:$M$6,W$4-Resumen_Sprints!$E$13),0)</f>
        <v>0</v>
      </c>
      <c r="X46" s="36">
        <f>IF(AND(X$4&gt;Resumen_Sprints!$E$13,X$4&lt;=Resumen_Sprints!$E$13+Resumen_Sprints!$D$13),INDEX('Sprint N°8'!$C$6:$M$6,X$4-Resumen_Sprints!$E$13),0)</f>
        <v>0</v>
      </c>
      <c r="Y46" s="36">
        <f>IF(AND(Y$4&gt;Resumen_Sprints!$E$13,Y$4&lt;=Resumen_Sprints!$E$13+Resumen_Sprints!$D$13),INDEX('Sprint N°8'!$C$6:$M$6,Y$4-Resumen_Sprints!$E$13),0)</f>
        <v>0</v>
      </c>
      <c r="Z46" s="36">
        <f>IF(AND(Z$4&gt;Resumen_Sprints!$E$13,Z$4&lt;=Resumen_Sprints!$E$13+Resumen_Sprints!$D$13),INDEX('Sprint N°8'!$C$6:$M$6,Z$4-Resumen_Sprints!$E$13),0)</f>
        <v>0</v>
      </c>
      <c r="AA46" s="36">
        <f>IF(AND(AA$4&gt;Resumen_Sprints!$E$13,AA$4&lt;=Resumen_Sprints!$E$13+Resumen_Sprints!$D$13),INDEX('Sprint N°8'!$C$6:$M$6,AA$4-Resumen_Sprints!$E$13),0)</f>
        <v>0</v>
      </c>
      <c r="AB46" s="36">
        <f>IF(AND(AB$4&gt;Resumen_Sprints!$E$13,AB$4&lt;=Resumen_Sprints!$E$13+Resumen_Sprints!$D$13),INDEX('Sprint N°8'!$C$6:$M$6,AB$4-Resumen_Sprints!$E$13),0)</f>
        <v>0</v>
      </c>
      <c r="AC46" s="36">
        <f>IF(AND(AC$4&gt;Resumen_Sprints!$E$13,AC$4&lt;=Resumen_Sprints!$E$13+Resumen_Sprints!$D$13),INDEX('Sprint N°8'!$C$6:$M$6,AC$4-Resumen_Sprints!$E$13),0)</f>
        <v>0</v>
      </c>
      <c r="AD46" s="36">
        <f>IF(AND(AD$4&gt;Resumen_Sprints!$E$13,AD$4&lt;=Resumen_Sprints!$E$13+Resumen_Sprints!$D$13),INDEX('Sprint N°8'!$C$6:$M$6,AD$4-Resumen_Sprints!$E$13),0)</f>
        <v>0</v>
      </c>
      <c r="AE46" s="36">
        <f>IF(AND(AE$4&gt;Resumen_Sprints!$E$13,AE$4&lt;=Resumen_Sprints!$E$13+Resumen_Sprints!$D$13),INDEX('Sprint N°8'!$C$6:$M$6,AE$4-Resumen_Sprints!$E$13),0)</f>
        <v>0</v>
      </c>
      <c r="AF46" s="36">
        <f>IF(AND(AF$4&gt;Resumen_Sprints!$E$13,AF$4&lt;=Resumen_Sprints!$E$13+Resumen_Sprints!$D$13),INDEX('Sprint N°8'!$C$6:$M$6,AF$4-Resumen_Sprints!$E$13),0)</f>
        <v>0</v>
      </c>
      <c r="AG46" s="36">
        <f>IF(AND(AG$4&gt;Resumen_Sprints!$E$13,AG$4&lt;=Resumen_Sprints!$E$13+Resumen_Sprints!$D$13),INDEX('Sprint N°8'!$C$6:$M$6,AG$4-Resumen_Sprints!$E$13),0)</f>
        <v>0</v>
      </c>
      <c r="AH46" s="36">
        <f>IF(AND(AH$4&gt;Resumen_Sprints!$E$13,AH$4&lt;=Resumen_Sprints!$E$13+Resumen_Sprints!$D$13),INDEX('Sprint N°8'!$C$6:$M$6,AH$4-Resumen_Sprints!$E$13),0)</f>
        <v>0</v>
      </c>
      <c r="AI46" s="36">
        <f>IF(AND(AI$4&gt;Resumen_Sprints!$E$13,AI$4&lt;=Resumen_Sprints!$E$13+Resumen_Sprints!$D$13),INDEX('Sprint N°8'!$C$6:$M$6,AI$4-Resumen_Sprints!$E$13),0)</f>
        <v>0</v>
      </c>
      <c r="AJ46" s="36">
        <f>IF(AND(AJ$4&gt;Resumen_Sprints!$E$13,AJ$4&lt;=Resumen_Sprints!$E$13+Resumen_Sprints!$D$13),INDEX('Sprint N°8'!$C$6:$M$6,AJ$4-Resumen_Sprints!$E$13),0)</f>
        <v>0</v>
      </c>
      <c r="AK46" s="36">
        <f>IF(AND(AK$4&gt;Resumen_Sprints!$E$13,AK$4&lt;=Resumen_Sprints!$E$13+Resumen_Sprints!$D$13),INDEX('Sprint N°8'!$C$6:$M$6,AK$4-Resumen_Sprints!$E$13),0)</f>
        <v>0</v>
      </c>
      <c r="AL46" s="36">
        <f>IF(AND(AL$4&gt;Resumen_Sprints!$E$13,AL$4&lt;=Resumen_Sprints!$E$13+Resumen_Sprints!$D$13),INDEX('Sprint N°8'!$C$6:$M$6,AL$4-Resumen_Sprints!$E$13),0)</f>
        <v>0</v>
      </c>
      <c r="AM46" s="36">
        <f>IF(AND(AM$4&gt;Resumen_Sprints!$E$13,AM$4&lt;=Resumen_Sprints!$E$13+Resumen_Sprints!$D$13),INDEX('Sprint N°8'!$C$6:$M$6,AM$4-Resumen_Sprints!$E$13),0)</f>
        <v>0</v>
      </c>
      <c r="AN46" s="36">
        <f>IF(AND(AN$4&gt;Resumen_Sprints!$E$13,AN$4&lt;=Resumen_Sprints!$E$13+Resumen_Sprints!$D$13),INDEX('Sprint N°8'!$C$6:$M$6,AN$4-Resumen_Sprints!$E$13),0)</f>
        <v>0</v>
      </c>
      <c r="AO46" s="36">
        <f>IF(AND(AO$4&gt;Resumen_Sprints!$E$13,AO$4&lt;=Resumen_Sprints!$E$13+Resumen_Sprints!$D$13),INDEX('Sprint N°8'!$C$6:$M$6,AO$4-Resumen_Sprints!$E$13),0)</f>
        <v>0</v>
      </c>
      <c r="AP46" s="36">
        <f>IF(AND(AP$4&gt;Resumen_Sprints!$E$13,AP$4&lt;=Resumen_Sprints!$E$13+Resumen_Sprints!$D$13),INDEX('Sprint N°8'!$C$6:$M$6,AP$4-Resumen_Sprints!$E$13),0)</f>
        <v>0</v>
      </c>
      <c r="AQ46" s="36">
        <f>IF(AND(AQ$4&gt;Resumen_Sprints!$E$13,AQ$4&lt;=Resumen_Sprints!$E$13+Resumen_Sprints!$D$13),INDEX('Sprint N°8'!$C$6:$M$6,AQ$4-Resumen_Sprints!$E$13),0)</f>
        <v>0</v>
      </c>
      <c r="AR46" s="36">
        <f>IF(AND(AR$4&gt;Resumen_Sprints!$E$13,AR$4&lt;=Resumen_Sprints!$E$13+Resumen_Sprints!$D$13),INDEX('Sprint N°8'!$C$6:$M$6,AR$4-Resumen_Sprints!$E$13),0)</f>
        <v>0</v>
      </c>
      <c r="AS46" s="36">
        <f>IF(AND(AS$4&gt;Resumen_Sprints!$E$13,AS$4&lt;=Resumen_Sprints!$E$13+Resumen_Sprints!$D$13),INDEX('Sprint N°8'!$C$6:$M$6,AS$4-Resumen_Sprints!$E$13),0)</f>
        <v>0</v>
      </c>
      <c r="AT46" s="36">
        <f>IF(AND(AT$4&gt;Resumen_Sprints!$E$13,AT$4&lt;=Resumen_Sprints!$E$13+Resumen_Sprints!$D$13),INDEX('Sprint N°8'!$C$6:$M$6,AT$4-Resumen_Sprints!$E$13),0)</f>
        <v>0</v>
      </c>
      <c r="AU46" s="36">
        <f>IF(AND(AU$4&gt;Resumen_Sprints!$E$13,AU$4&lt;=Resumen_Sprints!$E$13+Resumen_Sprints!$D$13),INDEX('Sprint N°8'!$C$6:$M$6,AU$4-Resumen_Sprints!$E$13),0)</f>
        <v>0</v>
      </c>
      <c r="AV46" s="36">
        <f>IF(AND(AV$4&gt;Resumen_Sprints!$E$13,AV$4&lt;=Resumen_Sprints!$E$13+Resumen_Sprints!$D$13),INDEX('Sprint N°8'!$C$6:$M$6,AV$4-Resumen_Sprints!$E$13),0)</f>
        <v>0</v>
      </c>
      <c r="AW46" s="36">
        <f>IF(AND(AW$4&gt;Resumen_Sprints!$E$13,AW$4&lt;=Resumen_Sprints!$E$13+Resumen_Sprints!$D$13),INDEX('Sprint N°8'!$C$6:$M$6,AW$4-Resumen_Sprints!$E$13),0)</f>
        <v>0</v>
      </c>
      <c r="AX46" s="36">
        <f>IF(AND(AX$4&gt;Resumen_Sprints!$E$13,AX$4&lt;=Resumen_Sprints!$E$13+Resumen_Sprints!$D$13),INDEX('Sprint N°8'!$C$6:$M$6,AX$4-Resumen_Sprints!$E$13),0)</f>
        <v>0</v>
      </c>
      <c r="AY46" s="36">
        <f>IF(AND(AY$4&gt;Resumen_Sprints!$E$13,AY$4&lt;=Resumen_Sprints!$E$13+Resumen_Sprints!$D$13),INDEX('Sprint N°8'!$C$6:$M$6,AY$4-Resumen_Sprints!$E$13),0)</f>
        <v>0</v>
      </c>
      <c r="AZ46" s="36">
        <f>IF(AND(AZ$4&gt;Resumen_Sprints!$E$13,AZ$4&lt;=Resumen_Sprints!$E$13+Resumen_Sprints!$D$13),INDEX('Sprint N°8'!$C$6:$M$6,AZ$4-Resumen_Sprints!$E$13),0)</f>
        <v>0</v>
      </c>
      <c r="BA46" s="36">
        <f>IF(AND(BA$4&gt;Resumen_Sprints!$E$13,BA$4&lt;=Resumen_Sprints!$E$13+Resumen_Sprints!$D$13),INDEX('Sprint N°8'!$C$6:$M$6,BA$4-Resumen_Sprints!$E$13),0)</f>
        <v>0</v>
      </c>
      <c r="BB46" s="36">
        <f>IF(AND(BB$4&gt;Resumen_Sprints!$E$13,BB$4&lt;=Resumen_Sprints!$E$13+Resumen_Sprints!$D$13),INDEX('Sprint N°8'!$C$6:$M$6,BB$4-Resumen_Sprints!$E$13),0)</f>
        <v>0</v>
      </c>
      <c r="BC46" s="36">
        <f>IF(AND(BC$4&gt;Resumen_Sprints!$E$13,BC$4&lt;=Resumen_Sprints!$E$13+Resumen_Sprints!$D$13),INDEX('Sprint N°8'!$C$6:$M$6,BC$4-Resumen_Sprints!$E$13),0)</f>
        <v>0</v>
      </c>
      <c r="BD46" s="36">
        <f>IF(AND(BD$4&gt;Resumen_Sprints!$E$13,BD$4&lt;=Resumen_Sprints!$E$13+Resumen_Sprints!$D$13),INDEX('Sprint N°8'!$C$6:$M$6,BD$4-Resumen_Sprints!$E$13),0)</f>
        <v>0</v>
      </c>
      <c r="BE46" s="36">
        <f>IF(AND(BE$4&gt;Resumen_Sprints!$E$13,BE$4&lt;=Resumen_Sprints!$E$13+Resumen_Sprints!$D$13),INDEX('Sprint N°8'!$C$6:$M$6,BE$4-Resumen_Sprints!$E$13),0)</f>
        <v>0</v>
      </c>
      <c r="BF46" s="36">
        <f>IF(AND(BF$4&gt;Resumen_Sprints!$E$13,BF$4&lt;=Resumen_Sprints!$E$13+Resumen_Sprints!$D$13),INDEX('Sprint N°8'!$C$6:$M$6,BF$4-Resumen_Sprints!$E$13),0)</f>
        <v>0</v>
      </c>
      <c r="BG46" s="36">
        <f>IF(AND(BG$4&gt;Resumen_Sprints!$E$13,BG$4&lt;=Resumen_Sprints!$E$13+Resumen_Sprints!$D$13),INDEX('Sprint N°8'!$C$6:$M$6,BG$4-Resumen_Sprints!$E$13),0)</f>
        <v>0</v>
      </c>
      <c r="BH46" s="36">
        <f>IF(AND(BH$4&gt;Resumen_Sprints!$E$13,BH$4&lt;=Resumen_Sprints!$E$13+Resumen_Sprints!$D$13),INDEX('Sprint N°8'!$C$6:$M$6,BH$4-Resumen_Sprints!$E$13),0)</f>
        <v>0</v>
      </c>
      <c r="BI46" s="36">
        <f>IF(AND(BI$4&gt;Resumen_Sprints!$E$13,BI$4&lt;=Resumen_Sprints!$E$13+Resumen_Sprints!$D$13),INDEX('Sprint N°8'!$C$6:$M$6,BI$4-Resumen_Sprints!$E$13),0)</f>
        <v>0</v>
      </c>
      <c r="BJ46" s="36">
        <f>IF(AND(BJ$4&gt;Resumen_Sprints!$E$13,BJ$4&lt;=Resumen_Sprints!$E$13+Resumen_Sprints!$D$13),INDEX('Sprint N°8'!$C$6:$M$6,BJ$4-Resumen_Sprints!$E$13),0)</f>
        <v>0</v>
      </c>
      <c r="BK46" s="36">
        <f>IF(AND(BK$4&gt;Resumen_Sprints!$E$13,BK$4&lt;=Resumen_Sprints!$E$13+Resumen_Sprints!$D$13),INDEX('Sprint N°8'!$C$6:$M$6,BK$4-Resumen_Sprints!$E$13),0)</f>
        <v>0</v>
      </c>
      <c r="BL46" s="36">
        <f>IF(AND(BL$4&gt;Resumen_Sprints!$E$13,BL$4&lt;=Resumen_Sprints!$E$13+Resumen_Sprints!$D$13),INDEX('Sprint N°8'!$C$6:$M$6,BL$4-Resumen_Sprints!$E$13),0)</f>
        <v>0</v>
      </c>
      <c r="BM46" s="36">
        <f>IF(AND(BM$4&gt;Resumen_Sprints!$E$13,BM$4&lt;=Resumen_Sprints!$E$13+Resumen_Sprints!$D$13),INDEX('Sprint N°8'!$C$6:$M$6,BM$4-Resumen_Sprints!$E$13),0)</f>
        <v>0</v>
      </c>
      <c r="BN46" s="36">
        <f>IF(AND(BN$4&gt;Resumen_Sprints!$E$13,BN$4&lt;=Resumen_Sprints!$E$13+Resumen_Sprints!$D$13),INDEX('Sprint N°8'!$C$6:$M$6,BN$4-Resumen_Sprints!$E$13),0)</f>
        <v>0</v>
      </c>
      <c r="BO46" s="36">
        <f>IF(AND(BO$4&gt;Resumen_Sprints!$E$13,BO$4&lt;=Resumen_Sprints!$E$13+Resumen_Sprints!$D$13),INDEX('Sprint N°8'!$C$6:$M$6,BO$4-Resumen_Sprints!$E$13),0)</f>
        <v>0</v>
      </c>
      <c r="BP46" s="36">
        <f>IF(AND(BP$4&gt;Resumen_Sprints!$E$13,BP$4&lt;=Resumen_Sprints!$E$13+Resumen_Sprints!$D$13),INDEX('Sprint N°8'!$C$6:$M$6,BP$4-Resumen_Sprints!$E$13),0)</f>
        <v>0</v>
      </c>
      <c r="BQ46" s="36">
        <f>IF(AND(BQ$4&gt;Resumen_Sprints!$E$13,BQ$4&lt;=Resumen_Sprints!$E$13+Resumen_Sprints!$D$13),INDEX('Sprint N°8'!$C$6:$M$6,BQ$4-Resumen_Sprints!$E$13),0)</f>
        <v>0</v>
      </c>
      <c r="BR46" s="36">
        <f>IF(AND(BR$4&gt;Resumen_Sprints!$E$13,BR$4&lt;=Resumen_Sprints!$E$13+Resumen_Sprints!$D$13),INDEX('Sprint N°8'!$C$6:$M$6,BR$4-Resumen_Sprints!$E$13),0)</f>
        <v>0</v>
      </c>
      <c r="BS46" s="36">
        <f>IF(AND(BS$4&gt;Resumen_Sprints!$E$13,BS$4&lt;=Resumen_Sprints!$E$13+Resumen_Sprints!$D$13),INDEX('Sprint N°8'!$C$6:$M$6,BS$4-Resumen_Sprints!$E$13),0)</f>
        <v>0</v>
      </c>
      <c r="BT46" s="36">
        <f>IF(AND(BT$4&gt;Resumen_Sprints!$E$13,BT$4&lt;=Resumen_Sprints!$E$13+Resumen_Sprints!$D$13),INDEX('Sprint N°8'!$C$6:$M$6,BT$4-Resumen_Sprints!$E$13),0)</f>
        <v>0</v>
      </c>
      <c r="BU46" s="36">
        <f>IF(AND(BU$4&gt;Resumen_Sprints!$E$13,BU$4&lt;=Resumen_Sprints!$E$13+Resumen_Sprints!$D$13),INDEX('Sprint N°8'!$C$6:$M$6,BU$4-Resumen_Sprints!$E$13),0)</f>
        <v>0</v>
      </c>
      <c r="BV46" s="36">
        <f>IF(AND(BV$4&gt;Resumen_Sprints!$E$13,BV$4&lt;=Resumen_Sprints!$E$13+Resumen_Sprints!$D$13),INDEX('Sprint N°8'!$C$6:$M$6,BV$4-Resumen_Sprints!$E$13),0)</f>
        <v>0</v>
      </c>
      <c r="BW46" s="36">
        <f>IF(AND(BW$4&gt;Resumen_Sprints!$E$13,BW$4&lt;=Resumen_Sprints!$E$13+Resumen_Sprints!$D$13),INDEX('Sprint N°8'!$C$6:$M$6,BW$4-Resumen_Sprints!$E$13),0)</f>
        <v>0</v>
      </c>
      <c r="BX46" s="36">
        <f>IF(AND(BX$4&gt;Resumen_Sprints!$E$13,BX$4&lt;=Resumen_Sprints!$E$13+Resumen_Sprints!$D$13),INDEX('Sprint N°8'!$C$6:$M$6,BX$4-Resumen_Sprints!$E$13),0)</f>
        <v>0</v>
      </c>
      <c r="BY46" s="36">
        <f>IF(AND(BY$4&gt;Resumen_Sprints!$E$13,BY$4&lt;=Resumen_Sprints!$E$13+Resumen_Sprints!$D$13),INDEX('Sprint N°8'!$C$6:$M$6,BY$4-Resumen_Sprints!$E$13),0)</f>
        <v>0</v>
      </c>
      <c r="BZ46" s="36">
        <f>IF(AND(BZ$4&gt;Resumen_Sprints!$E$13,BZ$4&lt;=Resumen_Sprints!$E$13+Resumen_Sprints!$D$13),INDEX('Sprint N°8'!$C$6:$M$6,BZ$4-Resumen_Sprints!$E$13),0)</f>
        <v>0</v>
      </c>
      <c r="CA46" s="36">
        <f>IF(AND(CA$4&gt;Resumen_Sprints!$E$13,CA$4&lt;=Resumen_Sprints!$E$13+Resumen_Sprints!$D$13),INDEX('Sprint N°8'!$C$6:$M$6,CA$4-Resumen_Sprints!$E$13),0)</f>
        <v>0</v>
      </c>
      <c r="CB46" s="36">
        <f>IF(AND(CB$4&gt;Resumen_Sprints!$E$13,CB$4&lt;=Resumen_Sprints!$E$13+Resumen_Sprints!$D$13),INDEX('Sprint N°8'!$C$6:$M$6,CB$4-Resumen_Sprints!$E$13),0)</f>
        <v>0</v>
      </c>
      <c r="CC46" s="36">
        <f>IF(AND(CC$4&gt;Resumen_Sprints!$E$13,CC$4&lt;=Resumen_Sprints!$E$13+Resumen_Sprints!$D$13),INDEX('Sprint N°8'!$C$6:$M$6,CC$4-Resumen_Sprints!$E$13),0)</f>
        <v>0</v>
      </c>
      <c r="CD46" s="36">
        <f>IF(AND(CD$4&gt;Resumen_Sprints!$E$13,CD$4&lt;=Resumen_Sprints!$E$13+Resumen_Sprints!$D$13),INDEX('Sprint N°8'!$C$6:$M$6,CD$4-Resumen_Sprints!$E$13),0)</f>
        <v>0</v>
      </c>
      <c r="CE46" s="36">
        <f>IF(AND(CE$4&gt;Resumen_Sprints!$E$13,CE$4&lt;=Resumen_Sprints!$E$13+Resumen_Sprints!$D$13),INDEX('Sprint N°8'!$C$6:$M$6,CE$4-Resumen_Sprints!$E$13),0)</f>
        <v>0</v>
      </c>
      <c r="CF46" s="36">
        <f>IF(AND(CF$4&gt;Resumen_Sprints!$E$13,CF$4&lt;=Resumen_Sprints!$E$13+Resumen_Sprints!$D$13),INDEX('Sprint N°8'!$C$6:$M$6,CF$4-Resumen_Sprints!$E$13),0)</f>
        <v>0</v>
      </c>
      <c r="CG46" s="36">
        <f>IF(AND(CG$4&gt;Resumen_Sprints!$E$13,CG$4&lt;=Resumen_Sprints!$E$13+Resumen_Sprints!$D$13),INDEX('Sprint N°8'!$C$6:$M$6,CG$4-Resumen_Sprints!$E$13),0)</f>
        <v>0</v>
      </c>
      <c r="CH46" s="36">
        <f>IF(AND(CH$4&gt;Resumen_Sprints!$E$13,CH$4&lt;=Resumen_Sprints!$E$13+Resumen_Sprints!$D$13),INDEX('Sprint N°8'!$C$6:$M$6,CH$4-Resumen_Sprints!$E$13),0)</f>
        <v>7</v>
      </c>
      <c r="CI46" s="36">
        <f>IF(AND(CI$4&gt;Resumen_Sprints!$E$13,CI$4&lt;=Resumen_Sprints!$E$13+Resumen_Sprints!$D$13),INDEX('Sprint N°8'!$C$6:$M$6,CI$4-Resumen_Sprints!$E$13),0)</f>
        <v>6</v>
      </c>
      <c r="CJ46" s="36">
        <f>IF(AND(CJ$4&gt;Resumen_Sprints!$E$13,CJ$4&lt;=Resumen_Sprints!$E$13+Resumen_Sprints!$D$13),INDEX('Sprint N°8'!$C$6:$M$6,CJ$4-Resumen_Sprints!$E$13),0)</f>
        <v>2</v>
      </c>
      <c r="CK46" s="36">
        <f>IF(AND(CK$4&gt;Resumen_Sprints!$E$13,CK$4&lt;=Resumen_Sprints!$E$13+Resumen_Sprints!$D$13),INDEX('Sprint N°8'!$C$6:$M$6,CK$4-Resumen_Sprints!$E$13),0)</f>
        <v>0</v>
      </c>
      <c r="CL46" s="36">
        <f>IF(AND(CL$4&gt;Resumen_Sprints!$E$13,CL$4&lt;=Resumen_Sprints!$E$13+Resumen_Sprints!$D$13),INDEX('Sprint N°8'!$C$6:$M$6,CL$4-Resumen_Sprints!$E$13),0)</f>
        <v>0</v>
      </c>
      <c r="CM46" s="36">
        <f>IF(AND(CM$4&gt;Resumen_Sprints!$E$13,CM$4&lt;=Resumen_Sprints!$E$13+Resumen_Sprints!$D$13),INDEX('Sprint N°8'!$C$6:$M$6,CM$4-Resumen_Sprints!$E$13),0)</f>
        <v>0</v>
      </c>
      <c r="CN46" s="36">
        <f>IF(AND(CN$4&gt;Resumen_Sprints!$E$13,CN$4&lt;=Resumen_Sprints!$E$13+Resumen_Sprints!$D$13),INDEX('Sprint N°8'!$C$6:$M$6,CN$4-Resumen_Sprints!$E$13),0)</f>
        <v>0</v>
      </c>
      <c r="CO46" s="36">
        <f>IF(AND(CO$4&gt;Resumen_Sprints!$E$13,CO$4&lt;=Resumen_Sprints!$E$13+Resumen_Sprints!$D$13),INDEX('Sprint N°8'!$C$6:$M$6,CO$4-Resumen_Sprints!$E$13),0)</f>
        <v>0</v>
      </c>
      <c r="CP46" s="36">
        <f>IF(AND(CP$4&gt;Resumen_Sprints!$E$13,CP$4&lt;=Resumen_Sprints!$E$13+Resumen_Sprints!$D$13),INDEX('Sprint N°8'!$C$6:$M$6,CP$4-Resumen_Sprints!$E$13),0)</f>
        <v>0</v>
      </c>
      <c r="CQ46" s="36">
        <f>IF(AND(CQ$4&gt;Resumen_Sprints!$E$13,CQ$4&lt;=Resumen_Sprints!$E$13+Resumen_Sprints!$D$13),INDEX('Sprint N°8'!$C$6:$M$6,CQ$4-Resumen_Sprints!$E$13),0)</f>
        <v>0</v>
      </c>
      <c r="CR46" s="36">
        <f>IF(AND(CR$4&gt;Resumen_Sprints!$E$13,CR$4&lt;=Resumen_Sprints!$E$13+Resumen_Sprints!$D$13),INDEX('Sprint N°8'!$C$6:$M$6,CR$4-Resumen_Sprints!$E$13),0)</f>
        <v>0</v>
      </c>
      <c r="CS46" s="36">
        <f>IF(AND(CS$4&gt;Resumen_Sprints!$E$13,CS$4&lt;=Resumen_Sprints!$E$13+Resumen_Sprints!$D$13),INDEX('Sprint N°8'!$C$6:$M$6,CS$4-Resumen_Sprints!$E$13),0)</f>
        <v>0</v>
      </c>
      <c r="CT46" s="36">
        <f>IF(AND(CT$4&gt;Resumen_Sprints!$E$13,CT$4&lt;=Resumen_Sprints!$E$13+Resumen_Sprints!$D$13),INDEX('Sprint N°8'!$C$6:$M$6,CT$4-Resumen_Sprints!$E$13),0)</f>
        <v>0</v>
      </c>
      <c r="CU46" s="10">
        <f>SUM(C46:CT46)</f>
        <v>15</v>
      </c>
    </row>
    <row r="47" spans="1:99" x14ac:dyDescent="0.3">
      <c r="A47" s="22" t="str">
        <f>'Sprint N°8'!A7</f>
        <v>Pruebas de Aceptación con Patrocinadores</v>
      </c>
      <c r="B47" s="22">
        <f>'Sprint N°8'!B7</f>
        <v>24</v>
      </c>
      <c r="C47" s="36">
        <f>IF(AND(C$4&gt;Resumen_Sprints!$E$13,C$4&lt;=Resumen_Sprints!$E$13+Resumen_Sprints!$D$13),INDEX('Sprint N°8'!$C$7:$M$7,C$4-Resumen_Sprints!$E$13),0)</f>
        <v>0</v>
      </c>
      <c r="D47" s="36">
        <f>IF(AND(D$4&gt;Resumen_Sprints!$E$13,D$4&lt;=Resumen_Sprints!$E$13+Resumen_Sprints!$D$13),INDEX('Sprint N°8'!$C$7:$M$7,D$4-Resumen_Sprints!$E$13),0)</f>
        <v>0</v>
      </c>
      <c r="E47" s="36">
        <f>IF(AND(E$4&gt;Resumen_Sprints!$E$13,E$4&lt;=Resumen_Sprints!$E$13+Resumen_Sprints!$D$13),INDEX('Sprint N°8'!$C$7:$M$7,E$4-Resumen_Sprints!$E$13),0)</f>
        <v>0</v>
      </c>
      <c r="F47" s="36">
        <f>IF(AND(F$4&gt;Resumen_Sprints!$E$13,F$4&lt;=Resumen_Sprints!$E$13+Resumen_Sprints!$D$13),INDEX('Sprint N°8'!$C$7:$M$7,F$4-Resumen_Sprints!$E$13),0)</f>
        <v>0</v>
      </c>
      <c r="G47" s="36">
        <f>IF(AND(G$4&gt;Resumen_Sprints!$E$13,G$4&lt;=Resumen_Sprints!$E$13+Resumen_Sprints!$D$13),INDEX('Sprint N°8'!$C$7:$M$7,G$4-Resumen_Sprints!$E$13),0)</f>
        <v>0</v>
      </c>
      <c r="H47" s="36">
        <f>IF(AND(H$4&gt;Resumen_Sprints!$E$13,H$4&lt;=Resumen_Sprints!$E$13+Resumen_Sprints!$D$13),INDEX('Sprint N°8'!$C$7:$M$7,H$4-Resumen_Sprints!$E$13),0)</f>
        <v>0</v>
      </c>
      <c r="I47" s="36">
        <f>IF(AND(I$4&gt;Resumen_Sprints!$E$13,I$4&lt;=Resumen_Sprints!$E$13+Resumen_Sprints!$D$13),INDEX('Sprint N°8'!$C$7:$M$7,I$4-Resumen_Sprints!$E$13),0)</f>
        <v>0</v>
      </c>
      <c r="J47" s="36">
        <f>IF(AND(J$4&gt;Resumen_Sprints!$E$13,J$4&lt;=Resumen_Sprints!$E$13+Resumen_Sprints!$D$13),INDEX('Sprint N°8'!$C$7:$M$7,J$4-Resumen_Sprints!$E$13),0)</f>
        <v>0</v>
      </c>
      <c r="K47" s="36">
        <f>IF(AND(K$4&gt;Resumen_Sprints!$E$13,K$4&lt;=Resumen_Sprints!$E$13+Resumen_Sprints!$D$13),INDEX('Sprint N°8'!$C$7:$M$7,K$4-Resumen_Sprints!$E$13),0)</f>
        <v>0</v>
      </c>
      <c r="L47" s="36">
        <f>IF(AND(L$4&gt;Resumen_Sprints!$E$13,L$4&lt;=Resumen_Sprints!$E$13+Resumen_Sprints!$D$13),INDEX('Sprint N°8'!$C$7:$M$7,L$4-Resumen_Sprints!$E$13),0)</f>
        <v>0</v>
      </c>
      <c r="M47" s="36">
        <f>IF(AND(M$4&gt;Resumen_Sprints!$E$13,M$4&lt;=Resumen_Sprints!$E$13+Resumen_Sprints!$D$13),INDEX('Sprint N°8'!$C$7:$M$7,M$4-Resumen_Sprints!$E$13),0)</f>
        <v>0</v>
      </c>
      <c r="N47" s="36">
        <f>IF(AND(N$4&gt;Resumen_Sprints!$E$13,N$4&lt;=Resumen_Sprints!$E$13+Resumen_Sprints!$D$13),INDEX('Sprint N°8'!$C$7:$M$7,N$4-Resumen_Sprints!$E$13),0)</f>
        <v>0</v>
      </c>
      <c r="O47" s="36">
        <f>IF(AND(O$4&gt;Resumen_Sprints!$E$13,O$4&lt;=Resumen_Sprints!$E$13+Resumen_Sprints!$D$13),INDEX('Sprint N°8'!$C$7:$M$7,O$4-Resumen_Sprints!$E$13),0)</f>
        <v>0</v>
      </c>
      <c r="P47" s="36">
        <f>IF(AND(P$4&gt;Resumen_Sprints!$E$13,P$4&lt;=Resumen_Sprints!$E$13+Resumen_Sprints!$D$13),INDEX('Sprint N°8'!$C$7:$M$7,P$4-Resumen_Sprints!$E$13),0)</f>
        <v>0</v>
      </c>
      <c r="Q47" s="36">
        <f>IF(AND(Q$4&gt;Resumen_Sprints!$E$13,Q$4&lt;=Resumen_Sprints!$E$13+Resumen_Sprints!$D$13),INDEX('Sprint N°8'!$C$7:$M$7,Q$4-Resumen_Sprints!$E$13),0)</f>
        <v>0</v>
      </c>
      <c r="R47" s="36">
        <f>IF(AND(R$4&gt;Resumen_Sprints!$E$13,R$4&lt;=Resumen_Sprints!$E$13+Resumen_Sprints!$D$13),INDEX('Sprint N°8'!$C$7:$M$7,R$4-Resumen_Sprints!$E$13),0)</f>
        <v>0</v>
      </c>
      <c r="S47" s="36">
        <f>IF(AND(S$4&gt;Resumen_Sprints!$E$13,S$4&lt;=Resumen_Sprints!$E$13+Resumen_Sprints!$D$13),INDEX('Sprint N°8'!$C$7:$M$7,S$4-Resumen_Sprints!$E$13),0)</f>
        <v>0</v>
      </c>
      <c r="T47" s="36">
        <f>IF(AND(T$4&gt;Resumen_Sprints!$E$13,T$4&lt;=Resumen_Sprints!$E$13+Resumen_Sprints!$D$13),INDEX('Sprint N°8'!$C$7:$M$7,T$4-Resumen_Sprints!$E$13),0)</f>
        <v>0</v>
      </c>
      <c r="U47" s="36">
        <f>IF(AND(U$4&gt;Resumen_Sprints!$E$13,U$4&lt;=Resumen_Sprints!$E$13+Resumen_Sprints!$D$13),INDEX('Sprint N°8'!$C$7:$M$7,U$4-Resumen_Sprints!$E$13),0)</f>
        <v>0</v>
      </c>
      <c r="V47" s="36">
        <f>IF(AND(V$4&gt;Resumen_Sprints!$E$13,V$4&lt;=Resumen_Sprints!$E$13+Resumen_Sprints!$D$13),INDEX('Sprint N°8'!$C$7:$M$7,V$4-Resumen_Sprints!$E$13),0)</f>
        <v>0</v>
      </c>
      <c r="W47" s="36">
        <f>IF(AND(W$4&gt;Resumen_Sprints!$E$13,W$4&lt;=Resumen_Sprints!$E$13+Resumen_Sprints!$D$13),INDEX('Sprint N°8'!$C$7:$M$7,W$4-Resumen_Sprints!$E$13),0)</f>
        <v>0</v>
      </c>
      <c r="X47" s="36">
        <f>IF(AND(X$4&gt;Resumen_Sprints!$E$13,X$4&lt;=Resumen_Sprints!$E$13+Resumen_Sprints!$D$13),INDEX('Sprint N°8'!$C$7:$M$7,X$4-Resumen_Sprints!$E$13),0)</f>
        <v>0</v>
      </c>
      <c r="Y47" s="36">
        <f>IF(AND(Y$4&gt;Resumen_Sprints!$E$13,Y$4&lt;=Resumen_Sprints!$E$13+Resumen_Sprints!$D$13),INDEX('Sprint N°8'!$C$7:$M$7,Y$4-Resumen_Sprints!$E$13),0)</f>
        <v>0</v>
      </c>
      <c r="Z47" s="36">
        <f>IF(AND(Z$4&gt;Resumen_Sprints!$E$13,Z$4&lt;=Resumen_Sprints!$E$13+Resumen_Sprints!$D$13),INDEX('Sprint N°8'!$C$7:$M$7,Z$4-Resumen_Sprints!$E$13),0)</f>
        <v>0</v>
      </c>
      <c r="AA47" s="36">
        <f>IF(AND(AA$4&gt;Resumen_Sprints!$E$13,AA$4&lt;=Resumen_Sprints!$E$13+Resumen_Sprints!$D$13),INDEX('Sprint N°8'!$C$7:$M$7,AA$4-Resumen_Sprints!$E$13),0)</f>
        <v>0</v>
      </c>
      <c r="AB47" s="36">
        <f>IF(AND(AB$4&gt;Resumen_Sprints!$E$13,AB$4&lt;=Resumen_Sprints!$E$13+Resumen_Sprints!$D$13),INDEX('Sprint N°8'!$C$7:$M$7,AB$4-Resumen_Sprints!$E$13),0)</f>
        <v>0</v>
      </c>
      <c r="AC47" s="36">
        <f>IF(AND(AC$4&gt;Resumen_Sprints!$E$13,AC$4&lt;=Resumen_Sprints!$E$13+Resumen_Sprints!$D$13),INDEX('Sprint N°8'!$C$7:$M$7,AC$4-Resumen_Sprints!$E$13),0)</f>
        <v>0</v>
      </c>
      <c r="AD47" s="36">
        <f>IF(AND(AD$4&gt;Resumen_Sprints!$E$13,AD$4&lt;=Resumen_Sprints!$E$13+Resumen_Sprints!$D$13),INDEX('Sprint N°8'!$C$7:$M$7,AD$4-Resumen_Sprints!$E$13),0)</f>
        <v>0</v>
      </c>
      <c r="AE47" s="36">
        <f>IF(AND(AE$4&gt;Resumen_Sprints!$E$13,AE$4&lt;=Resumen_Sprints!$E$13+Resumen_Sprints!$D$13),INDEX('Sprint N°8'!$C$7:$M$7,AE$4-Resumen_Sprints!$E$13),0)</f>
        <v>0</v>
      </c>
      <c r="AF47" s="36">
        <f>IF(AND(AF$4&gt;Resumen_Sprints!$E$13,AF$4&lt;=Resumen_Sprints!$E$13+Resumen_Sprints!$D$13),INDEX('Sprint N°8'!$C$7:$M$7,AF$4-Resumen_Sprints!$E$13),0)</f>
        <v>0</v>
      </c>
      <c r="AG47" s="36">
        <f>IF(AND(AG$4&gt;Resumen_Sprints!$E$13,AG$4&lt;=Resumen_Sprints!$E$13+Resumen_Sprints!$D$13),INDEX('Sprint N°8'!$C$7:$M$7,AG$4-Resumen_Sprints!$E$13),0)</f>
        <v>0</v>
      </c>
      <c r="AH47" s="36">
        <f>IF(AND(AH$4&gt;Resumen_Sprints!$E$13,AH$4&lt;=Resumen_Sprints!$E$13+Resumen_Sprints!$D$13),INDEX('Sprint N°8'!$C$7:$M$7,AH$4-Resumen_Sprints!$E$13),0)</f>
        <v>0</v>
      </c>
      <c r="AI47" s="36">
        <f>IF(AND(AI$4&gt;Resumen_Sprints!$E$13,AI$4&lt;=Resumen_Sprints!$E$13+Resumen_Sprints!$D$13),INDEX('Sprint N°8'!$C$7:$M$7,AI$4-Resumen_Sprints!$E$13),0)</f>
        <v>0</v>
      </c>
      <c r="AJ47" s="36">
        <f>IF(AND(AJ$4&gt;Resumen_Sprints!$E$13,AJ$4&lt;=Resumen_Sprints!$E$13+Resumen_Sprints!$D$13),INDEX('Sprint N°8'!$C$7:$M$7,AJ$4-Resumen_Sprints!$E$13),0)</f>
        <v>0</v>
      </c>
      <c r="AK47" s="36">
        <f>IF(AND(AK$4&gt;Resumen_Sprints!$E$13,AK$4&lt;=Resumen_Sprints!$E$13+Resumen_Sprints!$D$13),INDEX('Sprint N°8'!$C$7:$M$7,AK$4-Resumen_Sprints!$E$13),0)</f>
        <v>0</v>
      </c>
      <c r="AL47" s="36">
        <f>IF(AND(AL$4&gt;Resumen_Sprints!$E$13,AL$4&lt;=Resumen_Sprints!$E$13+Resumen_Sprints!$D$13),INDEX('Sprint N°8'!$C$7:$M$7,AL$4-Resumen_Sprints!$E$13),0)</f>
        <v>0</v>
      </c>
      <c r="AM47" s="36">
        <f>IF(AND(AM$4&gt;Resumen_Sprints!$E$13,AM$4&lt;=Resumen_Sprints!$E$13+Resumen_Sprints!$D$13),INDEX('Sprint N°8'!$C$7:$M$7,AM$4-Resumen_Sprints!$E$13),0)</f>
        <v>0</v>
      </c>
      <c r="AN47" s="36">
        <f>IF(AND(AN$4&gt;Resumen_Sprints!$E$13,AN$4&lt;=Resumen_Sprints!$E$13+Resumen_Sprints!$D$13),INDEX('Sprint N°8'!$C$7:$M$7,AN$4-Resumen_Sprints!$E$13),0)</f>
        <v>0</v>
      </c>
      <c r="AO47" s="36">
        <f>IF(AND(AO$4&gt;Resumen_Sprints!$E$13,AO$4&lt;=Resumen_Sprints!$E$13+Resumen_Sprints!$D$13),INDEX('Sprint N°8'!$C$7:$M$7,AO$4-Resumen_Sprints!$E$13),0)</f>
        <v>0</v>
      </c>
      <c r="AP47" s="36">
        <f>IF(AND(AP$4&gt;Resumen_Sprints!$E$13,AP$4&lt;=Resumen_Sprints!$E$13+Resumen_Sprints!$D$13),INDEX('Sprint N°8'!$C$7:$M$7,AP$4-Resumen_Sprints!$E$13),0)</f>
        <v>0</v>
      </c>
      <c r="AQ47" s="36">
        <f>IF(AND(AQ$4&gt;Resumen_Sprints!$E$13,AQ$4&lt;=Resumen_Sprints!$E$13+Resumen_Sprints!$D$13),INDEX('Sprint N°8'!$C$7:$M$7,AQ$4-Resumen_Sprints!$E$13),0)</f>
        <v>0</v>
      </c>
      <c r="AR47" s="36">
        <f>IF(AND(AR$4&gt;Resumen_Sprints!$E$13,AR$4&lt;=Resumen_Sprints!$E$13+Resumen_Sprints!$D$13),INDEX('Sprint N°8'!$C$7:$M$7,AR$4-Resumen_Sprints!$E$13),0)</f>
        <v>0</v>
      </c>
      <c r="AS47" s="36">
        <f>IF(AND(AS$4&gt;Resumen_Sprints!$E$13,AS$4&lt;=Resumen_Sprints!$E$13+Resumen_Sprints!$D$13),INDEX('Sprint N°8'!$C$7:$M$7,AS$4-Resumen_Sprints!$E$13),0)</f>
        <v>0</v>
      </c>
      <c r="AT47" s="36">
        <f>IF(AND(AT$4&gt;Resumen_Sprints!$E$13,AT$4&lt;=Resumen_Sprints!$E$13+Resumen_Sprints!$D$13),INDEX('Sprint N°8'!$C$7:$M$7,AT$4-Resumen_Sprints!$E$13),0)</f>
        <v>0</v>
      </c>
      <c r="AU47" s="36">
        <f>IF(AND(AU$4&gt;Resumen_Sprints!$E$13,AU$4&lt;=Resumen_Sprints!$E$13+Resumen_Sprints!$D$13),INDEX('Sprint N°8'!$C$7:$M$7,AU$4-Resumen_Sprints!$E$13),0)</f>
        <v>0</v>
      </c>
      <c r="AV47" s="36">
        <f>IF(AND(AV$4&gt;Resumen_Sprints!$E$13,AV$4&lt;=Resumen_Sprints!$E$13+Resumen_Sprints!$D$13),INDEX('Sprint N°8'!$C$7:$M$7,AV$4-Resumen_Sprints!$E$13),0)</f>
        <v>0</v>
      </c>
      <c r="AW47" s="36">
        <f>IF(AND(AW$4&gt;Resumen_Sprints!$E$13,AW$4&lt;=Resumen_Sprints!$E$13+Resumen_Sprints!$D$13),INDEX('Sprint N°8'!$C$7:$M$7,AW$4-Resumen_Sprints!$E$13),0)</f>
        <v>0</v>
      </c>
      <c r="AX47" s="36">
        <f>IF(AND(AX$4&gt;Resumen_Sprints!$E$13,AX$4&lt;=Resumen_Sprints!$E$13+Resumen_Sprints!$D$13),INDEX('Sprint N°8'!$C$7:$M$7,AX$4-Resumen_Sprints!$E$13),0)</f>
        <v>0</v>
      </c>
      <c r="AY47" s="36">
        <f>IF(AND(AY$4&gt;Resumen_Sprints!$E$13,AY$4&lt;=Resumen_Sprints!$E$13+Resumen_Sprints!$D$13),INDEX('Sprint N°8'!$C$7:$M$7,AY$4-Resumen_Sprints!$E$13),0)</f>
        <v>0</v>
      </c>
      <c r="AZ47" s="36">
        <f>IF(AND(AZ$4&gt;Resumen_Sprints!$E$13,AZ$4&lt;=Resumen_Sprints!$E$13+Resumen_Sprints!$D$13),INDEX('Sprint N°8'!$C$7:$M$7,AZ$4-Resumen_Sprints!$E$13),0)</f>
        <v>0</v>
      </c>
      <c r="BA47" s="36">
        <f>IF(AND(BA$4&gt;Resumen_Sprints!$E$13,BA$4&lt;=Resumen_Sprints!$E$13+Resumen_Sprints!$D$13),INDEX('Sprint N°8'!$C$7:$M$7,BA$4-Resumen_Sprints!$E$13),0)</f>
        <v>0</v>
      </c>
      <c r="BB47" s="36">
        <f>IF(AND(BB$4&gt;Resumen_Sprints!$E$13,BB$4&lt;=Resumen_Sprints!$E$13+Resumen_Sprints!$D$13),INDEX('Sprint N°8'!$C$7:$M$7,BB$4-Resumen_Sprints!$E$13),0)</f>
        <v>0</v>
      </c>
      <c r="BC47" s="36">
        <f>IF(AND(BC$4&gt;Resumen_Sprints!$E$13,BC$4&lt;=Resumen_Sprints!$E$13+Resumen_Sprints!$D$13),INDEX('Sprint N°8'!$C$7:$M$7,BC$4-Resumen_Sprints!$E$13),0)</f>
        <v>0</v>
      </c>
      <c r="BD47" s="36">
        <f>IF(AND(BD$4&gt;Resumen_Sprints!$E$13,BD$4&lt;=Resumen_Sprints!$E$13+Resumen_Sprints!$D$13),INDEX('Sprint N°8'!$C$7:$M$7,BD$4-Resumen_Sprints!$E$13),0)</f>
        <v>0</v>
      </c>
      <c r="BE47" s="36">
        <f>IF(AND(BE$4&gt;Resumen_Sprints!$E$13,BE$4&lt;=Resumen_Sprints!$E$13+Resumen_Sprints!$D$13),INDEX('Sprint N°8'!$C$7:$M$7,BE$4-Resumen_Sprints!$E$13),0)</f>
        <v>0</v>
      </c>
      <c r="BF47" s="36">
        <f>IF(AND(BF$4&gt;Resumen_Sprints!$E$13,BF$4&lt;=Resumen_Sprints!$E$13+Resumen_Sprints!$D$13),INDEX('Sprint N°8'!$C$7:$M$7,BF$4-Resumen_Sprints!$E$13),0)</f>
        <v>0</v>
      </c>
      <c r="BG47" s="36">
        <f>IF(AND(BG$4&gt;Resumen_Sprints!$E$13,BG$4&lt;=Resumen_Sprints!$E$13+Resumen_Sprints!$D$13),INDEX('Sprint N°8'!$C$7:$M$7,BG$4-Resumen_Sprints!$E$13),0)</f>
        <v>0</v>
      </c>
      <c r="BH47" s="36">
        <f>IF(AND(BH$4&gt;Resumen_Sprints!$E$13,BH$4&lt;=Resumen_Sprints!$E$13+Resumen_Sprints!$D$13),INDEX('Sprint N°8'!$C$7:$M$7,BH$4-Resumen_Sprints!$E$13),0)</f>
        <v>0</v>
      </c>
      <c r="BI47" s="36">
        <f>IF(AND(BI$4&gt;Resumen_Sprints!$E$13,BI$4&lt;=Resumen_Sprints!$E$13+Resumen_Sprints!$D$13),INDEX('Sprint N°8'!$C$7:$M$7,BI$4-Resumen_Sprints!$E$13),0)</f>
        <v>0</v>
      </c>
      <c r="BJ47" s="36">
        <f>IF(AND(BJ$4&gt;Resumen_Sprints!$E$13,BJ$4&lt;=Resumen_Sprints!$E$13+Resumen_Sprints!$D$13),INDEX('Sprint N°8'!$C$7:$M$7,BJ$4-Resumen_Sprints!$E$13),0)</f>
        <v>0</v>
      </c>
      <c r="BK47" s="36">
        <f>IF(AND(BK$4&gt;Resumen_Sprints!$E$13,BK$4&lt;=Resumen_Sprints!$E$13+Resumen_Sprints!$D$13),INDEX('Sprint N°8'!$C$7:$M$7,BK$4-Resumen_Sprints!$E$13),0)</f>
        <v>0</v>
      </c>
      <c r="BL47" s="36">
        <f>IF(AND(BL$4&gt;Resumen_Sprints!$E$13,BL$4&lt;=Resumen_Sprints!$E$13+Resumen_Sprints!$D$13),INDEX('Sprint N°8'!$C$7:$M$7,BL$4-Resumen_Sprints!$E$13),0)</f>
        <v>0</v>
      </c>
      <c r="BM47" s="36">
        <f>IF(AND(BM$4&gt;Resumen_Sprints!$E$13,BM$4&lt;=Resumen_Sprints!$E$13+Resumen_Sprints!$D$13),INDEX('Sprint N°8'!$C$7:$M$7,BM$4-Resumen_Sprints!$E$13),0)</f>
        <v>0</v>
      </c>
      <c r="BN47" s="36">
        <f>IF(AND(BN$4&gt;Resumen_Sprints!$E$13,BN$4&lt;=Resumen_Sprints!$E$13+Resumen_Sprints!$D$13),INDEX('Sprint N°8'!$C$7:$M$7,BN$4-Resumen_Sprints!$E$13),0)</f>
        <v>0</v>
      </c>
      <c r="BO47" s="36">
        <f>IF(AND(BO$4&gt;Resumen_Sprints!$E$13,BO$4&lt;=Resumen_Sprints!$E$13+Resumen_Sprints!$D$13),INDEX('Sprint N°8'!$C$7:$M$7,BO$4-Resumen_Sprints!$E$13),0)</f>
        <v>0</v>
      </c>
      <c r="BP47" s="36">
        <f>IF(AND(BP$4&gt;Resumen_Sprints!$E$13,BP$4&lt;=Resumen_Sprints!$E$13+Resumen_Sprints!$D$13),INDEX('Sprint N°8'!$C$7:$M$7,BP$4-Resumen_Sprints!$E$13),0)</f>
        <v>0</v>
      </c>
      <c r="BQ47" s="36">
        <f>IF(AND(BQ$4&gt;Resumen_Sprints!$E$13,BQ$4&lt;=Resumen_Sprints!$E$13+Resumen_Sprints!$D$13),INDEX('Sprint N°8'!$C$7:$M$7,BQ$4-Resumen_Sprints!$E$13),0)</f>
        <v>0</v>
      </c>
      <c r="BR47" s="36">
        <f>IF(AND(BR$4&gt;Resumen_Sprints!$E$13,BR$4&lt;=Resumen_Sprints!$E$13+Resumen_Sprints!$D$13),INDEX('Sprint N°8'!$C$7:$M$7,BR$4-Resumen_Sprints!$E$13),0)</f>
        <v>0</v>
      </c>
      <c r="BS47" s="36">
        <f>IF(AND(BS$4&gt;Resumen_Sprints!$E$13,BS$4&lt;=Resumen_Sprints!$E$13+Resumen_Sprints!$D$13),INDEX('Sprint N°8'!$C$7:$M$7,BS$4-Resumen_Sprints!$E$13),0)</f>
        <v>0</v>
      </c>
      <c r="BT47" s="36">
        <f>IF(AND(BT$4&gt;Resumen_Sprints!$E$13,BT$4&lt;=Resumen_Sprints!$E$13+Resumen_Sprints!$D$13),INDEX('Sprint N°8'!$C$7:$M$7,BT$4-Resumen_Sprints!$E$13),0)</f>
        <v>0</v>
      </c>
      <c r="BU47" s="36">
        <f>IF(AND(BU$4&gt;Resumen_Sprints!$E$13,BU$4&lt;=Resumen_Sprints!$E$13+Resumen_Sprints!$D$13),INDEX('Sprint N°8'!$C$7:$M$7,BU$4-Resumen_Sprints!$E$13),0)</f>
        <v>0</v>
      </c>
      <c r="BV47" s="36">
        <f>IF(AND(BV$4&gt;Resumen_Sprints!$E$13,BV$4&lt;=Resumen_Sprints!$E$13+Resumen_Sprints!$D$13),INDEX('Sprint N°8'!$C$7:$M$7,BV$4-Resumen_Sprints!$E$13),0)</f>
        <v>0</v>
      </c>
      <c r="BW47" s="36">
        <f>IF(AND(BW$4&gt;Resumen_Sprints!$E$13,BW$4&lt;=Resumen_Sprints!$E$13+Resumen_Sprints!$D$13),INDEX('Sprint N°8'!$C$7:$M$7,BW$4-Resumen_Sprints!$E$13),0)</f>
        <v>0</v>
      </c>
      <c r="BX47" s="36">
        <f>IF(AND(BX$4&gt;Resumen_Sprints!$E$13,BX$4&lt;=Resumen_Sprints!$E$13+Resumen_Sprints!$D$13),INDEX('Sprint N°8'!$C$7:$M$7,BX$4-Resumen_Sprints!$E$13),0)</f>
        <v>0</v>
      </c>
      <c r="BY47" s="36">
        <f>IF(AND(BY$4&gt;Resumen_Sprints!$E$13,BY$4&lt;=Resumen_Sprints!$E$13+Resumen_Sprints!$D$13),INDEX('Sprint N°8'!$C$7:$M$7,BY$4-Resumen_Sprints!$E$13),0)</f>
        <v>0</v>
      </c>
      <c r="BZ47" s="36">
        <f>IF(AND(BZ$4&gt;Resumen_Sprints!$E$13,BZ$4&lt;=Resumen_Sprints!$E$13+Resumen_Sprints!$D$13),INDEX('Sprint N°8'!$C$7:$M$7,BZ$4-Resumen_Sprints!$E$13),0)</f>
        <v>0</v>
      </c>
      <c r="CA47" s="36">
        <f>IF(AND(CA$4&gt;Resumen_Sprints!$E$13,CA$4&lt;=Resumen_Sprints!$E$13+Resumen_Sprints!$D$13),INDEX('Sprint N°8'!$C$7:$M$7,CA$4-Resumen_Sprints!$E$13),0)</f>
        <v>0</v>
      </c>
      <c r="CB47" s="36">
        <f>IF(AND(CB$4&gt;Resumen_Sprints!$E$13,CB$4&lt;=Resumen_Sprints!$E$13+Resumen_Sprints!$D$13),INDEX('Sprint N°8'!$C$7:$M$7,CB$4-Resumen_Sprints!$E$13),0)</f>
        <v>0</v>
      </c>
      <c r="CC47" s="36">
        <f>IF(AND(CC$4&gt;Resumen_Sprints!$E$13,CC$4&lt;=Resumen_Sprints!$E$13+Resumen_Sprints!$D$13),INDEX('Sprint N°8'!$C$7:$M$7,CC$4-Resumen_Sprints!$E$13),0)</f>
        <v>0</v>
      </c>
      <c r="CD47" s="36">
        <f>IF(AND(CD$4&gt;Resumen_Sprints!$E$13,CD$4&lt;=Resumen_Sprints!$E$13+Resumen_Sprints!$D$13),INDEX('Sprint N°8'!$C$7:$M$7,CD$4-Resumen_Sprints!$E$13),0)</f>
        <v>0</v>
      </c>
      <c r="CE47" s="36">
        <f>IF(AND(CE$4&gt;Resumen_Sprints!$E$13,CE$4&lt;=Resumen_Sprints!$E$13+Resumen_Sprints!$D$13),INDEX('Sprint N°8'!$C$7:$M$7,CE$4-Resumen_Sprints!$E$13),0)</f>
        <v>0</v>
      </c>
      <c r="CF47" s="36">
        <f>IF(AND(CF$4&gt;Resumen_Sprints!$E$13,CF$4&lt;=Resumen_Sprints!$E$13+Resumen_Sprints!$D$13),INDEX('Sprint N°8'!$C$7:$M$7,CF$4-Resumen_Sprints!$E$13),0)</f>
        <v>0</v>
      </c>
      <c r="CG47" s="36">
        <f>IF(AND(CG$4&gt;Resumen_Sprints!$E$13,CG$4&lt;=Resumen_Sprints!$E$13+Resumen_Sprints!$D$13),INDEX('Sprint N°8'!$C$7:$M$7,CG$4-Resumen_Sprints!$E$13),0)</f>
        <v>0</v>
      </c>
      <c r="CH47" s="36">
        <f>IF(AND(CH$4&gt;Resumen_Sprints!$E$13,CH$4&lt;=Resumen_Sprints!$E$13+Resumen_Sprints!$D$13),INDEX('Sprint N°8'!$C$7:$M$7,CH$4-Resumen_Sprints!$E$13),0)</f>
        <v>0</v>
      </c>
      <c r="CI47" s="36">
        <f>IF(AND(CI$4&gt;Resumen_Sprints!$E$13,CI$4&lt;=Resumen_Sprints!$E$13+Resumen_Sprints!$D$13),INDEX('Sprint N°8'!$C$7:$M$7,CI$4-Resumen_Sprints!$E$13),0)</f>
        <v>0</v>
      </c>
      <c r="CJ47" s="36">
        <f>IF(AND(CJ$4&gt;Resumen_Sprints!$E$13,CJ$4&lt;=Resumen_Sprints!$E$13+Resumen_Sprints!$D$13),INDEX('Sprint N°8'!$C$7:$M$7,CJ$4-Resumen_Sprints!$E$13),0)</f>
        <v>6</v>
      </c>
      <c r="CK47" s="36">
        <f>IF(AND(CK$4&gt;Resumen_Sprints!$E$13,CK$4&lt;=Resumen_Sprints!$E$13+Resumen_Sprints!$D$13),INDEX('Sprint N°8'!$C$7:$M$7,CK$4-Resumen_Sprints!$E$13),0)</f>
        <v>7</v>
      </c>
      <c r="CL47" s="36">
        <f>IF(AND(CL$4&gt;Resumen_Sprints!$E$13,CL$4&lt;=Resumen_Sprints!$E$13+Resumen_Sprints!$D$13),INDEX('Sprint N°8'!$C$7:$M$7,CL$4-Resumen_Sprints!$E$13),0)</f>
        <v>5</v>
      </c>
      <c r="CM47" s="36">
        <f>IF(AND(CM$4&gt;Resumen_Sprints!$E$13,CM$4&lt;=Resumen_Sprints!$E$13+Resumen_Sprints!$D$13),INDEX('Sprint N°8'!$C$7:$M$7,CM$4-Resumen_Sprints!$E$13),0)</f>
        <v>0</v>
      </c>
      <c r="CN47" s="36">
        <f>IF(AND(CN$4&gt;Resumen_Sprints!$E$13,CN$4&lt;=Resumen_Sprints!$E$13+Resumen_Sprints!$D$13),INDEX('Sprint N°8'!$C$7:$M$7,CN$4-Resumen_Sprints!$E$13),0)</f>
        <v>0</v>
      </c>
      <c r="CO47" s="36">
        <f>IF(AND(CO$4&gt;Resumen_Sprints!$E$13,CO$4&lt;=Resumen_Sprints!$E$13+Resumen_Sprints!$D$13),INDEX('Sprint N°8'!$C$7:$M$7,CO$4-Resumen_Sprints!$E$13),0)</f>
        <v>0</v>
      </c>
      <c r="CP47" s="36">
        <f>IF(AND(CP$4&gt;Resumen_Sprints!$E$13,CP$4&lt;=Resumen_Sprints!$E$13+Resumen_Sprints!$D$13),INDEX('Sprint N°8'!$C$7:$M$7,CP$4-Resumen_Sprints!$E$13),0)</f>
        <v>0</v>
      </c>
      <c r="CQ47" s="36">
        <f>IF(AND(CQ$4&gt;Resumen_Sprints!$E$13,CQ$4&lt;=Resumen_Sprints!$E$13+Resumen_Sprints!$D$13),INDEX('Sprint N°8'!$C$7:$M$7,CQ$4-Resumen_Sprints!$E$13),0)</f>
        <v>0</v>
      </c>
      <c r="CR47" s="36">
        <f>IF(AND(CR$4&gt;Resumen_Sprints!$E$13,CR$4&lt;=Resumen_Sprints!$E$13+Resumen_Sprints!$D$13),INDEX('Sprint N°8'!$C$7:$M$7,CR$4-Resumen_Sprints!$E$13),0)</f>
        <v>0</v>
      </c>
      <c r="CS47" s="36">
        <f>IF(AND(CS$4&gt;Resumen_Sprints!$E$13,CS$4&lt;=Resumen_Sprints!$E$13+Resumen_Sprints!$D$13),INDEX('Sprint N°8'!$C$7:$M$7,CS$4-Resumen_Sprints!$E$13),0)</f>
        <v>0</v>
      </c>
      <c r="CT47" s="36">
        <f>IF(AND(CT$4&gt;Resumen_Sprints!$E$13,CT$4&lt;=Resumen_Sprints!$E$13+Resumen_Sprints!$D$13),INDEX('Sprint N°8'!$C$7:$M$7,CT$4-Resumen_Sprints!$E$13),0)</f>
        <v>0</v>
      </c>
      <c r="CU47" s="10">
        <f>SUM(C47:CT47)</f>
        <v>18</v>
      </c>
    </row>
    <row r="48" spans="1:99" x14ac:dyDescent="0.3">
      <c r="A48" s="22" t="str">
        <f>'Sprint N°8'!A8</f>
        <v>Marcha Blanca</v>
      </c>
      <c r="B48" s="22">
        <f>'Sprint N°8'!B8</f>
        <v>29</v>
      </c>
      <c r="C48" s="36">
        <f>IF(AND(C$4&gt;Resumen_Sprints!$E$13,C$4&lt;=Resumen_Sprints!$E$13+Resumen_Sprints!$D$13),INDEX('Sprint N°8'!$C$8:$M$8,C$4-Resumen_Sprints!$E$13),0)</f>
        <v>0</v>
      </c>
      <c r="D48" s="36">
        <f>IF(AND(D$4&gt;Resumen_Sprints!$E$13,D$4&lt;=Resumen_Sprints!$E$13+Resumen_Sprints!$D$13),INDEX('Sprint N°8'!$C$8:$M$8,D$4-Resumen_Sprints!$E$13),0)</f>
        <v>0</v>
      </c>
      <c r="E48" s="36">
        <f>IF(AND(E$4&gt;Resumen_Sprints!$E$13,E$4&lt;=Resumen_Sprints!$E$13+Resumen_Sprints!$D$13),INDEX('Sprint N°8'!$C$8:$M$8,E$4-Resumen_Sprints!$E$13),0)</f>
        <v>0</v>
      </c>
      <c r="F48" s="36">
        <f>IF(AND(F$4&gt;Resumen_Sprints!$E$13,F$4&lt;=Resumen_Sprints!$E$13+Resumen_Sprints!$D$13),INDEX('Sprint N°8'!$C$8:$M$8,F$4-Resumen_Sprints!$E$13),0)</f>
        <v>0</v>
      </c>
      <c r="G48" s="36">
        <f>IF(AND(G$4&gt;Resumen_Sprints!$E$13,G$4&lt;=Resumen_Sprints!$E$13+Resumen_Sprints!$D$13),INDEX('Sprint N°8'!$C$8:$M$8,G$4-Resumen_Sprints!$E$13),0)</f>
        <v>0</v>
      </c>
      <c r="H48" s="36">
        <f>IF(AND(H$4&gt;Resumen_Sprints!$E$13,H$4&lt;=Resumen_Sprints!$E$13+Resumen_Sprints!$D$13),INDEX('Sprint N°8'!$C$8:$M$8,H$4-Resumen_Sprints!$E$13),0)</f>
        <v>0</v>
      </c>
      <c r="I48" s="36">
        <f>IF(AND(I$4&gt;Resumen_Sprints!$E$13,I$4&lt;=Resumen_Sprints!$E$13+Resumen_Sprints!$D$13),INDEX('Sprint N°8'!$C$8:$M$8,I$4-Resumen_Sprints!$E$13),0)</f>
        <v>0</v>
      </c>
      <c r="J48" s="36">
        <f>IF(AND(J$4&gt;Resumen_Sprints!$E$13,J$4&lt;=Resumen_Sprints!$E$13+Resumen_Sprints!$D$13),INDEX('Sprint N°8'!$C$8:$M$8,J$4-Resumen_Sprints!$E$13),0)</f>
        <v>0</v>
      </c>
      <c r="K48" s="36">
        <f>IF(AND(K$4&gt;Resumen_Sprints!$E$13,K$4&lt;=Resumen_Sprints!$E$13+Resumen_Sprints!$D$13),INDEX('Sprint N°8'!$C$8:$M$8,K$4-Resumen_Sprints!$E$13),0)</f>
        <v>0</v>
      </c>
      <c r="L48" s="36">
        <f>IF(AND(L$4&gt;Resumen_Sprints!$E$13,L$4&lt;=Resumen_Sprints!$E$13+Resumen_Sprints!$D$13),INDEX('Sprint N°8'!$C$8:$M$8,L$4-Resumen_Sprints!$E$13),0)</f>
        <v>0</v>
      </c>
      <c r="M48" s="36">
        <f>IF(AND(M$4&gt;Resumen_Sprints!$E$13,M$4&lt;=Resumen_Sprints!$E$13+Resumen_Sprints!$D$13),INDEX('Sprint N°8'!$C$8:$M$8,M$4-Resumen_Sprints!$E$13),0)</f>
        <v>0</v>
      </c>
      <c r="N48" s="36">
        <f>IF(AND(N$4&gt;Resumen_Sprints!$E$13,N$4&lt;=Resumen_Sprints!$E$13+Resumen_Sprints!$D$13),INDEX('Sprint N°8'!$C$8:$M$8,N$4-Resumen_Sprints!$E$13),0)</f>
        <v>0</v>
      </c>
      <c r="O48" s="36">
        <f>IF(AND(O$4&gt;Resumen_Sprints!$E$13,O$4&lt;=Resumen_Sprints!$E$13+Resumen_Sprints!$D$13),INDEX('Sprint N°8'!$C$8:$M$8,O$4-Resumen_Sprints!$E$13),0)</f>
        <v>0</v>
      </c>
      <c r="P48" s="36">
        <f>IF(AND(P$4&gt;Resumen_Sprints!$E$13,P$4&lt;=Resumen_Sprints!$E$13+Resumen_Sprints!$D$13),INDEX('Sprint N°8'!$C$8:$M$8,P$4-Resumen_Sprints!$E$13),0)</f>
        <v>0</v>
      </c>
      <c r="Q48" s="36">
        <f>IF(AND(Q$4&gt;Resumen_Sprints!$E$13,Q$4&lt;=Resumen_Sprints!$E$13+Resumen_Sprints!$D$13),INDEX('Sprint N°8'!$C$8:$M$8,Q$4-Resumen_Sprints!$E$13),0)</f>
        <v>0</v>
      </c>
      <c r="R48" s="36">
        <f>IF(AND(R$4&gt;Resumen_Sprints!$E$13,R$4&lt;=Resumen_Sprints!$E$13+Resumen_Sprints!$D$13),INDEX('Sprint N°8'!$C$8:$M$8,R$4-Resumen_Sprints!$E$13),0)</f>
        <v>0</v>
      </c>
      <c r="S48" s="36">
        <f>IF(AND(S$4&gt;Resumen_Sprints!$E$13,S$4&lt;=Resumen_Sprints!$E$13+Resumen_Sprints!$D$13),INDEX('Sprint N°8'!$C$8:$M$8,S$4-Resumen_Sprints!$E$13),0)</f>
        <v>0</v>
      </c>
      <c r="T48" s="36">
        <f>IF(AND(T$4&gt;Resumen_Sprints!$E$13,T$4&lt;=Resumen_Sprints!$E$13+Resumen_Sprints!$D$13),INDEX('Sprint N°8'!$C$8:$M$8,T$4-Resumen_Sprints!$E$13),0)</f>
        <v>0</v>
      </c>
      <c r="U48" s="36">
        <f>IF(AND(U$4&gt;Resumen_Sprints!$E$13,U$4&lt;=Resumen_Sprints!$E$13+Resumen_Sprints!$D$13),INDEX('Sprint N°8'!$C$8:$M$8,U$4-Resumen_Sprints!$E$13),0)</f>
        <v>0</v>
      </c>
      <c r="V48" s="36">
        <f>IF(AND(V$4&gt;Resumen_Sprints!$E$13,V$4&lt;=Resumen_Sprints!$E$13+Resumen_Sprints!$D$13),INDEX('Sprint N°8'!$C$8:$M$8,V$4-Resumen_Sprints!$E$13),0)</f>
        <v>0</v>
      </c>
      <c r="W48" s="36">
        <f>IF(AND(W$4&gt;Resumen_Sprints!$E$13,W$4&lt;=Resumen_Sprints!$E$13+Resumen_Sprints!$D$13),INDEX('Sprint N°8'!$C$8:$M$8,W$4-Resumen_Sprints!$E$13),0)</f>
        <v>0</v>
      </c>
      <c r="X48" s="36">
        <f>IF(AND(X$4&gt;Resumen_Sprints!$E$13,X$4&lt;=Resumen_Sprints!$E$13+Resumen_Sprints!$D$13),INDEX('Sprint N°8'!$C$8:$M$8,X$4-Resumen_Sprints!$E$13),0)</f>
        <v>0</v>
      </c>
      <c r="Y48" s="36">
        <f>IF(AND(Y$4&gt;Resumen_Sprints!$E$13,Y$4&lt;=Resumen_Sprints!$E$13+Resumen_Sprints!$D$13),INDEX('Sprint N°8'!$C$8:$M$8,Y$4-Resumen_Sprints!$E$13),0)</f>
        <v>0</v>
      </c>
      <c r="Z48" s="36">
        <f>IF(AND(Z$4&gt;Resumen_Sprints!$E$13,Z$4&lt;=Resumen_Sprints!$E$13+Resumen_Sprints!$D$13),INDEX('Sprint N°8'!$C$8:$M$8,Z$4-Resumen_Sprints!$E$13),0)</f>
        <v>0</v>
      </c>
      <c r="AA48" s="36">
        <f>IF(AND(AA$4&gt;Resumen_Sprints!$E$13,AA$4&lt;=Resumen_Sprints!$E$13+Resumen_Sprints!$D$13),INDEX('Sprint N°8'!$C$8:$M$8,AA$4-Resumen_Sprints!$E$13),0)</f>
        <v>0</v>
      </c>
      <c r="AB48" s="36">
        <f>IF(AND(AB$4&gt;Resumen_Sprints!$E$13,AB$4&lt;=Resumen_Sprints!$E$13+Resumen_Sprints!$D$13),INDEX('Sprint N°8'!$C$8:$M$8,AB$4-Resumen_Sprints!$E$13),0)</f>
        <v>0</v>
      </c>
      <c r="AC48" s="36">
        <f>IF(AND(AC$4&gt;Resumen_Sprints!$E$13,AC$4&lt;=Resumen_Sprints!$E$13+Resumen_Sprints!$D$13),INDEX('Sprint N°8'!$C$8:$M$8,AC$4-Resumen_Sprints!$E$13),0)</f>
        <v>0</v>
      </c>
      <c r="AD48" s="36">
        <f>IF(AND(AD$4&gt;Resumen_Sprints!$E$13,AD$4&lt;=Resumen_Sprints!$E$13+Resumen_Sprints!$D$13),INDEX('Sprint N°8'!$C$8:$M$8,AD$4-Resumen_Sprints!$E$13),0)</f>
        <v>0</v>
      </c>
      <c r="AE48" s="36">
        <f>IF(AND(AE$4&gt;Resumen_Sprints!$E$13,AE$4&lt;=Resumen_Sprints!$E$13+Resumen_Sprints!$D$13),INDEX('Sprint N°8'!$C$8:$M$8,AE$4-Resumen_Sprints!$E$13),0)</f>
        <v>0</v>
      </c>
      <c r="AF48" s="36">
        <f>IF(AND(AF$4&gt;Resumen_Sprints!$E$13,AF$4&lt;=Resumen_Sprints!$E$13+Resumen_Sprints!$D$13),INDEX('Sprint N°8'!$C$8:$M$8,AF$4-Resumen_Sprints!$E$13),0)</f>
        <v>0</v>
      </c>
      <c r="AG48" s="36">
        <f>IF(AND(AG$4&gt;Resumen_Sprints!$E$13,AG$4&lt;=Resumen_Sprints!$E$13+Resumen_Sprints!$D$13),INDEX('Sprint N°8'!$C$8:$M$8,AG$4-Resumen_Sprints!$E$13),0)</f>
        <v>0</v>
      </c>
      <c r="AH48" s="36">
        <f>IF(AND(AH$4&gt;Resumen_Sprints!$E$13,AH$4&lt;=Resumen_Sprints!$E$13+Resumen_Sprints!$D$13),INDEX('Sprint N°8'!$C$8:$M$8,AH$4-Resumen_Sprints!$E$13),0)</f>
        <v>0</v>
      </c>
      <c r="AI48" s="36">
        <f>IF(AND(AI$4&gt;Resumen_Sprints!$E$13,AI$4&lt;=Resumen_Sprints!$E$13+Resumen_Sprints!$D$13),INDEX('Sprint N°8'!$C$8:$M$8,AI$4-Resumen_Sprints!$E$13),0)</f>
        <v>0</v>
      </c>
      <c r="AJ48" s="36">
        <f>IF(AND(AJ$4&gt;Resumen_Sprints!$E$13,AJ$4&lt;=Resumen_Sprints!$E$13+Resumen_Sprints!$D$13),INDEX('Sprint N°8'!$C$8:$M$8,AJ$4-Resumen_Sprints!$E$13),0)</f>
        <v>0</v>
      </c>
      <c r="AK48" s="36">
        <f>IF(AND(AK$4&gt;Resumen_Sprints!$E$13,AK$4&lt;=Resumen_Sprints!$E$13+Resumen_Sprints!$D$13),INDEX('Sprint N°8'!$C$8:$M$8,AK$4-Resumen_Sprints!$E$13),0)</f>
        <v>0</v>
      </c>
      <c r="AL48" s="36">
        <f>IF(AND(AL$4&gt;Resumen_Sprints!$E$13,AL$4&lt;=Resumen_Sprints!$E$13+Resumen_Sprints!$D$13),INDEX('Sprint N°8'!$C$8:$M$8,AL$4-Resumen_Sprints!$E$13),0)</f>
        <v>0</v>
      </c>
      <c r="AM48" s="36">
        <f>IF(AND(AM$4&gt;Resumen_Sprints!$E$13,AM$4&lt;=Resumen_Sprints!$E$13+Resumen_Sprints!$D$13),INDEX('Sprint N°8'!$C$8:$M$8,AM$4-Resumen_Sprints!$E$13),0)</f>
        <v>0</v>
      </c>
      <c r="AN48" s="36">
        <f>IF(AND(AN$4&gt;Resumen_Sprints!$E$13,AN$4&lt;=Resumen_Sprints!$E$13+Resumen_Sprints!$D$13),INDEX('Sprint N°8'!$C$8:$M$8,AN$4-Resumen_Sprints!$E$13),0)</f>
        <v>0</v>
      </c>
      <c r="AO48" s="36">
        <f>IF(AND(AO$4&gt;Resumen_Sprints!$E$13,AO$4&lt;=Resumen_Sprints!$E$13+Resumen_Sprints!$D$13),INDEX('Sprint N°8'!$C$8:$M$8,AO$4-Resumen_Sprints!$E$13),0)</f>
        <v>0</v>
      </c>
      <c r="AP48" s="36">
        <f>IF(AND(AP$4&gt;Resumen_Sprints!$E$13,AP$4&lt;=Resumen_Sprints!$E$13+Resumen_Sprints!$D$13),INDEX('Sprint N°8'!$C$8:$M$8,AP$4-Resumen_Sprints!$E$13),0)</f>
        <v>0</v>
      </c>
      <c r="AQ48" s="36">
        <f>IF(AND(AQ$4&gt;Resumen_Sprints!$E$13,AQ$4&lt;=Resumen_Sprints!$E$13+Resumen_Sprints!$D$13),INDEX('Sprint N°8'!$C$8:$M$8,AQ$4-Resumen_Sprints!$E$13),0)</f>
        <v>0</v>
      </c>
      <c r="AR48" s="36">
        <f>IF(AND(AR$4&gt;Resumen_Sprints!$E$13,AR$4&lt;=Resumen_Sprints!$E$13+Resumen_Sprints!$D$13),INDEX('Sprint N°8'!$C$8:$M$8,AR$4-Resumen_Sprints!$E$13),0)</f>
        <v>0</v>
      </c>
      <c r="AS48" s="36">
        <f>IF(AND(AS$4&gt;Resumen_Sprints!$E$13,AS$4&lt;=Resumen_Sprints!$E$13+Resumen_Sprints!$D$13),INDEX('Sprint N°8'!$C$8:$M$8,AS$4-Resumen_Sprints!$E$13),0)</f>
        <v>0</v>
      </c>
      <c r="AT48" s="36">
        <f>IF(AND(AT$4&gt;Resumen_Sprints!$E$13,AT$4&lt;=Resumen_Sprints!$E$13+Resumen_Sprints!$D$13),INDEX('Sprint N°8'!$C$8:$M$8,AT$4-Resumen_Sprints!$E$13),0)</f>
        <v>0</v>
      </c>
      <c r="AU48" s="36">
        <f>IF(AND(AU$4&gt;Resumen_Sprints!$E$13,AU$4&lt;=Resumen_Sprints!$E$13+Resumen_Sprints!$D$13),INDEX('Sprint N°8'!$C$8:$M$8,AU$4-Resumen_Sprints!$E$13),0)</f>
        <v>0</v>
      </c>
      <c r="AV48" s="36">
        <f>IF(AND(AV$4&gt;Resumen_Sprints!$E$13,AV$4&lt;=Resumen_Sprints!$E$13+Resumen_Sprints!$D$13),INDEX('Sprint N°8'!$C$8:$M$8,AV$4-Resumen_Sprints!$E$13),0)</f>
        <v>0</v>
      </c>
      <c r="AW48" s="36">
        <f>IF(AND(AW$4&gt;Resumen_Sprints!$E$13,AW$4&lt;=Resumen_Sprints!$E$13+Resumen_Sprints!$D$13),INDEX('Sprint N°8'!$C$8:$M$8,AW$4-Resumen_Sprints!$E$13),0)</f>
        <v>0</v>
      </c>
      <c r="AX48" s="36">
        <f>IF(AND(AX$4&gt;Resumen_Sprints!$E$13,AX$4&lt;=Resumen_Sprints!$E$13+Resumen_Sprints!$D$13),INDEX('Sprint N°8'!$C$8:$M$8,AX$4-Resumen_Sprints!$E$13),0)</f>
        <v>0</v>
      </c>
      <c r="AY48" s="36">
        <f>IF(AND(AY$4&gt;Resumen_Sprints!$E$13,AY$4&lt;=Resumen_Sprints!$E$13+Resumen_Sprints!$D$13),INDEX('Sprint N°8'!$C$8:$M$8,AY$4-Resumen_Sprints!$E$13),0)</f>
        <v>0</v>
      </c>
      <c r="AZ48" s="36">
        <f>IF(AND(AZ$4&gt;Resumen_Sprints!$E$13,AZ$4&lt;=Resumen_Sprints!$E$13+Resumen_Sprints!$D$13),INDEX('Sprint N°8'!$C$8:$M$8,AZ$4-Resumen_Sprints!$E$13),0)</f>
        <v>0</v>
      </c>
      <c r="BA48" s="36">
        <f>IF(AND(BA$4&gt;Resumen_Sprints!$E$13,BA$4&lt;=Resumen_Sprints!$E$13+Resumen_Sprints!$D$13),INDEX('Sprint N°8'!$C$8:$M$8,BA$4-Resumen_Sprints!$E$13),0)</f>
        <v>0</v>
      </c>
      <c r="BB48" s="36">
        <f>IF(AND(BB$4&gt;Resumen_Sprints!$E$13,BB$4&lt;=Resumen_Sprints!$E$13+Resumen_Sprints!$D$13),INDEX('Sprint N°8'!$C$8:$M$8,BB$4-Resumen_Sprints!$E$13),0)</f>
        <v>0</v>
      </c>
      <c r="BC48" s="36">
        <f>IF(AND(BC$4&gt;Resumen_Sprints!$E$13,BC$4&lt;=Resumen_Sprints!$E$13+Resumen_Sprints!$D$13),INDEX('Sprint N°8'!$C$8:$M$8,BC$4-Resumen_Sprints!$E$13),0)</f>
        <v>0</v>
      </c>
      <c r="BD48" s="36">
        <f>IF(AND(BD$4&gt;Resumen_Sprints!$E$13,BD$4&lt;=Resumen_Sprints!$E$13+Resumen_Sprints!$D$13),INDEX('Sprint N°8'!$C$8:$M$8,BD$4-Resumen_Sprints!$E$13),0)</f>
        <v>0</v>
      </c>
      <c r="BE48" s="36">
        <f>IF(AND(BE$4&gt;Resumen_Sprints!$E$13,BE$4&lt;=Resumen_Sprints!$E$13+Resumen_Sprints!$D$13),INDEX('Sprint N°8'!$C$8:$M$8,BE$4-Resumen_Sprints!$E$13),0)</f>
        <v>0</v>
      </c>
      <c r="BF48" s="36">
        <f>IF(AND(BF$4&gt;Resumen_Sprints!$E$13,BF$4&lt;=Resumen_Sprints!$E$13+Resumen_Sprints!$D$13),INDEX('Sprint N°8'!$C$8:$M$8,BF$4-Resumen_Sprints!$E$13),0)</f>
        <v>0</v>
      </c>
      <c r="BG48" s="36">
        <f>IF(AND(BG$4&gt;Resumen_Sprints!$E$13,BG$4&lt;=Resumen_Sprints!$E$13+Resumen_Sprints!$D$13),INDEX('Sprint N°8'!$C$8:$M$8,BG$4-Resumen_Sprints!$E$13),0)</f>
        <v>0</v>
      </c>
      <c r="BH48" s="36">
        <f>IF(AND(BH$4&gt;Resumen_Sprints!$E$13,BH$4&lt;=Resumen_Sprints!$E$13+Resumen_Sprints!$D$13),INDEX('Sprint N°8'!$C$8:$M$8,BH$4-Resumen_Sprints!$E$13),0)</f>
        <v>0</v>
      </c>
      <c r="BI48" s="36">
        <f>IF(AND(BI$4&gt;Resumen_Sprints!$E$13,BI$4&lt;=Resumen_Sprints!$E$13+Resumen_Sprints!$D$13),INDEX('Sprint N°8'!$C$8:$M$8,BI$4-Resumen_Sprints!$E$13),0)</f>
        <v>0</v>
      </c>
      <c r="BJ48" s="36">
        <f>IF(AND(BJ$4&gt;Resumen_Sprints!$E$13,BJ$4&lt;=Resumen_Sprints!$E$13+Resumen_Sprints!$D$13),INDEX('Sprint N°8'!$C$8:$M$8,BJ$4-Resumen_Sprints!$E$13),0)</f>
        <v>0</v>
      </c>
      <c r="BK48" s="36">
        <f>IF(AND(BK$4&gt;Resumen_Sprints!$E$13,BK$4&lt;=Resumen_Sprints!$E$13+Resumen_Sprints!$D$13),INDEX('Sprint N°8'!$C$8:$M$8,BK$4-Resumen_Sprints!$E$13),0)</f>
        <v>0</v>
      </c>
      <c r="BL48" s="36">
        <f>IF(AND(BL$4&gt;Resumen_Sprints!$E$13,BL$4&lt;=Resumen_Sprints!$E$13+Resumen_Sprints!$D$13),INDEX('Sprint N°8'!$C$8:$M$8,BL$4-Resumen_Sprints!$E$13),0)</f>
        <v>0</v>
      </c>
      <c r="BM48" s="36">
        <f>IF(AND(BM$4&gt;Resumen_Sprints!$E$13,BM$4&lt;=Resumen_Sprints!$E$13+Resumen_Sprints!$D$13),INDEX('Sprint N°8'!$C$8:$M$8,BM$4-Resumen_Sprints!$E$13),0)</f>
        <v>0</v>
      </c>
      <c r="BN48" s="36">
        <f>IF(AND(BN$4&gt;Resumen_Sprints!$E$13,BN$4&lt;=Resumen_Sprints!$E$13+Resumen_Sprints!$D$13),INDEX('Sprint N°8'!$C$8:$M$8,BN$4-Resumen_Sprints!$E$13),0)</f>
        <v>0</v>
      </c>
      <c r="BO48" s="36">
        <f>IF(AND(BO$4&gt;Resumen_Sprints!$E$13,BO$4&lt;=Resumen_Sprints!$E$13+Resumen_Sprints!$D$13),INDEX('Sprint N°8'!$C$8:$M$8,BO$4-Resumen_Sprints!$E$13),0)</f>
        <v>0</v>
      </c>
      <c r="BP48" s="36">
        <f>IF(AND(BP$4&gt;Resumen_Sprints!$E$13,BP$4&lt;=Resumen_Sprints!$E$13+Resumen_Sprints!$D$13),INDEX('Sprint N°8'!$C$8:$M$8,BP$4-Resumen_Sprints!$E$13),0)</f>
        <v>0</v>
      </c>
      <c r="BQ48" s="36">
        <f>IF(AND(BQ$4&gt;Resumen_Sprints!$E$13,BQ$4&lt;=Resumen_Sprints!$E$13+Resumen_Sprints!$D$13),INDEX('Sprint N°8'!$C$8:$M$8,BQ$4-Resumen_Sprints!$E$13),0)</f>
        <v>0</v>
      </c>
      <c r="BR48" s="36">
        <f>IF(AND(BR$4&gt;Resumen_Sprints!$E$13,BR$4&lt;=Resumen_Sprints!$E$13+Resumen_Sprints!$D$13),INDEX('Sprint N°8'!$C$8:$M$8,BR$4-Resumen_Sprints!$E$13),0)</f>
        <v>0</v>
      </c>
      <c r="BS48" s="36">
        <f>IF(AND(BS$4&gt;Resumen_Sprints!$E$13,BS$4&lt;=Resumen_Sprints!$E$13+Resumen_Sprints!$D$13),INDEX('Sprint N°8'!$C$8:$M$8,BS$4-Resumen_Sprints!$E$13),0)</f>
        <v>0</v>
      </c>
      <c r="BT48" s="36">
        <f>IF(AND(BT$4&gt;Resumen_Sprints!$E$13,BT$4&lt;=Resumen_Sprints!$E$13+Resumen_Sprints!$D$13),INDEX('Sprint N°8'!$C$8:$M$8,BT$4-Resumen_Sprints!$E$13),0)</f>
        <v>0</v>
      </c>
      <c r="BU48" s="36">
        <f>IF(AND(BU$4&gt;Resumen_Sprints!$E$13,BU$4&lt;=Resumen_Sprints!$E$13+Resumen_Sprints!$D$13),INDEX('Sprint N°8'!$C$8:$M$8,BU$4-Resumen_Sprints!$E$13),0)</f>
        <v>0</v>
      </c>
      <c r="BV48" s="36">
        <f>IF(AND(BV$4&gt;Resumen_Sprints!$E$13,BV$4&lt;=Resumen_Sprints!$E$13+Resumen_Sprints!$D$13),INDEX('Sprint N°8'!$C$8:$M$8,BV$4-Resumen_Sprints!$E$13),0)</f>
        <v>0</v>
      </c>
      <c r="BW48" s="36">
        <f>IF(AND(BW$4&gt;Resumen_Sprints!$E$13,BW$4&lt;=Resumen_Sprints!$E$13+Resumen_Sprints!$D$13),INDEX('Sprint N°8'!$C$8:$M$8,BW$4-Resumen_Sprints!$E$13),0)</f>
        <v>0</v>
      </c>
      <c r="BX48" s="36">
        <f>IF(AND(BX$4&gt;Resumen_Sprints!$E$13,BX$4&lt;=Resumen_Sprints!$E$13+Resumen_Sprints!$D$13),INDEX('Sprint N°8'!$C$8:$M$8,BX$4-Resumen_Sprints!$E$13),0)</f>
        <v>0</v>
      </c>
      <c r="BY48" s="36">
        <f>IF(AND(BY$4&gt;Resumen_Sprints!$E$13,BY$4&lt;=Resumen_Sprints!$E$13+Resumen_Sprints!$D$13),INDEX('Sprint N°8'!$C$8:$M$8,BY$4-Resumen_Sprints!$E$13),0)</f>
        <v>0</v>
      </c>
      <c r="BZ48" s="36">
        <f>IF(AND(BZ$4&gt;Resumen_Sprints!$E$13,BZ$4&lt;=Resumen_Sprints!$E$13+Resumen_Sprints!$D$13),INDEX('Sprint N°8'!$C$8:$M$8,BZ$4-Resumen_Sprints!$E$13),0)</f>
        <v>0</v>
      </c>
      <c r="CA48" s="36">
        <f>IF(AND(CA$4&gt;Resumen_Sprints!$E$13,CA$4&lt;=Resumen_Sprints!$E$13+Resumen_Sprints!$D$13),INDEX('Sprint N°8'!$C$8:$M$8,CA$4-Resumen_Sprints!$E$13),0)</f>
        <v>0</v>
      </c>
      <c r="CB48" s="36">
        <f>IF(AND(CB$4&gt;Resumen_Sprints!$E$13,CB$4&lt;=Resumen_Sprints!$E$13+Resumen_Sprints!$D$13),INDEX('Sprint N°8'!$C$8:$M$8,CB$4-Resumen_Sprints!$E$13),0)</f>
        <v>0</v>
      </c>
      <c r="CC48" s="36">
        <f>IF(AND(CC$4&gt;Resumen_Sprints!$E$13,CC$4&lt;=Resumen_Sprints!$E$13+Resumen_Sprints!$D$13),INDEX('Sprint N°8'!$C$8:$M$8,CC$4-Resumen_Sprints!$E$13),0)</f>
        <v>0</v>
      </c>
      <c r="CD48" s="36">
        <f>IF(AND(CD$4&gt;Resumen_Sprints!$E$13,CD$4&lt;=Resumen_Sprints!$E$13+Resumen_Sprints!$D$13),INDEX('Sprint N°8'!$C$8:$M$8,CD$4-Resumen_Sprints!$E$13),0)</f>
        <v>0</v>
      </c>
      <c r="CE48" s="36">
        <f>IF(AND(CE$4&gt;Resumen_Sprints!$E$13,CE$4&lt;=Resumen_Sprints!$E$13+Resumen_Sprints!$D$13),INDEX('Sprint N°8'!$C$8:$M$8,CE$4-Resumen_Sprints!$E$13),0)</f>
        <v>0</v>
      </c>
      <c r="CF48" s="36">
        <f>IF(AND(CF$4&gt;Resumen_Sprints!$E$13,CF$4&lt;=Resumen_Sprints!$E$13+Resumen_Sprints!$D$13),INDEX('Sprint N°8'!$C$8:$M$8,CF$4-Resumen_Sprints!$E$13),0)</f>
        <v>0</v>
      </c>
      <c r="CG48" s="36">
        <f>IF(AND(CG$4&gt;Resumen_Sprints!$E$13,CG$4&lt;=Resumen_Sprints!$E$13+Resumen_Sprints!$D$13),INDEX('Sprint N°8'!$C$8:$M$8,CG$4-Resumen_Sprints!$E$13),0)</f>
        <v>0</v>
      </c>
      <c r="CH48" s="36">
        <f>IF(AND(CH$4&gt;Resumen_Sprints!$E$13,CH$4&lt;=Resumen_Sprints!$E$13+Resumen_Sprints!$D$13),INDEX('Sprint N°8'!$C$8:$M$8,CH$4-Resumen_Sprints!$E$13),0)</f>
        <v>0</v>
      </c>
      <c r="CI48" s="36">
        <f>IF(AND(CI$4&gt;Resumen_Sprints!$E$13,CI$4&lt;=Resumen_Sprints!$E$13+Resumen_Sprints!$D$13),INDEX('Sprint N°8'!$C$8:$M$8,CI$4-Resumen_Sprints!$E$13),0)</f>
        <v>0</v>
      </c>
      <c r="CJ48" s="36">
        <f>IF(AND(CJ$4&gt;Resumen_Sprints!$E$13,CJ$4&lt;=Resumen_Sprints!$E$13+Resumen_Sprints!$D$13),INDEX('Sprint N°8'!$C$8:$M$8,CJ$4-Resumen_Sprints!$E$13),0)</f>
        <v>0</v>
      </c>
      <c r="CK48" s="36">
        <f>IF(AND(CK$4&gt;Resumen_Sprints!$E$13,CK$4&lt;=Resumen_Sprints!$E$13+Resumen_Sprints!$D$13),INDEX('Sprint N°8'!$C$8:$M$8,CK$4-Resumen_Sprints!$E$13),0)</f>
        <v>0</v>
      </c>
      <c r="CL48" s="36">
        <f>IF(AND(CL$4&gt;Resumen_Sprints!$E$13,CL$4&lt;=Resumen_Sprints!$E$13+Resumen_Sprints!$D$13),INDEX('Sprint N°8'!$C$8:$M$8,CL$4-Resumen_Sprints!$E$13),0)</f>
        <v>3</v>
      </c>
      <c r="CM48" s="36">
        <f>IF(AND(CM$4&gt;Resumen_Sprints!$E$13,CM$4&lt;=Resumen_Sprints!$E$13+Resumen_Sprints!$D$13),INDEX('Sprint N°8'!$C$8:$M$8,CM$4-Resumen_Sprints!$E$13),0)</f>
        <v>8</v>
      </c>
      <c r="CN48" s="36">
        <f>IF(AND(CN$4&gt;Resumen_Sprints!$E$13,CN$4&lt;=Resumen_Sprints!$E$13+Resumen_Sprints!$D$13),INDEX('Sprint N°8'!$C$8:$M$8,CN$4-Resumen_Sprints!$E$13),0)</f>
        <v>8</v>
      </c>
      <c r="CO48" s="36">
        <f>IF(AND(CO$4&gt;Resumen_Sprints!$E$13,CO$4&lt;=Resumen_Sprints!$E$13+Resumen_Sprints!$D$13),INDEX('Sprint N°8'!$C$8:$M$8,CO$4-Resumen_Sprints!$E$13),0)</f>
        <v>6</v>
      </c>
      <c r="CP48" s="36">
        <f>IF(AND(CP$4&gt;Resumen_Sprints!$E$13,CP$4&lt;=Resumen_Sprints!$E$13+Resumen_Sprints!$D$13),INDEX('Sprint N°8'!$C$8:$M$8,CP$4-Resumen_Sprints!$E$13),0)</f>
        <v>5</v>
      </c>
      <c r="CQ48" s="36">
        <f>IF(AND(CQ$4&gt;Resumen_Sprints!$E$13,CQ$4&lt;=Resumen_Sprints!$E$13+Resumen_Sprints!$D$13),INDEX('Sprint N°8'!$C$8:$M$8,CQ$4-Resumen_Sprints!$E$13),0)</f>
        <v>0</v>
      </c>
      <c r="CR48" s="36">
        <f>IF(AND(CR$4&gt;Resumen_Sprints!$E$13,CR$4&lt;=Resumen_Sprints!$E$13+Resumen_Sprints!$D$13),INDEX('Sprint N°8'!$C$8:$M$8,CR$4-Resumen_Sprints!$E$13),0)</f>
        <v>0</v>
      </c>
      <c r="CS48" s="36">
        <f>IF(AND(CS$4&gt;Resumen_Sprints!$E$13,CS$4&lt;=Resumen_Sprints!$E$13+Resumen_Sprints!$D$13),INDEX('Sprint N°8'!$C$8:$M$8,CS$4-Resumen_Sprints!$E$13),0)</f>
        <v>0</v>
      </c>
      <c r="CT48" s="36">
        <f>IF(AND(CT$4&gt;Resumen_Sprints!$E$13,CT$4&lt;=Resumen_Sprints!$E$13+Resumen_Sprints!$D$13),INDEX('Sprint N°8'!$C$8:$M$8,CT$4-Resumen_Sprints!$E$13),0)</f>
        <v>0</v>
      </c>
      <c r="CU48" s="10">
        <f>SUM(C48:CT48)</f>
        <v>30</v>
      </c>
    </row>
    <row r="49" spans="1:99" x14ac:dyDescent="0.3">
      <c r="A49" s="22" t="str">
        <f>'Sprint N°8'!A9</f>
        <v>Capacitación y Entrega</v>
      </c>
      <c r="B49" s="22">
        <f>'Sprint N°8'!B9</f>
        <v>7</v>
      </c>
      <c r="C49" s="36">
        <f>IF(AND(C$4&gt;Resumen_Sprints!$E$13,C$4&lt;=Resumen_Sprints!$E$13+Resumen_Sprints!$D$13),INDEX('Sprint N°8'!$C$9:$M$9,C$4-Resumen_Sprints!$E$13),0)</f>
        <v>0</v>
      </c>
      <c r="D49" s="36">
        <f>IF(AND(D$4&gt;Resumen_Sprints!$E$13,D$4&lt;=Resumen_Sprints!$E$13+Resumen_Sprints!$D$13),INDEX('Sprint N°8'!$C$9:$M$9,D$4-Resumen_Sprints!$E$13),0)</f>
        <v>0</v>
      </c>
      <c r="E49" s="36">
        <f>IF(AND(E$4&gt;Resumen_Sprints!$E$13,E$4&lt;=Resumen_Sprints!$E$13+Resumen_Sprints!$D$13),INDEX('Sprint N°8'!$C$9:$M$9,E$4-Resumen_Sprints!$E$13),0)</f>
        <v>0</v>
      </c>
      <c r="F49" s="36">
        <f>IF(AND(F$4&gt;Resumen_Sprints!$E$13,F$4&lt;=Resumen_Sprints!$E$13+Resumen_Sprints!$D$13),INDEX('Sprint N°8'!$C$9:$M$9,F$4-Resumen_Sprints!$E$13),0)</f>
        <v>0</v>
      </c>
      <c r="G49" s="36">
        <f>IF(AND(G$4&gt;Resumen_Sprints!$E$13,G$4&lt;=Resumen_Sprints!$E$13+Resumen_Sprints!$D$13),INDEX('Sprint N°8'!$C$9:$M$9,G$4-Resumen_Sprints!$E$13),0)</f>
        <v>0</v>
      </c>
      <c r="H49" s="36">
        <f>IF(AND(H$4&gt;Resumen_Sprints!$E$13,H$4&lt;=Resumen_Sprints!$E$13+Resumen_Sprints!$D$13),INDEX('Sprint N°8'!$C$9:$M$9,H$4-Resumen_Sprints!$E$13),0)</f>
        <v>0</v>
      </c>
      <c r="I49" s="36">
        <f>IF(AND(I$4&gt;Resumen_Sprints!$E$13,I$4&lt;=Resumen_Sprints!$E$13+Resumen_Sprints!$D$13),INDEX('Sprint N°8'!$C$9:$M$9,I$4-Resumen_Sprints!$E$13),0)</f>
        <v>0</v>
      </c>
      <c r="J49" s="36">
        <f>IF(AND(J$4&gt;Resumen_Sprints!$E$13,J$4&lt;=Resumen_Sprints!$E$13+Resumen_Sprints!$D$13),INDEX('Sprint N°8'!$C$9:$M$9,J$4-Resumen_Sprints!$E$13),0)</f>
        <v>0</v>
      </c>
      <c r="K49" s="36">
        <f>IF(AND(K$4&gt;Resumen_Sprints!$E$13,K$4&lt;=Resumen_Sprints!$E$13+Resumen_Sprints!$D$13),INDEX('Sprint N°8'!$C$9:$M$9,K$4-Resumen_Sprints!$E$13),0)</f>
        <v>0</v>
      </c>
      <c r="L49" s="36">
        <f>IF(AND(L$4&gt;Resumen_Sprints!$E$13,L$4&lt;=Resumen_Sprints!$E$13+Resumen_Sprints!$D$13),INDEX('Sprint N°8'!$C$9:$M$9,L$4-Resumen_Sprints!$E$13),0)</f>
        <v>0</v>
      </c>
      <c r="M49" s="36">
        <f>IF(AND(M$4&gt;Resumen_Sprints!$E$13,M$4&lt;=Resumen_Sprints!$E$13+Resumen_Sprints!$D$13),INDEX('Sprint N°8'!$C$9:$M$9,M$4-Resumen_Sprints!$E$13),0)</f>
        <v>0</v>
      </c>
      <c r="N49" s="36">
        <f>IF(AND(N$4&gt;Resumen_Sprints!$E$13,N$4&lt;=Resumen_Sprints!$E$13+Resumen_Sprints!$D$13),INDEX('Sprint N°8'!$C$9:$M$9,N$4-Resumen_Sprints!$E$13),0)</f>
        <v>0</v>
      </c>
      <c r="O49" s="36">
        <f>IF(AND(O$4&gt;Resumen_Sprints!$E$13,O$4&lt;=Resumen_Sprints!$E$13+Resumen_Sprints!$D$13),INDEX('Sprint N°8'!$C$9:$M$9,O$4-Resumen_Sprints!$E$13),0)</f>
        <v>0</v>
      </c>
      <c r="P49" s="36">
        <f>IF(AND(P$4&gt;Resumen_Sprints!$E$13,P$4&lt;=Resumen_Sprints!$E$13+Resumen_Sprints!$D$13),INDEX('Sprint N°8'!$C$9:$M$9,P$4-Resumen_Sprints!$E$13),0)</f>
        <v>0</v>
      </c>
      <c r="Q49" s="36">
        <f>IF(AND(Q$4&gt;Resumen_Sprints!$E$13,Q$4&lt;=Resumen_Sprints!$E$13+Resumen_Sprints!$D$13),INDEX('Sprint N°8'!$C$9:$M$9,Q$4-Resumen_Sprints!$E$13),0)</f>
        <v>0</v>
      </c>
      <c r="R49" s="36">
        <f>IF(AND(R$4&gt;Resumen_Sprints!$E$13,R$4&lt;=Resumen_Sprints!$E$13+Resumen_Sprints!$D$13),INDEX('Sprint N°8'!$C$9:$M$9,R$4-Resumen_Sprints!$E$13),0)</f>
        <v>0</v>
      </c>
      <c r="S49" s="36">
        <f>IF(AND(S$4&gt;Resumen_Sprints!$E$13,S$4&lt;=Resumen_Sprints!$E$13+Resumen_Sprints!$D$13),INDEX('Sprint N°8'!$C$9:$M$9,S$4-Resumen_Sprints!$E$13),0)</f>
        <v>0</v>
      </c>
      <c r="T49" s="36">
        <f>IF(AND(T$4&gt;Resumen_Sprints!$E$13,T$4&lt;=Resumen_Sprints!$E$13+Resumen_Sprints!$D$13),INDEX('Sprint N°8'!$C$9:$M$9,T$4-Resumen_Sprints!$E$13),0)</f>
        <v>0</v>
      </c>
      <c r="U49" s="36">
        <f>IF(AND(U$4&gt;Resumen_Sprints!$E$13,U$4&lt;=Resumen_Sprints!$E$13+Resumen_Sprints!$D$13),INDEX('Sprint N°8'!$C$9:$M$9,U$4-Resumen_Sprints!$E$13),0)</f>
        <v>0</v>
      </c>
      <c r="V49" s="36">
        <f>IF(AND(V$4&gt;Resumen_Sprints!$E$13,V$4&lt;=Resumen_Sprints!$E$13+Resumen_Sprints!$D$13),INDEX('Sprint N°8'!$C$9:$M$9,V$4-Resumen_Sprints!$E$13),0)</f>
        <v>0</v>
      </c>
      <c r="W49" s="36">
        <f>IF(AND(W$4&gt;Resumen_Sprints!$E$13,W$4&lt;=Resumen_Sprints!$E$13+Resumen_Sprints!$D$13),INDEX('Sprint N°8'!$C$9:$M$9,W$4-Resumen_Sprints!$E$13),0)</f>
        <v>0</v>
      </c>
      <c r="X49" s="36">
        <f>IF(AND(X$4&gt;Resumen_Sprints!$E$13,X$4&lt;=Resumen_Sprints!$E$13+Resumen_Sprints!$D$13),INDEX('Sprint N°8'!$C$9:$M$9,X$4-Resumen_Sprints!$E$13),0)</f>
        <v>0</v>
      </c>
      <c r="Y49" s="36">
        <f>IF(AND(Y$4&gt;Resumen_Sprints!$E$13,Y$4&lt;=Resumen_Sprints!$E$13+Resumen_Sprints!$D$13),INDEX('Sprint N°8'!$C$9:$M$9,Y$4-Resumen_Sprints!$E$13),0)</f>
        <v>0</v>
      </c>
      <c r="Z49" s="36">
        <f>IF(AND(Z$4&gt;Resumen_Sprints!$E$13,Z$4&lt;=Resumen_Sprints!$E$13+Resumen_Sprints!$D$13),INDEX('Sprint N°8'!$C$9:$M$9,Z$4-Resumen_Sprints!$E$13),0)</f>
        <v>0</v>
      </c>
      <c r="AA49" s="36">
        <f>IF(AND(AA$4&gt;Resumen_Sprints!$E$13,AA$4&lt;=Resumen_Sprints!$E$13+Resumen_Sprints!$D$13),INDEX('Sprint N°8'!$C$9:$M$9,AA$4-Resumen_Sprints!$E$13),0)</f>
        <v>0</v>
      </c>
      <c r="AB49" s="36">
        <f>IF(AND(AB$4&gt;Resumen_Sprints!$E$13,AB$4&lt;=Resumen_Sprints!$E$13+Resumen_Sprints!$D$13),INDEX('Sprint N°8'!$C$9:$M$9,AB$4-Resumen_Sprints!$E$13),0)</f>
        <v>0</v>
      </c>
      <c r="AC49" s="36">
        <f>IF(AND(AC$4&gt;Resumen_Sprints!$E$13,AC$4&lt;=Resumen_Sprints!$E$13+Resumen_Sprints!$D$13),INDEX('Sprint N°8'!$C$9:$M$9,AC$4-Resumen_Sprints!$E$13),0)</f>
        <v>0</v>
      </c>
      <c r="AD49" s="36">
        <f>IF(AND(AD$4&gt;Resumen_Sprints!$E$13,AD$4&lt;=Resumen_Sprints!$E$13+Resumen_Sprints!$D$13),INDEX('Sprint N°8'!$C$9:$M$9,AD$4-Resumen_Sprints!$E$13),0)</f>
        <v>0</v>
      </c>
      <c r="AE49" s="36">
        <f>IF(AND(AE$4&gt;Resumen_Sprints!$E$13,AE$4&lt;=Resumen_Sprints!$E$13+Resumen_Sprints!$D$13),INDEX('Sprint N°8'!$C$9:$M$9,AE$4-Resumen_Sprints!$E$13),0)</f>
        <v>0</v>
      </c>
      <c r="AF49" s="36">
        <f>IF(AND(AF$4&gt;Resumen_Sprints!$E$13,AF$4&lt;=Resumen_Sprints!$E$13+Resumen_Sprints!$D$13),INDEX('Sprint N°8'!$C$9:$M$9,AF$4-Resumen_Sprints!$E$13),0)</f>
        <v>0</v>
      </c>
      <c r="AG49" s="36">
        <f>IF(AND(AG$4&gt;Resumen_Sprints!$E$13,AG$4&lt;=Resumen_Sprints!$E$13+Resumen_Sprints!$D$13),INDEX('Sprint N°8'!$C$9:$M$9,AG$4-Resumen_Sprints!$E$13),0)</f>
        <v>0</v>
      </c>
      <c r="AH49" s="36">
        <f>IF(AND(AH$4&gt;Resumen_Sprints!$E$13,AH$4&lt;=Resumen_Sprints!$E$13+Resumen_Sprints!$D$13),INDEX('Sprint N°8'!$C$9:$M$9,AH$4-Resumen_Sprints!$E$13),0)</f>
        <v>0</v>
      </c>
      <c r="AI49" s="36">
        <f>IF(AND(AI$4&gt;Resumen_Sprints!$E$13,AI$4&lt;=Resumen_Sprints!$E$13+Resumen_Sprints!$D$13),INDEX('Sprint N°8'!$C$9:$M$9,AI$4-Resumen_Sprints!$E$13),0)</f>
        <v>0</v>
      </c>
      <c r="AJ49" s="36">
        <f>IF(AND(AJ$4&gt;Resumen_Sprints!$E$13,AJ$4&lt;=Resumen_Sprints!$E$13+Resumen_Sprints!$D$13),INDEX('Sprint N°8'!$C$9:$M$9,AJ$4-Resumen_Sprints!$E$13),0)</f>
        <v>0</v>
      </c>
      <c r="AK49" s="36">
        <f>IF(AND(AK$4&gt;Resumen_Sprints!$E$13,AK$4&lt;=Resumen_Sprints!$E$13+Resumen_Sprints!$D$13),INDEX('Sprint N°8'!$C$9:$M$9,AK$4-Resumen_Sprints!$E$13),0)</f>
        <v>0</v>
      </c>
      <c r="AL49" s="36">
        <f>IF(AND(AL$4&gt;Resumen_Sprints!$E$13,AL$4&lt;=Resumen_Sprints!$E$13+Resumen_Sprints!$D$13),INDEX('Sprint N°8'!$C$9:$M$9,AL$4-Resumen_Sprints!$E$13),0)</f>
        <v>0</v>
      </c>
      <c r="AM49" s="36">
        <f>IF(AND(AM$4&gt;Resumen_Sprints!$E$13,AM$4&lt;=Resumen_Sprints!$E$13+Resumen_Sprints!$D$13),INDEX('Sprint N°8'!$C$9:$M$9,AM$4-Resumen_Sprints!$E$13),0)</f>
        <v>0</v>
      </c>
      <c r="AN49" s="36">
        <f>IF(AND(AN$4&gt;Resumen_Sprints!$E$13,AN$4&lt;=Resumen_Sprints!$E$13+Resumen_Sprints!$D$13),INDEX('Sprint N°8'!$C$9:$M$9,AN$4-Resumen_Sprints!$E$13),0)</f>
        <v>0</v>
      </c>
      <c r="AO49" s="36">
        <f>IF(AND(AO$4&gt;Resumen_Sprints!$E$13,AO$4&lt;=Resumen_Sprints!$E$13+Resumen_Sprints!$D$13),INDEX('Sprint N°8'!$C$9:$M$9,AO$4-Resumen_Sprints!$E$13),0)</f>
        <v>0</v>
      </c>
      <c r="AP49" s="36">
        <f>IF(AND(AP$4&gt;Resumen_Sprints!$E$13,AP$4&lt;=Resumen_Sprints!$E$13+Resumen_Sprints!$D$13),INDEX('Sprint N°8'!$C$9:$M$9,AP$4-Resumen_Sprints!$E$13),0)</f>
        <v>0</v>
      </c>
      <c r="AQ49" s="36">
        <f>IF(AND(AQ$4&gt;Resumen_Sprints!$E$13,AQ$4&lt;=Resumen_Sprints!$E$13+Resumen_Sprints!$D$13),INDEX('Sprint N°8'!$C$9:$M$9,AQ$4-Resumen_Sprints!$E$13),0)</f>
        <v>0</v>
      </c>
      <c r="AR49" s="36">
        <f>IF(AND(AR$4&gt;Resumen_Sprints!$E$13,AR$4&lt;=Resumen_Sprints!$E$13+Resumen_Sprints!$D$13),INDEX('Sprint N°8'!$C$9:$M$9,AR$4-Resumen_Sprints!$E$13),0)</f>
        <v>0</v>
      </c>
      <c r="AS49" s="36">
        <f>IF(AND(AS$4&gt;Resumen_Sprints!$E$13,AS$4&lt;=Resumen_Sprints!$E$13+Resumen_Sprints!$D$13),INDEX('Sprint N°8'!$C$9:$M$9,AS$4-Resumen_Sprints!$E$13),0)</f>
        <v>0</v>
      </c>
      <c r="AT49" s="36">
        <f>IF(AND(AT$4&gt;Resumen_Sprints!$E$13,AT$4&lt;=Resumen_Sprints!$E$13+Resumen_Sprints!$D$13),INDEX('Sprint N°8'!$C$9:$M$9,AT$4-Resumen_Sprints!$E$13),0)</f>
        <v>0</v>
      </c>
      <c r="AU49" s="36">
        <f>IF(AND(AU$4&gt;Resumen_Sprints!$E$13,AU$4&lt;=Resumen_Sprints!$E$13+Resumen_Sprints!$D$13),INDEX('Sprint N°8'!$C$9:$M$9,AU$4-Resumen_Sprints!$E$13),0)</f>
        <v>0</v>
      </c>
      <c r="AV49" s="36">
        <f>IF(AND(AV$4&gt;Resumen_Sprints!$E$13,AV$4&lt;=Resumen_Sprints!$E$13+Resumen_Sprints!$D$13),INDEX('Sprint N°8'!$C$9:$M$9,AV$4-Resumen_Sprints!$E$13),0)</f>
        <v>0</v>
      </c>
      <c r="AW49" s="36">
        <f>IF(AND(AW$4&gt;Resumen_Sprints!$E$13,AW$4&lt;=Resumen_Sprints!$E$13+Resumen_Sprints!$D$13),INDEX('Sprint N°8'!$C$9:$M$9,AW$4-Resumen_Sprints!$E$13),0)</f>
        <v>0</v>
      </c>
      <c r="AX49" s="36">
        <f>IF(AND(AX$4&gt;Resumen_Sprints!$E$13,AX$4&lt;=Resumen_Sprints!$E$13+Resumen_Sprints!$D$13),INDEX('Sprint N°8'!$C$9:$M$9,AX$4-Resumen_Sprints!$E$13),0)</f>
        <v>0</v>
      </c>
      <c r="AY49" s="36">
        <f>IF(AND(AY$4&gt;Resumen_Sprints!$E$13,AY$4&lt;=Resumen_Sprints!$E$13+Resumen_Sprints!$D$13),INDEX('Sprint N°8'!$C$9:$M$9,AY$4-Resumen_Sprints!$E$13),0)</f>
        <v>0</v>
      </c>
      <c r="AZ49" s="36">
        <f>IF(AND(AZ$4&gt;Resumen_Sprints!$E$13,AZ$4&lt;=Resumen_Sprints!$E$13+Resumen_Sprints!$D$13),INDEX('Sprint N°8'!$C$9:$M$9,AZ$4-Resumen_Sprints!$E$13),0)</f>
        <v>0</v>
      </c>
      <c r="BA49" s="36">
        <f>IF(AND(BA$4&gt;Resumen_Sprints!$E$13,BA$4&lt;=Resumen_Sprints!$E$13+Resumen_Sprints!$D$13),INDEX('Sprint N°8'!$C$9:$M$9,BA$4-Resumen_Sprints!$E$13),0)</f>
        <v>0</v>
      </c>
      <c r="BB49" s="36">
        <f>IF(AND(BB$4&gt;Resumen_Sprints!$E$13,BB$4&lt;=Resumen_Sprints!$E$13+Resumen_Sprints!$D$13),INDEX('Sprint N°8'!$C$9:$M$9,BB$4-Resumen_Sprints!$E$13),0)</f>
        <v>0</v>
      </c>
      <c r="BC49" s="36">
        <f>IF(AND(BC$4&gt;Resumen_Sprints!$E$13,BC$4&lt;=Resumen_Sprints!$E$13+Resumen_Sprints!$D$13),INDEX('Sprint N°8'!$C$9:$M$9,BC$4-Resumen_Sprints!$E$13),0)</f>
        <v>0</v>
      </c>
      <c r="BD49" s="36">
        <f>IF(AND(BD$4&gt;Resumen_Sprints!$E$13,BD$4&lt;=Resumen_Sprints!$E$13+Resumen_Sprints!$D$13),INDEX('Sprint N°8'!$C$9:$M$9,BD$4-Resumen_Sprints!$E$13),0)</f>
        <v>0</v>
      </c>
      <c r="BE49" s="36">
        <f>IF(AND(BE$4&gt;Resumen_Sprints!$E$13,BE$4&lt;=Resumen_Sprints!$E$13+Resumen_Sprints!$D$13),INDEX('Sprint N°8'!$C$9:$M$9,BE$4-Resumen_Sprints!$E$13),0)</f>
        <v>0</v>
      </c>
      <c r="BF49" s="36">
        <f>IF(AND(BF$4&gt;Resumen_Sprints!$E$13,BF$4&lt;=Resumen_Sprints!$E$13+Resumen_Sprints!$D$13),INDEX('Sprint N°8'!$C$9:$M$9,BF$4-Resumen_Sprints!$E$13),0)</f>
        <v>0</v>
      </c>
      <c r="BG49" s="36">
        <f>IF(AND(BG$4&gt;Resumen_Sprints!$E$13,BG$4&lt;=Resumen_Sprints!$E$13+Resumen_Sprints!$D$13),INDEX('Sprint N°8'!$C$9:$M$9,BG$4-Resumen_Sprints!$E$13),0)</f>
        <v>0</v>
      </c>
      <c r="BH49" s="36">
        <f>IF(AND(BH$4&gt;Resumen_Sprints!$E$13,BH$4&lt;=Resumen_Sprints!$E$13+Resumen_Sprints!$D$13),INDEX('Sprint N°8'!$C$9:$M$9,BH$4-Resumen_Sprints!$E$13),0)</f>
        <v>0</v>
      </c>
      <c r="BI49" s="36">
        <f>IF(AND(BI$4&gt;Resumen_Sprints!$E$13,BI$4&lt;=Resumen_Sprints!$E$13+Resumen_Sprints!$D$13),INDEX('Sprint N°8'!$C$9:$M$9,BI$4-Resumen_Sprints!$E$13),0)</f>
        <v>0</v>
      </c>
      <c r="BJ49" s="36">
        <f>IF(AND(BJ$4&gt;Resumen_Sprints!$E$13,BJ$4&lt;=Resumen_Sprints!$E$13+Resumen_Sprints!$D$13),INDEX('Sprint N°8'!$C$9:$M$9,BJ$4-Resumen_Sprints!$E$13),0)</f>
        <v>0</v>
      </c>
      <c r="BK49" s="36">
        <f>IF(AND(BK$4&gt;Resumen_Sprints!$E$13,BK$4&lt;=Resumen_Sprints!$E$13+Resumen_Sprints!$D$13),INDEX('Sprint N°8'!$C$9:$M$9,BK$4-Resumen_Sprints!$E$13),0)</f>
        <v>0</v>
      </c>
      <c r="BL49" s="36">
        <f>IF(AND(BL$4&gt;Resumen_Sprints!$E$13,BL$4&lt;=Resumen_Sprints!$E$13+Resumen_Sprints!$D$13),INDEX('Sprint N°8'!$C$9:$M$9,BL$4-Resumen_Sprints!$E$13),0)</f>
        <v>0</v>
      </c>
      <c r="BM49" s="36">
        <f>IF(AND(BM$4&gt;Resumen_Sprints!$E$13,BM$4&lt;=Resumen_Sprints!$E$13+Resumen_Sprints!$D$13),INDEX('Sprint N°8'!$C$9:$M$9,BM$4-Resumen_Sprints!$E$13),0)</f>
        <v>0</v>
      </c>
      <c r="BN49" s="36">
        <f>IF(AND(BN$4&gt;Resumen_Sprints!$E$13,BN$4&lt;=Resumen_Sprints!$E$13+Resumen_Sprints!$D$13),INDEX('Sprint N°8'!$C$9:$M$9,BN$4-Resumen_Sprints!$E$13),0)</f>
        <v>0</v>
      </c>
      <c r="BO49" s="36">
        <f>IF(AND(BO$4&gt;Resumen_Sprints!$E$13,BO$4&lt;=Resumen_Sprints!$E$13+Resumen_Sprints!$D$13),INDEX('Sprint N°8'!$C$9:$M$9,BO$4-Resumen_Sprints!$E$13),0)</f>
        <v>0</v>
      </c>
      <c r="BP49" s="36">
        <f>IF(AND(BP$4&gt;Resumen_Sprints!$E$13,BP$4&lt;=Resumen_Sprints!$E$13+Resumen_Sprints!$D$13),INDEX('Sprint N°8'!$C$9:$M$9,BP$4-Resumen_Sprints!$E$13),0)</f>
        <v>0</v>
      </c>
      <c r="BQ49" s="36">
        <f>IF(AND(BQ$4&gt;Resumen_Sprints!$E$13,BQ$4&lt;=Resumen_Sprints!$E$13+Resumen_Sprints!$D$13),INDEX('Sprint N°8'!$C$9:$M$9,BQ$4-Resumen_Sprints!$E$13),0)</f>
        <v>0</v>
      </c>
      <c r="BR49" s="36">
        <f>IF(AND(BR$4&gt;Resumen_Sprints!$E$13,BR$4&lt;=Resumen_Sprints!$E$13+Resumen_Sprints!$D$13),INDEX('Sprint N°8'!$C$9:$M$9,BR$4-Resumen_Sprints!$E$13),0)</f>
        <v>0</v>
      </c>
      <c r="BS49" s="36">
        <f>IF(AND(BS$4&gt;Resumen_Sprints!$E$13,BS$4&lt;=Resumen_Sprints!$E$13+Resumen_Sprints!$D$13),INDEX('Sprint N°8'!$C$9:$M$9,BS$4-Resumen_Sprints!$E$13),0)</f>
        <v>0</v>
      </c>
      <c r="BT49" s="36">
        <f>IF(AND(BT$4&gt;Resumen_Sprints!$E$13,BT$4&lt;=Resumen_Sprints!$E$13+Resumen_Sprints!$D$13),INDEX('Sprint N°8'!$C$9:$M$9,BT$4-Resumen_Sprints!$E$13),0)</f>
        <v>0</v>
      </c>
      <c r="BU49" s="36">
        <f>IF(AND(BU$4&gt;Resumen_Sprints!$E$13,BU$4&lt;=Resumen_Sprints!$E$13+Resumen_Sprints!$D$13),INDEX('Sprint N°8'!$C$9:$M$9,BU$4-Resumen_Sprints!$E$13),0)</f>
        <v>0</v>
      </c>
      <c r="BV49" s="36">
        <f>IF(AND(BV$4&gt;Resumen_Sprints!$E$13,BV$4&lt;=Resumen_Sprints!$E$13+Resumen_Sprints!$D$13),INDEX('Sprint N°8'!$C$9:$M$9,BV$4-Resumen_Sprints!$E$13),0)</f>
        <v>0</v>
      </c>
      <c r="BW49" s="36">
        <f>IF(AND(BW$4&gt;Resumen_Sprints!$E$13,BW$4&lt;=Resumen_Sprints!$E$13+Resumen_Sprints!$D$13),INDEX('Sprint N°8'!$C$9:$M$9,BW$4-Resumen_Sprints!$E$13),0)</f>
        <v>0</v>
      </c>
      <c r="BX49" s="36">
        <f>IF(AND(BX$4&gt;Resumen_Sprints!$E$13,BX$4&lt;=Resumen_Sprints!$E$13+Resumen_Sprints!$D$13),INDEX('Sprint N°8'!$C$9:$M$9,BX$4-Resumen_Sprints!$E$13),0)</f>
        <v>0</v>
      </c>
      <c r="BY49" s="36">
        <f>IF(AND(BY$4&gt;Resumen_Sprints!$E$13,BY$4&lt;=Resumen_Sprints!$E$13+Resumen_Sprints!$D$13),INDEX('Sprint N°8'!$C$9:$M$9,BY$4-Resumen_Sprints!$E$13),0)</f>
        <v>0</v>
      </c>
      <c r="BZ49" s="36">
        <f>IF(AND(BZ$4&gt;Resumen_Sprints!$E$13,BZ$4&lt;=Resumen_Sprints!$E$13+Resumen_Sprints!$D$13),INDEX('Sprint N°8'!$C$9:$M$9,BZ$4-Resumen_Sprints!$E$13),0)</f>
        <v>0</v>
      </c>
      <c r="CA49" s="36">
        <f>IF(AND(CA$4&gt;Resumen_Sprints!$E$13,CA$4&lt;=Resumen_Sprints!$E$13+Resumen_Sprints!$D$13),INDEX('Sprint N°8'!$C$9:$M$9,CA$4-Resumen_Sprints!$E$13),0)</f>
        <v>0</v>
      </c>
      <c r="CB49" s="36">
        <f>IF(AND(CB$4&gt;Resumen_Sprints!$E$13,CB$4&lt;=Resumen_Sprints!$E$13+Resumen_Sprints!$D$13),INDEX('Sprint N°8'!$C$9:$M$9,CB$4-Resumen_Sprints!$E$13),0)</f>
        <v>0</v>
      </c>
      <c r="CC49" s="36">
        <f>IF(AND(CC$4&gt;Resumen_Sprints!$E$13,CC$4&lt;=Resumen_Sprints!$E$13+Resumen_Sprints!$D$13),INDEX('Sprint N°8'!$C$9:$M$9,CC$4-Resumen_Sprints!$E$13),0)</f>
        <v>0</v>
      </c>
      <c r="CD49" s="36">
        <f>IF(AND(CD$4&gt;Resumen_Sprints!$E$13,CD$4&lt;=Resumen_Sprints!$E$13+Resumen_Sprints!$D$13),INDEX('Sprint N°8'!$C$9:$M$9,CD$4-Resumen_Sprints!$E$13),0)</f>
        <v>0</v>
      </c>
      <c r="CE49" s="36">
        <f>IF(AND(CE$4&gt;Resumen_Sprints!$E$13,CE$4&lt;=Resumen_Sprints!$E$13+Resumen_Sprints!$D$13),INDEX('Sprint N°8'!$C$9:$M$9,CE$4-Resumen_Sprints!$E$13),0)</f>
        <v>0</v>
      </c>
      <c r="CF49" s="36">
        <f>IF(AND(CF$4&gt;Resumen_Sprints!$E$13,CF$4&lt;=Resumen_Sprints!$E$13+Resumen_Sprints!$D$13),INDEX('Sprint N°8'!$C$9:$M$9,CF$4-Resumen_Sprints!$E$13),0)</f>
        <v>0</v>
      </c>
      <c r="CG49" s="36">
        <f>IF(AND(CG$4&gt;Resumen_Sprints!$E$13,CG$4&lt;=Resumen_Sprints!$E$13+Resumen_Sprints!$D$13),INDEX('Sprint N°8'!$C$9:$M$9,CG$4-Resumen_Sprints!$E$13),0)</f>
        <v>0</v>
      </c>
      <c r="CH49" s="36">
        <f>IF(AND(CH$4&gt;Resumen_Sprints!$E$13,CH$4&lt;=Resumen_Sprints!$E$13+Resumen_Sprints!$D$13),INDEX('Sprint N°8'!$C$9:$M$9,CH$4-Resumen_Sprints!$E$13),0)</f>
        <v>0</v>
      </c>
      <c r="CI49" s="36">
        <f>IF(AND(CI$4&gt;Resumen_Sprints!$E$13,CI$4&lt;=Resumen_Sprints!$E$13+Resumen_Sprints!$D$13),INDEX('Sprint N°8'!$C$9:$M$9,CI$4-Resumen_Sprints!$E$13),0)</f>
        <v>0</v>
      </c>
      <c r="CJ49" s="36">
        <f>IF(AND(CJ$4&gt;Resumen_Sprints!$E$13,CJ$4&lt;=Resumen_Sprints!$E$13+Resumen_Sprints!$D$13),INDEX('Sprint N°8'!$C$9:$M$9,CJ$4-Resumen_Sprints!$E$13),0)</f>
        <v>0</v>
      </c>
      <c r="CK49" s="36">
        <f>IF(AND(CK$4&gt;Resumen_Sprints!$E$13,CK$4&lt;=Resumen_Sprints!$E$13+Resumen_Sprints!$D$13),INDEX('Sprint N°8'!$C$9:$M$9,CK$4-Resumen_Sprints!$E$13),0)</f>
        <v>0</v>
      </c>
      <c r="CL49" s="36">
        <f>IF(AND(CL$4&gt;Resumen_Sprints!$E$13,CL$4&lt;=Resumen_Sprints!$E$13+Resumen_Sprints!$D$13),INDEX('Sprint N°8'!$C$9:$M$9,CL$4-Resumen_Sprints!$E$13),0)</f>
        <v>0</v>
      </c>
      <c r="CM49" s="36">
        <f>IF(AND(CM$4&gt;Resumen_Sprints!$E$13,CM$4&lt;=Resumen_Sprints!$E$13+Resumen_Sprints!$D$13),INDEX('Sprint N°8'!$C$9:$M$9,CM$4-Resumen_Sprints!$E$13),0)</f>
        <v>0</v>
      </c>
      <c r="CN49" s="36">
        <f>IF(AND(CN$4&gt;Resumen_Sprints!$E$13,CN$4&lt;=Resumen_Sprints!$E$13+Resumen_Sprints!$D$13),INDEX('Sprint N°8'!$C$9:$M$9,CN$4-Resumen_Sprints!$E$13),0)</f>
        <v>0</v>
      </c>
      <c r="CO49" s="36">
        <f>IF(AND(CO$4&gt;Resumen_Sprints!$E$13,CO$4&lt;=Resumen_Sprints!$E$13+Resumen_Sprints!$D$13),INDEX('Sprint N°8'!$C$9:$M$9,CO$4-Resumen_Sprints!$E$13),0)</f>
        <v>0</v>
      </c>
      <c r="CP49" s="36">
        <f>IF(AND(CP$4&gt;Resumen_Sprints!$E$13,CP$4&lt;=Resumen_Sprints!$E$13+Resumen_Sprints!$D$13),INDEX('Sprint N°8'!$C$9:$M$9,CP$4-Resumen_Sprints!$E$13),0)</f>
        <v>4</v>
      </c>
      <c r="CQ49" s="36">
        <f>IF(AND(CQ$4&gt;Resumen_Sprints!$E$13,CQ$4&lt;=Resumen_Sprints!$E$13+Resumen_Sprints!$D$13),INDEX('Sprint N°8'!$C$9:$M$9,CQ$4-Resumen_Sprints!$E$13),0)</f>
        <v>7</v>
      </c>
      <c r="CR49" s="36">
        <f>IF(AND(CR$4&gt;Resumen_Sprints!$E$13,CR$4&lt;=Resumen_Sprints!$E$13+Resumen_Sprints!$D$13),INDEX('Sprint N°8'!$C$9:$M$9,CR$4-Resumen_Sprints!$E$13),0)</f>
        <v>0</v>
      </c>
      <c r="CS49" s="36">
        <f>IF(AND(CS$4&gt;Resumen_Sprints!$E$13,CS$4&lt;=Resumen_Sprints!$E$13+Resumen_Sprints!$D$13),INDEX('Sprint N°8'!$C$9:$M$9,CS$4-Resumen_Sprints!$E$13),0)</f>
        <v>0</v>
      </c>
      <c r="CT49" s="36">
        <f>IF(AND(CT$4&gt;Resumen_Sprints!$E$13,CT$4&lt;=Resumen_Sprints!$E$13+Resumen_Sprints!$D$13),INDEX('Sprint N°8'!$C$9:$M$9,CT$4-Resumen_Sprints!$E$13),0)</f>
        <v>0</v>
      </c>
      <c r="CU49" s="10">
        <f>SUM(C49:CT49)</f>
        <v>11</v>
      </c>
    </row>
    <row r="50" spans="1:99" x14ac:dyDescent="0.3">
      <c r="A50" s="29" t="str">
        <f>'Sprint N°8'!A10</f>
        <v>Cierre de Proyecto</v>
      </c>
      <c r="B50" s="22">
        <f>'Sprint N°8'!B10</f>
        <v>6</v>
      </c>
      <c r="C50" s="37">
        <f>IF(AND(C$4&gt;Resumen_Sprints!$E$13,C$4&lt;=Resumen_Sprints!$E$13+Resumen_Sprints!$D$13),INDEX('Sprint N°8'!$C$10:$M$10,C$4-Resumen_Sprints!$E$13),0)</f>
        <v>0</v>
      </c>
      <c r="D50" s="37">
        <f>IF(AND(D$4&gt;Resumen_Sprints!$E$13,D$4&lt;=Resumen_Sprints!$E$13+Resumen_Sprints!$D$13),INDEX('Sprint N°8'!$C$10:$M$10,D$4-Resumen_Sprints!$E$13),0)</f>
        <v>0</v>
      </c>
      <c r="E50" s="37">
        <f>IF(AND(E$4&gt;Resumen_Sprints!$E$13,E$4&lt;=Resumen_Sprints!$E$13+Resumen_Sprints!$D$13),INDEX('Sprint N°8'!$C$10:$M$10,E$4-Resumen_Sprints!$E$13),0)</f>
        <v>0</v>
      </c>
      <c r="F50" s="37">
        <f>IF(AND(F$4&gt;Resumen_Sprints!$E$13,F$4&lt;=Resumen_Sprints!$E$13+Resumen_Sprints!$D$13),INDEX('Sprint N°8'!$C$10:$M$10,F$4-Resumen_Sprints!$E$13),0)</f>
        <v>0</v>
      </c>
      <c r="G50" s="37">
        <f>IF(AND(G$4&gt;Resumen_Sprints!$E$13,G$4&lt;=Resumen_Sprints!$E$13+Resumen_Sprints!$D$13),INDEX('Sprint N°8'!$C$10:$M$10,G$4-Resumen_Sprints!$E$13),0)</f>
        <v>0</v>
      </c>
      <c r="H50" s="37">
        <f>IF(AND(H$4&gt;Resumen_Sprints!$E$13,H$4&lt;=Resumen_Sprints!$E$13+Resumen_Sprints!$D$13),INDEX('Sprint N°8'!$C$10:$M$10,H$4-Resumen_Sprints!$E$13),0)</f>
        <v>0</v>
      </c>
      <c r="I50" s="37">
        <f>IF(AND(I$4&gt;Resumen_Sprints!$E$13,I$4&lt;=Resumen_Sprints!$E$13+Resumen_Sprints!$D$13),INDEX('Sprint N°8'!$C$10:$M$10,I$4-Resumen_Sprints!$E$13),0)</f>
        <v>0</v>
      </c>
      <c r="J50" s="37">
        <f>IF(AND(J$4&gt;Resumen_Sprints!$E$13,J$4&lt;=Resumen_Sprints!$E$13+Resumen_Sprints!$D$13),INDEX('Sprint N°8'!$C$10:$M$10,J$4-Resumen_Sprints!$E$13),0)</f>
        <v>0</v>
      </c>
      <c r="K50" s="37">
        <f>IF(AND(K$4&gt;Resumen_Sprints!$E$13,K$4&lt;=Resumen_Sprints!$E$13+Resumen_Sprints!$D$13),INDEX('Sprint N°8'!$C$10:$M$10,K$4-Resumen_Sprints!$E$13),0)</f>
        <v>0</v>
      </c>
      <c r="L50" s="37">
        <f>IF(AND(L$4&gt;Resumen_Sprints!$E$13,L$4&lt;=Resumen_Sprints!$E$13+Resumen_Sprints!$D$13),INDEX('Sprint N°8'!$C$10:$M$10,L$4-Resumen_Sprints!$E$13),0)</f>
        <v>0</v>
      </c>
      <c r="M50" s="37">
        <f>IF(AND(M$4&gt;Resumen_Sprints!$E$13,M$4&lt;=Resumen_Sprints!$E$13+Resumen_Sprints!$D$13),INDEX('Sprint N°8'!$C$10:$M$10,M$4-Resumen_Sprints!$E$13),0)</f>
        <v>0</v>
      </c>
      <c r="N50" s="37">
        <f>IF(AND(N$4&gt;Resumen_Sprints!$E$13,N$4&lt;=Resumen_Sprints!$E$13+Resumen_Sprints!$D$13),INDEX('Sprint N°8'!$C$10:$M$10,N$4-Resumen_Sprints!$E$13),0)</f>
        <v>0</v>
      </c>
      <c r="O50" s="37">
        <f>IF(AND(O$4&gt;Resumen_Sprints!$E$13,O$4&lt;=Resumen_Sprints!$E$13+Resumen_Sprints!$D$13),INDEX('Sprint N°8'!$C$10:$M$10,O$4-Resumen_Sprints!$E$13),0)</f>
        <v>0</v>
      </c>
      <c r="P50" s="37">
        <f>IF(AND(P$4&gt;Resumen_Sprints!$E$13,P$4&lt;=Resumen_Sprints!$E$13+Resumen_Sprints!$D$13),INDEX('Sprint N°8'!$C$10:$M$10,P$4-Resumen_Sprints!$E$13),0)</f>
        <v>0</v>
      </c>
      <c r="Q50" s="37">
        <f>IF(AND(Q$4&gt;Resumen_Sprints!$E$13,Q$4&lt;=Resumen_Sprints!$E$13+Resumen_Sprints!$D$13),INDEX('Sprint N°8'!$C$10:$M$10,Q$4-Resumen_Sprints!$E$13),0)</f>
        <v>0</v>
      </c>
      <c r="R50" s="37">
        <f>IF(AND(R$4&gt;Resumen_Sprints!$E$13,R$4&lt;=Resumen_Sprints!$E$13+Resumen_Sprints!$D$13),INDEX('Sprint N°8'!$C$10:$M$10,R$4-Resumen_Sprints!$E$13),0)</f>
        <v>0</v>
      </c>
      <c r="S50" s="37">
        <f>IF(AND(S$4&gt;Resumen_Sprints!$E$13,S$4&lt;=Resumen_Sprints!$E$13+Resumen_Sprints!$D$13),INDEX('Sprint N°8'!$C$10:$M$10,S$4-Resumen_Sprints!$E$13),0)</f>
        <v>0</v>
      </c>
      <c r="T50" s="37">
        <f>IF(AND(T$4&gt;Resumen_Sprints!$E$13,T$4&lt;=Resumen_Sprints!$E$13+Resumen_Sprints!$D$13),INDEX('Sprint N°8'!$C$10:$M$10,T$4-Resumen_Sprints!$E$13),0)</f>
        <v>0</v>
      </c>
      <c r="U50" s="37">
        <f>IF(AND(U$4&gt;Resumen_Sprints!$E$13,U$4&lt;=Resumen_Sprints!$E$13+Resumen_Sprints!$D$13),INDEX('Sprint N°8'!$C$10:$M$10,U$4-Resumen_Sprints!$E$13),0)</f>
        <v>0</v>
      </c>
      <c r="V50" s="37">
        <f>IF(AND(V$4&gt;Resumen_Sprints!$E$13,V$4&lt;=Resumen_Sprints!$E$13+Resumen_Sprints!$D$13),INDEX('Sprint N°8'!$C$10:$M$10,V$4-Resumen_Sprints!$E$13),0)</f>
        <v>0</v>
      </c>
      <c r="W50" s="37">
        <f>IF(AND(W$4&gt;Resumen_Sprints!$E$13,W$4&lt;=Resumen_Sprints!$E$13+Resumen_Sprints!$D$13),INDEX('Sprint N°8'!$C$10:$M$10,W$4-Resumen_Sprints!$E$13),0)</f>
        <v>0</v>
      </c>
      <c r="X50" s="37">
        <f>IF(AND(X$4&gt;Resumen_Sprints!$E$13,X$4&lt;=Resumen_Sprints!$E$13+Resumen_Sprints!$D$13),INDEX('Sprint N°8'!$C$10:$M$10,X$4-Resumen_Sprints!$E$13),0)</f>
        <v>0</v>
      </c>
      <c r="Y50" s="37">
        <f>IF(AND(Y$4&gt;Resumen_Sprints!$E$13,Y$4&lt;=Resumen_Sprints!$E$13+Resumen_Sprints!$D$13),INDEX('Sprint N°8'!$C$10:$M$10,Y$4-Resumen_Sprints!$E$13),0)</f>
        <v>0</v>
      </c>
      <c r="Z50" s="37">
        <f>IF(AND(Z$4&gt;Resumen_Sprints!$E$13,Z$4&lt;=Resumen_Sprints!$E$13+Resumen_Sprints!$D$13),INDEX('Sprint N°8'!$C$10:$M$10,Z$4-Resumen_Sprints!$E$13),0)</f>
        <v>0</v>
      </c>
      <c r="AA50" s="37">
        <f>IF(AND(AA$4&gt;Resumen_Sprints!$E$13,AA$4&lt;=Resumen_Sprints!$E$13+Resumen_Sprints!$D$13),INDEX('Sprint N°8'!$C$10:$M$10,AA$4-Resumen_Sprints!$E$13),0)</f>
        <v>0</v>
      </c>
      <c r="AB50" s="37">
        <f>IF(AND(AB$4&gt;Resumen_Sprints!$E$13,AB$4&lt;=Resumen_Sprints!$E$13+Resumen_Sprints!$D$13),INDEX('Sprint N°8'!$C$10:$M$10,AB$4-Resumen_Sprints!$E$13),0)</f>
        <v>0</v>
      </c>
      <c r="AC50" s="37">
        <f>IF(AND(AC$4&gt;Resumen_Sprints!$E$13,AC$4&lt;=Resumen_Sprints!$E$13+Resumen_Sprints!$D$13),INDEX('Sprint N°8'!$C$10:$M$10,AC$4-Resumen_Sprints!$E$13),0)</f>
        <v>0</v>
      </c>
      <c r="AD50" s="37">
        <f>IF(AND(AD$4&gt;Resumen_Sprints!$E$13,AD$4&lt;=Resumen_Sprints!$E$13+Resumen_Sprints!$D$13),INDEX('Sprint N°8'!$C$10:$M$10,AD$4-Resumen_Sprints!$E$13),0)</f>
        <v>0</v>
      </c>
      <c r="AE50" s="37">
        <f>IF(AND(AE$4&gt;Resumen_Sprints!$E$13,AE$4&lt;=Resumen_Sprints!$E$13+Resumen_Sprints!$D$13),INDEX('Sprint N°8'!$C$10:$M$10,AE$4-Resumen_Sprints!$E$13),0)</f>
        <v>0</v>
      </c>
      <c r="AF50" s="37">
        <f>IF(AND(AF$4&gt;Resumen_Sprints!$E$13,AF$4&lt;=Resumen_Sprints!$E$13+Resumen_Sprints!$D$13),INDEX('Sprint N°8'!$C$10:$M$10,AF$4-Resumen_Sprints!$E$13),0)</f>
        <v>0</v>
      </c>
      <c r="AG50" s="37">
        <f>IF(AND(AG$4&gt;Resumen_Sprints!$E$13,AG$4&lt;=Resumen_Sprints!$E$13+Resumen_Sprints!$D$13),INDEX('Sprint N°8'!$C$10:$M$10,AG$4-Resumen_Sprints!$E$13),0)</f>
        <v>0</v>
      </c>
      <c r="AH50" s="37">
        <f>IF(AND(AH$4&gt;Resumen_Sprints!$E$13,AH$4&lt;=Resumen_Sprints!$E$13+Resumen_Sprints!$D$13),INDEX('Sprint N°8'!$C$10:$M$10,AH$4-Resumen_Sprints!$E$13),0)</f>
        <v>0</v>
      </c>
      <c r="AI50" s="37">
        <f>IF(AND(AI$4&gt;Resumen_Sprints!$E$13,AI$4&lt;=Resumen_Sprints!$E$13+Resumen_Sprints!$D$13),INDEX('Sprint N°8'!$C$10:$M$10,AI$4-Resumen_Sprints!$E$13),0)</f>
        <v>0</v>
      </c>
      <c r="AJ50" s="37">
        <f>IF(AND(AJ$4&gt;Resumen_Sprints!$E$13,AJ$4&lt;=Resumen_Sprints!$E$13+Resumen_Sprints!$D$13),INDEX('Sprint N°8'!$C$10:$M$10,AJ$4-Resumen_Sprints!$E$13),0)</f>
        <v>0</v>
      </c>
      <c r="AK50" s="37">
        <f>IF(AND(AK$4&gt;Resumen_Sprints!$E$13,AK$4&lt;=Resumen_Sprints!$E$13+Resumen_Sprints!$D$13),INDEX('Sprint N°8'!$C$10:$M$10,AK$4-Resumen_Sprints!$E$13),0)</f>
        <v>0</v>
      </c>
      <c r="AL50" s="37">
        <f>IF(AND(AL$4&gt;Resumen_Sprints!$E$13,AL$4&lt;=Resumen_Sprints!$E$13+Resumen_Sprints!$D$13),INDEX('Sprint N°8'!$C$10:$M$10,AL$4-Resumen_Sprints!$E$13),0)</f>
        <v>0</v>
      </c>
      <c r="AM50" s="37">
        <f>IF(AND(AM$4&gt;Resumen_Sprints!$E$13,AM$4&lt;=Resumen_Sprints!$E$13+Resumen_Sprints!$D$13),INDEX('Sprint N°8'!$C$10:$M$10,AM$4-Resumen_Sprints!$E$13),0)</f>
        <v>0</v>
      </c>
      <c r="AN50" s="37">
        <f>IF(AND(AN$4&gt;Resumen_Sprints!$E$13,AN$4&lt;=Resumen_Sprints!$E$13+Resumen_Sprints!$D$13),INDEX('Sprint N°8'!$C$10:$M$10,AN$4-Resumen_Sprints!$E$13),0)</f>
        <v>0</v>
      </c>
      <c r="AO50" s="37">
        <f>IF(AND(AO$4&gt;Resumen_Sprints!$E$13,AO$4&lt;=Resumen_Sprints!$E$13+Resumen_Sprints!$D$13),INDEX('Sprint N°8'!$C$10:$M$10,AO$4-Resumen_Sprints!$E$13),0)</f>
        <v>0</v>
      </c>
      <c r="AP50" s="37">
        <f>IF(AND(AP$4&gt;Resumen_Sprints!$E$13,AP$4&lt;=Resumen_Sprints!$E$13+Resumen_Sprints!$D$13),INDEX('Sprint N°8'!$C$10:$M$10,AP$4-Resumen_Sprints!$E$13),0)</f>
        <v>0</v>
      </c>
      <c r="AQ50" s="37">
        <f>IF(AND(AQ$4&gt;Resumen_Sprints!$E$13,AQ$4&lt;=Resumen_Sprints!$E$13+Resumen_Sprints!$D$13),INDEX('Sprint N°8'!$C$10:$M$10,AQ$4-Resumen_Sprints!$E$13),0)</f>
        <v>0</v>
      </c>
      <c r="AR50" s="37">
        <f>IF(AND(AR$4&gt;Resumen_Sprints!$E$13,AR$4&lt;=Resumen_Sprints!$E$13+Resumen_Sprints!$D$13),INDEX('Sprint N°8'!$C$10:$M$10,AR$4-Resumen_Sprints!$E$13),0)</f>
        <v>0</v>
      </c>
      <c r="AS50" s="37">
        <f>IF(AND(AS$4&gt;Resumen_Sprints!$E$13,AS$4&lt;=Resumen_Sprints!$E$13+Resumen_Sprints!$D$13),INDEX('Sprint N°8'!$C$10:$M$10,AS$4-Resumen_Sprints!$E$13),0)</f>
        <v>0</v>
      </c>
      <c r="AT50" s="37">
        <f>IF(AND(AT$4&gt;Resumen_Sprints!$E$13,AT$4&lt;=Resumen_Sprints!$E$13+Resumen_Sprints!$D$13),INDEX('Sprint N°8'!$C$10:$M$10,AT$4-Resumen_Sprints!$E$13),0)</f>
        <v>0</v>
      </c>
      <c r="AU50" s="37">
        <f>IF(AND(AU$4&gt;Resumen_Sprints!$E$13,AU$4&lt;=Resumen_Sprints!$E$13+Resumen_Sprints!$D$13),INDEX('Sprint N°8'!$C$10:$M$10,AU$4-Resumen_Sprints!$E$13),0)</f>
        <v>0</v>
      </c>
      <c r="AV50" s="37">
        <f>IF(AND(AV$4&gt;Resumen_Sprints!$E$13,AV$4&lt;=Resumen_Sprints!$E$13+Resumen_Sprints!$D$13),INDEX('Sprint N°8'!$C$10:$M$10,AV$4-Resumen_Sprints!$E$13),0)</f>
        <v>0</v>
      </c>
      <c r="AW50" s="37">
        <f>IF(AND(AW$4&gt;Resumen_Sprints!$E$13,AW$4&lt;=Resumen_Sprints!$E$13+Resumen_Sprints!$D$13),INDEX('Sprint N°8'!$C$10:$M$10,AW$4-Resumen_Sprints!$E$13),0)</f>
        <v>0</v>
      </c>
      <c r="AX50" s="37">
        <f>IF(AND(AX$4&gt;Resumen_Sprints!$E$13,AX$4&lt;=Resumen_Sprints!$E$13+Resumen_Sprints!$D$13),INDEX('Sprint N°8'!$C$10:$M$10,AX$4-Resumen_Sprints!$E$13),0)</f>
        <v>0</v>
      </c>
      <c r="AY50" s="37">
        <f>IF(AND(AY$4&gt;Resumen_Sprints!$E$13,AY$4&lt;=Resumen_Sprints!$E$13+Resumen_Sprints!$D$13),INDEX('Sprint N°8'!$C$10:$M$10,AY$4-Resumen_Sprints!$E$13),0)</f>
        <v>0</v>
      </c>
      <c r="AZ50" s="37">
        <f>IF(AND(AZ$4&gt;Resumen_Sprints!$E$13,AZ$4&lt;=Resumen_Sprints!$E$13+Resumen_Sprints!$D$13),INDEX('Sprint N°8'!$C$10:$M$10,AZ$4-Resumen_Sprints!$E$13),0)</f>
        <v>0</v>
      </c>
      <c r="BA50" s="37">
        <f>IF(AND(BA$4&gt;Resumen_Sprints!$E$13,BA$4&lt;=Resumen_Sprints!$E$13+Resumen_Sprints!$D$13),INDEX('Sprint N°8'!$C$10:$M$10,BA$4-Resumen_Sprints!$E$13),0)</f>
        <v>0</v>
      </c>
      <c r="BB50" s="37">
        <f>IF(AND(BB$4&gt;Resumen_Sprints!$E$13,BB$4&lt;=Resumen_Sprints!$E$13+Resumen_Sprints!$D$13),INDEX('Sprint N°8'!$C$10:$M$10,BB$4-Resumen_Sprints!$E$13),0)</f>
        <v>0</v>
      </c>
      <c r="BC50" s="37">
        <f>IF(AND(BC$4&gt;Resumen_Sprints!$E$13,BC$4&lt;=Resumen_Sprints!$E$13+Resumen_Sprints!$D$13),INDEX('Sprint N°8'!$C$10:$M$10,BC$4-Resumen_Sprints!$E$13),0)</f>
        <v>0</v>
      </c>
      <c r="BD50" s="37">
        <f>IF(AND(BD$4&gt;Resumen_Sprints!$E$13,BD$4&lt;=Resumen_Sprints!$E$13+Resumen_Sprints!$D$13),INDEX('Sprint N°8'!$C$10:$M$10,BD$4-Resumen_Sprints!$E$13),0)</f>
        <v>0</v>
      </c>
      <c r="BE50" s="37">
        <f>IF(AND(BE$4&gt;Resumen_Sprints!$E$13,BE$4&lt;=Resumen_Sprints!$E$13+Resumen_Sprints!$D$13),INDEX('Sprint N°8'!$C$10:$M$10,BE$4-Resumen_Sprints!$E$13),0)</f>
        <v>0</v>
      </c>
      <c r="BF50" s="37">
        <f>IF(AND(BF$4&gt;Resumen_Sprints!$E$13,BF$4&lt;=Resumen_Sprints!$E$13+Resumen_Sprints!$D$13),INDEX('Sprint N°8'!$C$10:$M$10,BF$4-Resumen_Sprints!$E$13),0)</f>
        <v>0</v>
      </c>
      <c r="BG50" s="37">
        <f>IF(AND(BG$4&gt;Resumen_Sprints!$E$13,BG$4&lt;=Resumen_Sprints!$E$13+Resumen_Sprints!$D$13),INDEX('Sprint N°8'!$C$10:$M$10,BG$4-Resumen_Sprints!$E$13),0)</f>
        <v>0</v>
      </c>
      <c r="BH50" s="37">
        <f>IF(AND(BH$4&gt;Resumen_Sprints!$E$13,BH$4&lt;=Resumen_Sprints!$E$13+Resumen_Sprints!$D$13),INDEX('Sprint N°8'!$C$10:$M$10,BH$4-Resumen_Sprints!$E$13),0)</f>
        <v>0</v>
      </c>
      <c r="BI50" s="37">
        <f>IF(AND(BI$4&gt;Resumen_Sprints!$E$13,BI$4&lt;=Resumen_Sprints!$E$13+Resumen_Sprints!$D$13),INDEX('Sprint N°8'!$C$10:$M$10,BI$4-Resumen_Sprints!$E$13),0)</f>
        <v>0</v>
      </c>
      <c r="BJ50" s="37">
        <f>IF(AND(BJ$4&gt;Resumen_Sprints!$E$13,BJ$4&lt;=Resumen_Sprints!$E$13+Resumen_Sprints!$D$13),INDEX('Sprint N°8'!$C$10:$M$10,BJ$4-Resumen_Sprints!$E$13),0)</f>
        <v>0</v>
      </c>
      <c r="BK50" s="37">
        <f>IF(AND(BK$4&gt;Resumen_Sprints!$E$13,BK$4&lt;=Resumen_Sprints!$E$13+Resumen_Sprints!$D$13),INDEX('Sprint N°8'!$C$10:$M$10,BK$4-Resumen_Sprints!$E$13),0)</f>
        <v>0</v>
      </c>
      <c r="BL50" s="37">
        <f>IF(AND(BL$4&gt;Resumen_Sprints!$E$13,BL$4&lt;=Resumen_Sprints!$E$13+Resumen_Sprints!$D$13),INDEX('Sprint N°8'!$C$10:$M$10,BL$4-Resumen_Sprints!$E$13),0)</f>
        <v>0</v>
      </c>
      <c r="BM50" s="37">
        <f>IF(AND(BM$4&gt;Resumen_Sprints!$E$13,BM$4&lt;=Resumen_Sprints!$E$13+Resumen_Sprints!$D$13),INDEX('Sprint N°8'!$C$10:$M$10,BM$4-Resumen_Sprints!$E$13),0)</f>
        <v>0</v>
      </c>
      <c r="BN50" s="37">
        <f>IF(AND(BN$4&gt;Resumen_Sprints!$E$13,BN$4&lt;=Resumen_Sprints!$E$13+Resumen_Sprints!$D$13),INDEX('Sprint N°8'!$C$10:$M$10,BN$4-Resumen_Sprints!$E$13),0)</f>
        <v>0</v>
      </c>
      <c r="BO50" s="37">
        <f>IF(AND(BO$4&gt;Resumen_Sprints!$E$13,BO$4&lt;=Resumen_Sprints!$E$13+Resumen_Sprints!$D$13),INDEX('Sprint N°8'!$C$10:$M$10,BO$4-Resumen_Sprints!$E$13),0)</f>
        <v>0</v>
      </c>
      <c r="BP50" s="37">
        <f>IF(AND(BP$4&gt;Resumen_Sprints!$E$13,BP$4&lt;=Resumen_Sprints!$E$13+Resumen_Sprints!$D$13),INDEX('Sprint N°8'!$C$10:$M$10,BP$4-Resumen_Sprints!$E$13),0)</f>
        <v>0</v>
      </c>
      <c r="BQ50" s="37">
        <f>IF(AND(BQ$4&gt;Resumen_Sprints!$E$13,BQ$4&lt;=Resumen_Sprints!$E$13+Resumen_Sprints!$D$13),INDEX('Sprint N°8'!$C$10:$M$10,BQ$4-Resumen_Sprints!$E$13),0)</f>
        <v>0</v>
      </c>
      <c r="BR50" s="37">
        <f>IF(AND(BR$4&gt;Resumen_Sprints!$E$13,BR$4&lt;=Resumen_Sprints!$E$13+Resumen_Sprints!$D$13),INDEX('Sprint N°8'!$C$10:$M$10,BR$4-Resumen_Sprints!$E$13),0)</f>
        <v>0</v>
      </c>
      <c r="BS50" s="37">
        <f>IF(AND(BS$4&gt;Resumen_Sprints!$E$13,BS$4&lt;=Resumen_Sprints!$E$13+Resumen_Sprints!$D$13),INDEX('Sprint N°8'!$C$10:$M$10,BS$4-Resumen_Sprints!$E$13),0)</f>
        <v>0</v>
      </c>
      <c r="BT50" s="37">
        <f>IF(AND(BT$4&gt;Resumen_Sprints!$E$13,BT$4&lt;=Resumen_Sprints!$E$13+Resumen_Sprints!$D$13),INDEX('Sprint N°8'!$C$10:$M$10,BT$4-Resumen_Sprints!$E$13),0)</f>
        <v>0</v>
      </c>
      <c r="BU50" s="37">
        <f>IF(AND(BU$4&gt;Resumen_Sprints!$E$13,BU$4&lt;=Resumen_Sprints!$E$13+Resumen_Sprints!$D$13),INDEX('Sprint N°8'!$C$10:$M$10,BU$4-Resumen_Sprints!$E$13),0)</f>
        <v>0</v>
      </c>
      <c r="BV50" s="37">
        <f>IF(AND(BV$4&gt;Resumen_Sprints!$E$13,BV$4&lt;=Resumen_Sprints!$E$13+Resumen_Sprints!$D$13),INDEX('Sprint N°8'!$C$10:$M$10,BV$4-Resumen_Sprints!$E$13),0)</f>
        <v>0</v>
      </c>
      <c r="BW50" s="37">
        <f>IF(AND(BW$4&gt;Resumen_Sprints!$E$13,BW$4&lt;=Resumen_Sprints!$E$13+Resumen_Sprints!$D$13),INDEX('Sprint N°8'!$C$10:$M$10,BW$4-Resumen_Sprints!$E$13),0)</f>
        <v>0</v>
      </c>
      <c r="BX50" s="37">
        <f>IF(AND(BX$4&gt;Resumen_Sprints!$E$13,BX$4&lt;=Resumen_Sprints!$E$13+Resumen_Sprints!$D$13),INDEX('Sprint N°8'!$C$10:$M$10,BX$4-Resumen_Sprints!$E$13),0)</f>
        <v>0</v>
      </c>
      <c r="BY50" s="37">
        <f>IF(AND(BY$4&gt;Resumen_Sprints!$E$13,BY$4&lt;=Resumen_Sprints!$E$13+Resumen_Sprints!$D$13),INDEX('Sprint N°8'!$C$10:$M$10,BY$4-Resumen_Sprints!$E$13),0)</f>
        <v>0</v>
      </c>
      <c r="BZ50" s="37">
        <f>IF(AND(BZ$4&gt;Resumen_Sprints!$E$13,BZ$4&lt;=Resumen_Sprints!$E$13+Resumen_Sprints!$D$13),INDEX('Sprint N°8'!$C$10:$M$10,BZ$4-Resumen_Sprints!$E$13),0)</f>
        <v>0</v>
      </c>
      <c r="CA50" s="37">
        <f>IF(AND(CA$4&gt;Resumen_Sprints!$E$13,CA$4&lt;=Resumen_Sprints!$E$13+Resumen_Sprints!$D$13),INDEX('Sprint N°8'!$C$10:$M$10,CA$4-Resumen_Sprints!$E$13),0)</f>
        <v>0</v>
      </c>
      <c r="CB50" s="37">
        <f>IF(AND(CB$4&gt;Resumen_Sprints!$E$13,CB$4&lt;=Resumen_Sprints!$E$13+Resumen_Sprints!$D$13),INDEX('Sprint N°8'!$C$10:$M$10,CB$4-Resumen_Sprints!$E$13),0)</f>
        <v>0</v>
      </c>
      <c r="CC50" s="37">
        <f>IF(AND(CC$4&gt;Resumen_Sprints!$E$13,CC$4&lt;=Resumen_Sprints!$E$13+Resumen_Sprints!$D$13),INDEX('Sprint N°8'!$C$10:$M$10,CC$4-Resumen_Sprints!$E$13),0)</f>
        <v>0</v>
      </c>
      <c r="CD50" s="37">
        <f>IF(AND(CD$4&gt;Resumen_Sprints!$E$13,CD$4&lt;=Resumen_Sprints!$E$13+Resumen_Sprints!$D$13),INDEX('Sprint N°8'!$C$10:$M$10,CD$4-Resumen_Sprints!$E$13),0)</f>
        <v>0</v>
      </c>
      <c r="CE50" s="37">
        <f>IF(AND(CE$4&gt;Resumen_Sprints!$E$13,CE$4&lt;=Resumen_Sprints!$E$13+Resumen_Sprints!$D$13),INDEX('Sprint N°8'!$C$10:$M$10,CE$4-Resumen_Sprints!$E$13),0)</f>
        <v>0</v>
      </c>
      <c r="CF50" s="37">
        <f>IF(AND(CF$4&gt;Resumen_Sprints!$E$13,CF$4&lt;=Resumen_Sprints!$E$13+Resumen_Sprints!$D$13),INDEX('Sprint N°8'!$C$10:$M$10,CF$4-Resumen_Sprints!$E$13),0)</f>
        <v>0</v>
      </c>
      <c r="CG50" s="37">
        <f>IF(AND(CG$4&gt;Resumen_Sprints!$E$13,CG$4&lt;=Resumen_Sprints!$E$13+Resumen_Sprints!$D$13),INDEX('Sprint N°8'!$C$10:$M$10,CG$4-Resumen_Sprints!$E$13),0)</f>
        <v>0</v>
      </c>
      <c r="CH50" s="37">
        <f>IF(AND(CH$4&gt;Resumen_Sprints!$E$13,CH$4&lt;=Resumen_Sprints!$E$13+Resumen_Sprints!$D$13),INDEX('Sprint N°8'!$C$10:$M$10,CH$4-Resumen_Sprints!$E$13),0)</f>
        <v>0</v>
      </c>
      <c r="CI50" s="37">
        <f>IF(AND(CI$4&gt;Resumen_Sprints!$E$13,CI$4&lt;=Resumen_Sprints!$E$13+Resumen_Sprints!$D$13),INDEX('Sprint N°8'!$C$10:$M$10,CI$4-Resumen_Sprints!$E$13),0)</f>
        <v>0</v>
      </c>
      <c r="CJ50" s="37">
        <f>IF(AND(CJ$4&gt;Resumen_Sprints!$E$13,CJ$4&lt;=Resumen_Sprints!$E$13+Resumen_Sprints!$D$13),INDEX('Sprint N°8'!$C$10:$M$10,CJ$4-Resumen_Sprints!$E$13),0)</f>
        <v>0</v>
      </c>
      <c r="CK50" s="37">
        <f>IF(AND(CK$4&gt;Resumen_Sprints!$E$13,CK$4&lt;=Resumen_Sprints!$E$13+Resumen_Sprints!$D$13),INDEX('Sprint N°8'!$C$10:$M$10,CK$4-Resumen_Sprints!$E$13),0)</f>
        <v>0</v>
      </c>
      <c r="CL50" s="37">
        <f>IF(AND(CL$4&gt;Resumen_Sprints!$E$13,CL$4&lt;=Resumen_Sprints!$E$13+Resumen_Sprints!$D$13),INDEX('Sprint N°8'!$C$10:$M$10,CL$4-Resumen_Sprints!$E$13),0)</f>
        <v>0</v>
      </c>
      <c r="CM50" s="37">
        <f>IF(AND(CM$4&gt;Resumen_Sprints!$E$13,CM$4&lt;=Resumen_Sprints!$E$13+Resumen_Sprints!$D$13),INDEX('Sprint N°8'!$C$10:$M$10,CM$4-Resumen_Sprints!$E$13),0)</f>
        <v>0</v>
      </c>
      <c r="CN50" s="37">
        <f>IF(AND(CN$4&gt;Resumen_Sprints!$E$13,CN$4&lt;=Resumen_Sprints!$E$13+Resumen_Sprints!$D$13),INDEX('Sprint N°8'!$C$10:$M$10,CN$4-Resumen_Sprints!$E$13),0)</f>
        <v>0</v>
      </c>
      <c r="CO50" s="37">
        <f>IF(AND(CO$4&gt;Resumen_Sprints!$E$13,CO$4&lt;=Resumen_Sprints!$E$13+Resumen_Sprints!$D$13),INDEX('Sprint N°8'!$C$10:$M$10,CO$4-Resumen_Sprints!$E$13),0)</f>
        <v>0</v>
      </c>
      <c r="CP50" s="37">
        <f>IF(AND(CP$4&gt;Resumen_Sprints!$E$13,CP$4&lt;=Resumen_Sprints!$E$13+Resumen_Sprints!$D$13),INDEX('Sprint N°8'!$C$10:$M$10,CP$4-Resumen_Sprints!$E$13),0)</f>
        <v>0</v>
      </c>
      <c r="CQ50" s="37">
        <f>IF(AND(CQ$4&gt;Resumen_Sprints!$E$13,CQ$4&lt;=Resumen_Sprints!$E$13+Resumen_Sprints!$D$13),INDEX('Sprint N°8'!$C$10:$M$10,CQ$4-Resumen_Sprints!$E$13),0)</f>
        <v>1</v>
      </c>
      <c r="CR50" s="37">
        <f>IF(AND(CR$4&gt;Resumen_Sprints!$E$13,CR$4&lt;=Resumen_Sprints!$E$13+Resumen_Sprints!$D$13),INDEX('Sprint N°8'!$C$10:$M$10,CR$4-Resumen_Sprints!$E$13),0)</f>
        <v>11</v>
      </c>
      <c r="CS50" s="37">
        <f>IF(AND(CS$4&gt;Resumen_Sprints!$E$13,CS$4&lt;=Resumen_Sprints!$E$13+Resumen_Sprints!$D$13),INDEX('Sprint N°8'!$C$10:$M$10,CS$4-Resumen_Sprints!$E$13),0)</f>
        <v>0</v>
      </c>
      <c r="CT50" s="37">
        <f>IF(AND(CT$4&gt;Resumen_Sprints!$E$13,CT$4&lt;=Resumen_Sprints!$E$13+Resumen_Sprints!$D$13),INDEX('Sprint N°8'!$C$10:$M$10,CT$4-Resumen_Sprints!$E$13),0)</f>
        <v>0</v>
      </c>
      <c r="CU50" s="10">
        <f>SUM(C50:CT50)</f>
        <v>12</v>
      </c>
    </row>
    <row r="53" spans="1:99" x14ac:dyDescent="0.3">
      <c r="A53" s="2" t="s">
        <v>78</v>
      </c>
      <c r="B53" s="33">
        <v>0</v>
      </c>
      <c r="C53" s="33">
        <f t="shared" ref="C53:AH53" si="1">C$4</f>
        <v>1</v>
      </c>
      <c r="D53" s="33">
        <f t="shared" si="1"/>
        <v>2</v>
      </c>
      <c r="E53" s="33">
        <f t="shared" si="1"/>
        <v>3</v>
      </c>
      <c r="F53" s="33">
        <f t="shared" si="1"/>
        <v>4</v>
      </c>
      <c r="G53" s="33">
        <f t="shared" si="1"/>
        <v>5</v>
      </c>
      <c r="H53" s="33">
        <f t="shared" si="1"/>
        <v>6</v>
      </c>
      <c r="I53" s="33">
        <f t="shared" si="1"/>
        <v>7</v>
      </c>
      <c r="J53" s="33">
        <f t="shared" si="1"/>
        <v>8</v>
      </c>
      <c r="K53" s="33">
        <f t="shared" si="1"/>
        <v>9</v>
      </c>
      <c r="L53" s="33">
        <f t="shared" si="1"/>
        <v>10</v>
      </c>
      <c r="M53" s="33">
        <f t="shared" si="1"/>
        <v>11</v>
      </c>
      <c r="N53" s="33">
        <f t="shared" si="1"/>
        <v>12</v>
      </c>
      <c r="O53" s="33">
        <f t="shared" si="1"/>
        <v>13</v>
      </c>
      <c r="P53" s="33">
        <f t="shared" si="1"/>
        <v>14</v>
      </c>
      <c r="Q53" s="33">
        <f t="shared" si="1"/>
        <v>15</v>
      </c>
      <c r="R53" s="33">
        <f t="shared" si="1"/>
        <v>16</v>
      </c>
      <c r="S53" s="33">
        <f t="shared" si="1"/>
        <v>17</v>
      </c>
      <c r="T53" s="33">
        <f t="shared" si="1"/>
        <v>18</v>
      </c>
      <c r="U53" s="33">
        <f t="shared" si="1"/>
        <v>19</v>
      </c>
      <c r="V53" s="33">
        <f t="shared" si="1"/>
        <v>20</v>
      </c>
      <c r="W53" s="33">
        <f t="shared" si="1"/>
        <v>21</v>
      </c>
      <c r="X53" s="33">
        <f t="shared" si="1"/>
        <v>22</v>
      </c>
      <c r="Y53" s="33">
        <f t="shared" si="1"/>
        <v>23</v>
      </c>
      <c r="Z53" s="33">
        <f t="shared" si="1"/>
        <v>24</v>
      </c>
      <c r="AA53" s="33">
        <f t="shared" si="1"/>
        <v>25</v>
      </c>
      <c r="AB53" s="33">
        <f t="shared" si="1"/>
        <v>26</v>
      </c>
      <c r="AC53" s="33">
        <f t="shared" si="1"/>
        <v>27</v>
      </c>
      <c r="AD53" s="33">
        <f t="shared" si="1"/>
        <v>28</v>
      </c>
      <c r="AE53" s="33">
        <f t="shared" si="1"/>
        <v>29</v>
      </c>
      <c r="AF53" s="33">
        <f t="shared" si="1"/>
        <v>30</v>
      </c>
      <c r="AG53" s="33">
        <f t="shared" si="1"/>
        <v>31</v>
      </c>
      <c r="AH53" s="33">
        <f t="shared" si="1"/>
        <v>32</v>
      </c>
      <c r="AI53" s="33">
        <f t="shared" ref="AI53:BN53" si="2">AI$4</f>
        <v>33</v>
      </c>
      <c r="AJ53" s="33">
        <f t="shared" si="2"/>
        <v>34</v>
      </c>
      <c r="AK53" s="33">
        <f t="shared" si="2"/>
        <v>35</v>
      </c>
      <c r="AL53" s="33">
        <f t="shared" si="2"/>
        <v>36</v>
      </c>
      <c r="AM53" s="33">
        <f t="shared" si="2"/>
        <v>37</v>
      </c>
      <c r="AN53" s="33">
        <f t="shared" si="2"/>
        <v>38</v>
      </c>
      <c r="AO53" s="33">
        <f t="shared" si="2"/>
        <v>39</v>
      </c>
      <c r="AP53" s="33">
        <f t="shared" si="2"/>
        <v>40</v>
      </c>
      <c r="AQ53" s="33">
        <f t="shared" si="2"/>
        <v>41</v>
      </c>
      <c r="AR53" s="33">
        <f t="shared" si="2"/>
        <v>42</v>
      </c>
      <c r="AS53" s="33">
        <f t="shared" si="2"/>
        <v>43</v>
      </c>
      <c r="AT53" s="33">
        <f t="shared" si="2"/>
        <v>44</v>
      </c>
      <c r="AU53" s="33">
        <f t="shared" si="2"/>
        <v>45</v>
      </c>
      <c r="AV53" s="33">
        <f t="shared" si="2"/>
        <v>46</v>
      </c>
      <c r="AW53" s="33">
        <f t="shared" si="2"/>
        <v>47</v>
      </c>
      <c r="AX53" s="33">
        <f t="shared" si="2"/>
        <v>48</v>
      </c>
      <c r="AY53" s="33">
        <f t="shared" si="2"/>
        <v>49</v>
      </c>
      <c r="AZ53" s="33">
        <f t="shared" si="2"/>
        <v>50</v>
      </c>
      <c r="BA53" s="33">
        <f t="shared" si="2"/>
        <v>51</v>
      </c>
      <c r="BB53" s="33">
        <f t="shared" si="2"/>
        <v>52</v>
      </c>
      <c r="BC53" s="33">
        <f t="shared" si="2"/>
        <v>53</v>
      </c>
      <c r="BD53" s="33">
        <f t="shared" si="2"/>
        <v>54</v>
      </c>
      <c r="BE53" s="33">
        <f t="shared" si="2"/>
        <v>55</v>
      </c>
      <c r="BF53" s="33">
        <f t="shared" si="2"/>
        <v>56</v>
      </c>
      <c r="BG53" s="33">
        <f t="shared" si="2"/>
        <v>57</v>
      </c>
      <c r="BH53" s="33">
        <f t="shared" si="2"/>
        <v>58</v>
      </c>
      <c r="BI53" s="33">
        <f t="shared" si="2"/>
        <v>59</v>
      </c>
      <c r="BJ53" s="33">
        <f t="shared" si="2"/>
        <v>60</v>
      </c>
      <c r="BK53" s="33">
        <f t="shared" si="2"/>
        <v>61</v>
      </c>
      <c r="BL53" s="33">
        <f t="shared" si="2"/>
        <v>62</v>
      </c>
      <c r="BM53" s="33">
        <f t="shared" si="2"/>
        <v>63</v>
      </c>
      <c r="BN53" s="33">
        <f t="shared" si="2"/>
        <v>64</v>
      </c>
      <c r="BO53" s="33">
        <f t="shared" ref="BO53:CT53" si="3">BO$4</f>
        <v>65</v>
      </c>
      <c r="BP53" s="33">
        <f t="shared" si="3"/>
        <v>66</v>
      </c>
      <c r="BQ53" s="33">
        <f t="shared" si="3"/>
        <v>67</v>
      </c>
      <c r="BR53" s="33">
        <f t="shared" si="3"/>
        <v>68</v>
      </c>
      <c r="BS53" s="33">
        <f t="shared" si="3"/>
        <v>69</v>
      </c>
      <c r="BT53" s="33">
        <f t="shared" si="3"/>
        <v>70</v>
      </c>
      <c r="BU53" s="33">
        <f t="shared" si="3"/>
        <v>71</v>
      </c>
      <c r="BV53" s="33">
        <f t="shared" si="3"/>
        <v>72</v>
      </c>
      <c r="BW53" s="33">
        <f t="shared" si="3"/>
        <v>73</v>
      </c>
      <c r="BX53" s="33">
        <f t="shared" si="3"/>
        <v>74</v>
      </c>
      <c r="BY53" s="33">
        <f t="shared" si="3"/>
        <v>75</v>
      </c>
      <c r="BZ53" s="33">
        <f t="shared" si="3"/>
        <v>76</v>
      </c>
      <c r="CA53" s="33">
        <f t="shared" si="3"/>
        <v>77</v>
      </c>
      <c r="CB53" s="33">
        <f t="shared" si="3"/>
        <v>78</v>
      </c>
      <c r="CC53" s="33">
        <f t="shared" si="3"/>
        <v>79</v>
      </c>
      <c r="CD53" s="33">
        <f t="shared" si="3"/>
        <v>80</v>
      </c>
      <c r="CE53" s="33">
        <f t="shared" si="3"/>
        <v>81</v>
      </c>
      <c r="CF53" s="33">
        <f t="shared" si="3"/>
        <v>82</v>
      </c>
      <c r="CG53" s="33">
        <f t="shared" si="3"/>
        <v>83</v>
      </c>
      <c r="CH53" s="33">
        <f t="shared" si="3"/>
        <v>84</v>
      </c>
      <c r="CI53" s="33">
        <f t="shared" si="3"/>
        <v>85</v>
      </c>
      <c r="CJ53" s="33">
        <f t="shared" si="3"/>
        <v>86</v>
      </c>
      <c r="CK53" s="33">
        <f t="shared" si="3"/>
        <v>87</v>
      </c>
      <c r="CL53" s="33">
        <f t="shared" si="3"/>
        <v>88</v>
      </c>
      <c r="CM53" s="33">
        <f t="shared" si="3"/>
        <v>89</v>
      </c>
      <c r="CN53" s="33">
        <f t="shared" si="3"/>
        <v>90</v>
      </c>
      <c r="CO53" s="33">
        <f t="shared" si="3"/>
        <v>91</v>
      </c>
      <c r="CP53" s="33">
        <f t="shared" si="3"/>
        <v>92</v>
      </c>
      <c r="CQ53" s="33">
        <f t="shared" si="3"/>
        <v>93</v>
      </c>
      <c r="CR53" s="33">
        <f t="shared" si="3"/>
        <v>94</v>
      </c>
      <c r="CS53" s="33">
        <f t="shared" si="3"/>
        <v>95</v>
      </c>
      <c r="CT53" s="33">
        <f t="shared" si="3"/>
        <v>96</v>
      </c>
    </row>
    <row r="54" spans="1:99" x14ac:dyDescent="0.3">
      <c r="A54" s="34" t="s">
        <v>44</v>
      </c>
      <c r="B54" s="35">
        <f>B5+B11+B18+B23+B28+B33+B39+B45</f>
        <v>711</v>
      </c>
      <c r="C54" s="35">
        <f>B54-SUM(C5:C50)</f>
        <v>704</v>
      </c>
      <c r="D54" s="35">
        <f t="shared" ref="D54:AH54" si="4">C54-SUM(D5:D50)</f>
        <v>698</v>
      </c>
      <c r="E54" s="35">
        <f t="shared" si="4"/>
        <v>691</v>
      </c>
      <c r="F54" s="35">
        <f t="shared" si="4"/>
        <v>686</v>
      </c>
      <c r="G54" s="35">
        <f t="shared" si="4"/>
        <v>679</v>
      </c>
      <c r="H54" s="35">
        <f t="shared" si="4"/>
        <v>673</v>
      </c>
      <c r="I54" s="35">
        <f t="shared" si="4"/>
        <v>668</v>
      </c>
      <c r="J54" s="35">
        <f t="shared" si="4"/>
        <v>661</v>
      </c>
      <c r="K54" s="35">
        <f t="shared" si="4"/>
        <v>655</v>
      </c>
      <c r="L54" s="35">
        <f t="shared" si="4"/>
        <v>648</v>
      </c>
      <c r="M54" s="35">
        <f t="shared" si="4"/>
        <v>641</v>
      </c>
      <c r="N54" s="35">
        <f t="shared" si="4"/>
        <v>631</v>
      </c>
      <c r="O54" s="35">
        <f t="shared" si="4"/>
        <v>625</v>
      </c>
      <c r="P54" s="35">
        <f t="shared" si="4"/>
        <v>618</v>
      </c>
      <c r="Q54" s="35">
        <f t="shared" si="4"/>
        <v>610</v>
      </c>
      <c r="R54" s="35">
        <f t="shared" si="4"/>
        <v>600</v>
      </c>
      <c r="S54" s="35">
        <f t="shared" si="4"/>
        <v>592</v>
      </c>
      <c r="T54" s="35">
        <f t="shared" si="4"/>
        <v>585</v>
      </c>
      <c r="U54" s="35">
        <f t="shared" si="4"/>
        <v>575</v>
      </c>
      <c r="V54" s="35">
        <f t="shared" si="4"/>
        <v>570</v>
      </c>
      <c r="W54" s="35">
        <f t="shared" si="4"/>
        <v>564</v>
      </c>
      <c r="X54" s="35">
        <f t="shared" si="4"/>
        <v>559</v>
      </c>
      <c r="Y54" s="35">
        <f t="shared" si="4"/>
        <v>552</v>
      </c>
      <c r="Z54" s="35">
        <f t="shared" si="4"/>
        <v>544</v>
      </c>
      <c r="AA54" s="35">
        <f t="shared" si="4"/>
        <v>538</v>
      </c>
      <c r="AB54" s="35">
        <f t="shared" si="4"/>
        <v>530</v>
      </c>
      <c r="AC54" s="35">
        <f t="shared" si="4"/>
        <v>523</v>
      </c>
      <c r="AD54" s="35">
        <f t="shared" si="4"/>
        <v>518</v>
      </c>
      <c r="AE54" s="35">
        <f t="shared" si="4"/>
        <v>513</v>
      </c>
      <c r="AF54" s="35">
        <f t="shared" si="4"/>
        <v>508</v>
      </c>
      <c r="AG54" s="35">
        <f t="shared" si="4"/>
        <v>501</v>
      </c>
      <c r="AH54" s="35">
        <f t="shared" si="4"/>
        <v>495</v>
      </c>
      <c r="AI54" s="35">
        <f t="shared" ref="AI54:BN54" si="5">AH54-SUM(AI5:AI50)</f>
        <v>488</v>
      </c>
      <c r="AJ54" s="35">
        <f t="shared" si="5"/>
        <v>481</v>
      </c>
      <c r="AK54" s="35">
        <f t="shared" si="5"/>
        <v>474</v>
      </c>
      <c r="AL54" s="35">
        <f t="shared" si="5"/>
        <v>468</v>
      </c>
      <c r="AM54" s="35">
        <f t="shared" si="5"/>
        <v>460</v>
      </c>
      <c r="AN54" s="35">
        <f t="shared" si="5"/>
        <v>453</v>
      </c>
      <c r="AO54" s="35">
        <f t="shared" si="5"/>
        <v>446</v>
      </c>
      <c r="AP54" s="35">
        <f t="shared" si="5"/>
        <v>439</v>
      </c>
      <c r="AQ54" s="35">
        <f t="shared" si="5"/>
        <v>432</v>
      </c>
      <c r="AR54" s="35">
        <f t="shared" si="5"/>
        <v>427</v>
      </c>
      <c r="AS54" s="35">
        <f t="shared" si="5"/>
        <v>419</v>
      </c>
      <c r="AT54" s="35">
        <f t="shared" si="5"/>
        <v>414</v>
      </c>
      <c r="AU54" s="35">
        <f t="shared" si="5"/>
        <v>408</v>
      </c>
      <c r="AV54" s="35">
        <f t="shared" si="5"/>
        <v>401</v>
      </c>
      <c r="AW54" s="35">
        <f t="shared" si="5"/>
        <v>396</v>
      </c>
      <c r="AX54" s="35">
        <f t="shared" si="5"/>
        <v>390</v>
      </c>
      <c r="AY54" s="35">
        <f t="shared" si="5"/>
        <v>386</v>
      </c>
      <c r="AZ54" s="35">
        <f t="shared" si="5"/>
        <v>379</v>
      </c>
      <c r="BA54" s="35">
        <f t="shared" si="5"/>
        <v>372</v>
      </c>
      <c r="BB54" s="35">
        <f t="shared" si="5"/>
        <v>366</v>
      </c>
      <c r="BC54" s="35">
        <f t="shared" si="5"/>
        <v>359</v>
      </c>
      <c r="BD54" s="35">
        <f t="shared" si="5"/>
        <v>354</v>
      </c>
      <c r="BE54" s="35">
        <f t="shared" si="5"/>
        <v>347</v>
      </c>
      <c r="BF54" s="35">
        <f t="shared" si="5"/>
        <v>341</v>
      </c>
      <c r="BG54" s="35">
        <f t="shared" si="5"/>
        <v>335</v>
      </c>
      <c r="BH54" s="35">
        <f t="shared" si="5"/>
        <v>325</v>
      </c>
      <c r="BI54" s="35">
        <f t="shared" si="5"/>
        <v>312</v>
      </c>
      <c r="BJ54" s="35">
        <f t="shared" si="5"/>
        <v>299</v>
      </c>
      <c r="BK54" s="35">
        <f t="shared" si="5"/>
        <v>288</v>
      </c>
      <c r="BL54" s="35">
        <f t="shared" si="5"/>
        <v>276</v>
      </c>
      <c r="BM54" s="35">
        <f t="shared" si="5"/>
        <v>270</v>
      </c>
      <c r="BN54" s="35">
        <f t="shared" si="5"/>
        <v>257</v>
      </c>
      <c r="BO54" s="35">
        <f t="shared" ref="BO54:CT54" si="6">BN54-SUM(BO5:BO50)</f>
        <v>246</v>
      </c>
      <c r="BP54" s="35">
        <f t="shared" si="6"/>
        <v>231</v>
      </c>
      <c r="BQ54" s="35">
        <f t="shared" si="6"/>
        <v>219</v>
      </c>
      <c r="BR54" s="35">
        <f t="shared" si="6"/>
        <v>210</v>
      </c>
      <c r="BS54" s="35">
        <f t="shared" si="6"/>
        <v>200</v>
      </c>
      <c r="BT54" s="35">
        <f t="shared" si="6"/>
        <v>192</v>
      </c>
      <c r="BU54" s="35">
        <f t="shared" si="6"/>
        <v>185</v>
      </c>
      <c r="BV54" s="35">
        <f t="shared" si="6"/>
        <v>178</v>
      </c>
      <c r="BW54" s="35">
        <f t="shared" si="6"/>
        <v>168</v>
      </c>
      <c r="BX54" s="35">
        <f t="shared" si="6"/>
        <v>160</v>
      </c>
      <c r="BY54" s="35">
        <f t="shared" si="6"/>
        <v>149</v>
      </c>
      <c r="BZ54" s="35">
        <f t="shared" si="6"/>
        <v>140</v>
      </c>
      <c r="CA54" s="35">
        <f t="shared" si="6"/>
        <v>133</v>
      </c>
      <c r="CB54" s="35">
        <f t="shared" si="6"/>
        <v>125</v>
      </c>
      <c r="CC54" s="35">
        <f t="shared" si="6"/>
        <v>118</v>
      </c>
      <c r="CD54" s="35">
        <f t="shared" si="6"/>
        <v>111</v>
      </c>
      <c r="CE54" s="35">
        <f t="shared" si="6"/>
        <v>103</v>
      </c>
      <c r="CF54" s="35">
        <f t="shared" si="6"/>
        <v>95</v>
      </c>
      <c r="CG54" s="35">
        <f t="shared" si="6"/>
        <v>86</v>
      </c>
      <c r="CH54" s="35">
        <f t="shared" si="6"/>
        <v>79</v>
      </c>
      <c r="CI54" s="35">
        <f t="shared" si="6"/>
        <v>73</v>
      </c>
      <c r="CJ54" s="35">
        <f t="shared" si="6"/>
        <v>65</v>
      </c>
      <c r="CK54" s="35">
        <f t="shared" si="6"/>
        <v>58</v>
      </c>
      <c r="CL54" s="35">
        <f t="shared" si="6"/>
        <v>50</v>
      </c>
      <c r="CM54" s="35">
        <f t="shared" si="6"/>
        <v>42</v>
      </c>
      <c r="CN54" s="35">
        <f t="shared" si="6"/>
        <v>34</v>
      </c>
      <c r="CO54" s="35">
        <f t="shared" si="6"/>
        <v>28</v>
      </c>
      <c r="CP54" s="35">
        <f t="shared" si="6"/>
        <v>19</v>
      </c>
      <c r="CQ54" s="35">
        <f t="shared" si="6"/>
        <v>11</v>
      </c>
      <c r="CR54" s="35">
        <f t="shared" si="6"/>
        <v>0</v>
      </c>
      <c r="CS54" s="35">
        <f t="shared" si="6"/>
        <v>0</v>
      </c>
      <c r="CT54" s="35">
        <f t="shared" si="6"/>
        <v>0</v>
      </c>
    </row>
    <row r="56" spans="1:99" x14ac:dyDescent="0.3">
      <c r="A56" s="34" t="s">
        <v>79</v>
      </c>
      <c r="B56" s="28">
        <f>B54</f>
        <v>711</v>
      </c>
      <c r="C56" s="35">
        <f t="shared" ref="C56:AH56" si="7">$B$56*(1-C$4/COUNT($C$4:$CT$4))</f>
        <v>703.59375</v>
      </c>
      <c r="D56" s="35">
        <f t="shared" si="7"/>
        <v>696.1875</v>
      </c>
      <c r="E56" s="35">
        <f t="shared" si="7"/>
        <v>688.78125</v>
      </c>
      <c r="F56" s="35">
        <f t="shared" si="7"/>
        <v>681.375</v>
      </c>
      <c r="G56" s="35">
        <f t="shared" si="7"/>
        <v>673.96875</v>
      </c>
      <c r="H56" s="35">
        <f t="shared" si="7"/>
        <v>666.5625</v>
      </c>
      <c r="I56" s="35">
        <f t="shared" si="7"/>
        <v>659.15625</v>
      </c>
      <c r="J56" s="35">
        <f t="shared" si="7"/>
        <v>651.75</v>
      </c>
      <c r="K56" s="35">
        <f t="shared" si="7"/>
        <v>644.34375</v>
      </c>
      <c r="L56" s="35">
        <f t="shared" si="7"/>
        <v>636.9375</v>
      </c>
      <c r="M56" s="35">
        <f t="shared" si="7"/>
        <v>629.53125</v>
      </c>
      <c r="N56" s="35">
        <f t="shared" si="7"/>
        <v>622.125</v>
      </c>
      <c r="O56" s="35">
        <f t="shared" si="7"/>
        <v>614.71875</v>
      </c>
      <c r="P56" s="35">
        <f t="shared" si="7"/>
        <v>607.3125</v>
      </c>
      <c r="Q56" s="35">
        <f t="shared" si="7"/>
        <v>599.90625</v>
      </c>
      <c r="R56" s="35">
        <f t="shared" si="7"/>
        <v>592.5</v>
      </c>
      <c r="S56" s="35">
        <f t="shared" si="7"/>
        <v>585.09375</v>
      </c>
      <c r="T56" s="35">
        <f t="shared" si="7"/>
        <v>577.6875</v>
      </c>
      <c r="U56" s="35">
        <f t="shared" si="7"/>
        <v>570.28125</v>
      </c>
      <c r="V56" s="35">
        <f t="shared" si="7"/>
        <v>562.875</v>
      </c>
      <c r="W56" s="35">
        <f t="shared" si="7"/>
        <v>555.46875</v>
      </c>
      <c r="X56" s="35">
        <f t="shared" si="7"/>
        <v>548.0625</v>
      </c>
      <c r="Y56" s="35">
        <f t="shared" si="7"/>
        <v>540.65625</v>
      </c>
      <c r="Z56" s="35">
        <f t="shared" si="7"/>
        <v>533.25</v>
      </c>
      <c r="AA56" s="35">
        <f t="shared" si="7"/>
        <v>525.84375</v>
      </c>
      <c r="AB56" s="35">
        <f t="shared" si="7"/>
        <v>518.4375</v>
      </c>
      <c r="AC56" s="35">
        <f t="shared" si="7"/>
        <v>511.03125</v>
      </c>
      <c r="AD56" s="35">
        <f t="shared" si="7"/>
        <v>503.62499999999994</v>
      </c>
      <c r="AE56" s="35">
        <f t="shared" si="7"/>
        <v>496.21875000000006</v>
      </c>
      <c r="AF56" s="35">
        <f t="shared" si="7"/>
        <v>488.8125</v>
      </c>
      <c r="AG56" s="35">
        <f t="shared" si="7"/>
        <v>481.40624999999994</v>
      </c>
      <c r="AH56" s="35">
        <f t="shared" si="7"/>
        <v>474.00000000000006</v>
      </c>
      <c r="AI56" s="35">
        <f t="shared" ref="AI56:BN56" si="8">$B$56*(1-AI$4/COUNT($C$4:$CT$4))</f>
        <v>466.59375</v>
      </c>
      <c r="AJ56" s="35">
        <f t="shared" si="8"/>
        <v>459.18749999999994</v>
      </c>
      <c r="AK56" s="35">
        <f t="shared" si="8"/>
        <v>451.78125000000006</v>
      </c>
      <c r="AL56" s="35">
        <f t="shared" si="8"/>
        <v>444.375</v>
      </c>
      <c r="AM56" s="35">
        <f t="shared" si="8"/>
        <v>436.96874999999994</v>
      </c>
      <c r="AN56" s="35">
        <f t="shared" si="8"/>
        <v>429.56250000000006</v>
      </c>
      <c r="AO56" s="35">
        <f t="shared" si="8"/>
        <v>422.15625</v>
      </c>
      <c r="AP56" s="35">
        <f t="shared" si="8"/>
        <v>414.74999999999994</v>
      </c>
      <c r="AQ56" s="35">
        <f t="shared" si="8"/>
        <v>407.34375000000006</v>
      </c>
      <c r="AR56" s="35">
        <f t="shared" si="8"/>
        <v>399.9375</v>
      </c>
      <c r="AS56" s="35">
        <f t="shared" si="8"/>
        <v>392.53124999999994</v>
      </c>
      <c r="AT56" s="35">
        <f t="shared" si="8"/>
        <v>385.12500000000006</v>
      </c>
      <c r="AU56" s="35">
        <f t="shared" si="8"/>
        <v>377.71875</v>
      </c>
      <c r="AV56" s="35">
        <f t="shared" si="8"/>
        <v>370.31249999999994</v>
      </c>
      <c r="AW56" s="35">
        <f t="shared" si="8"/>
        <v>362.90625000000006</v>
      </c>
      <c r="AX56" s="35">
        <f t="shared" si="8"/>
        <v>355.5</v>
      </c>
      <c r="AY56" s="35">
        <f t="shared" si="8"/>
        <v>348.09375</v>
      </c>
      <c r="AZ56" s="35">
        <f t="shared" si="8"/>
        <v>340.6875</v>
      </c>
      <c r="BA56" s="35">
        <f t="shared" si="8"/>
        <v>333.28125</v>
      </c>
      <c r="BB56" s="35">
        <f t="shared" si="8"/>
        <v>325.875</v>
      </c>
      <c r="BC56" s="35">
        <f t="shared" si="8"/>
        <v>318.46875</v>
      </c>
      <c r="BD56" s="35">
        <f t="shared" si="8"/>
        <v>311.0625</v>
      </c>
      <c r="BE56" s="35">
        <f t="shared" si="8"/>
        <v>303.65625</v>
      </c>
      <c r="BF56" s="35">
        <f t="shared" si="8"/>
        <v>296.25</v>
      </c>
      <c r="BG56" s="35">
        <f t="shared" si="8"/>
        <v>288.84375</v>
      </c>
      <c r="BH56" s="35">
        <f t="shared" si="8"/>
        <v>281.4375</v>
      </c>
      <c r="BI56" s="35">
        <f t="shared" si="8"/>
        <v>274.03125</v>
      </c>
      <c r="BJ56" s="35">
        <f t="shared" si="8"/>
        <v>266.625</v>
      </c>
      <c r="BK56" s="35">
        <f t="shared" si="8"/>
        <v>259.21875</v>
      </c>
      <c r="BL56" s="35">
        <f t="shared" si="8"/>
        <v>251.81249999999997</v>
      </c>
      <c r="BM56" s="35">
        <f t="shared" si="8"/>
        <v>244.40625</v>
      </c>
      <c r="BN56" s="35">
        <f t="shared" si="8"/>
        <v>237.00000000000003</v>
      </c>
      <c r="BO56" s="35">
        <f t="shared" ref="BO56:CT56" si="9">$B$56*(1-BO$4/COUNT($C$4:$CT$4))</f>
        <v>229.59374999999997</v>
      </c>
      <c r="BP56" s="35">
        <f t="shared" si="9"/>
        <v>222.1875</v>
      </c>
      <c r="BQ56" s="35">
        <f t="shared" si="9"/>
        <v>214.78125000000003</v>
      </c>
      <c r="BR56" s="35">
        <f t="shared" si="9"/>
        <v>207.37499999999997</v>
      </c>
      <c r="BS56" s="35">
        <f t="shared" si="9"/>
        <v>199.96875</v>
      </c>
      <c r="BT56" s="35">
        <f t="shared" si="9"/>
        <v>192.56250000000003</v>
      </c>
      <c r="BU56" s="35">
        <f t="shared" si="9"/>
        <v>185.15624999999997</v>
      </c>
      <c r="BV56" s="35">
        <f t="shared" si="9"/>
        <v>177.75</v>
      </c>
      <c r="BW56" s="35">
        <f t="shared" si="9"/>
        <v>170.34375000000003</v>
      </c>
      <c r="BX56" s="35">
        <f t="shared" si="9"/>
        <v>162.93749999999997</v>
      </c>
      <c r="BY56" s="35">
        <f t="shared" si="9"/>
        <v>155.53125</v>
      </c>
      <c r="BZ56" s="35">
        <f t="shared" si="9"/>
        <v>148.12500000000003</v>
      </c>
      <c r="CA56" s="35">
        <f t="shared" si="9"/>
        <v>140.71874999999997</v>
      </c>
      <c r="CB56" s="35">
        <f t="shared" si="9"/>
        <v>133.3125</v>
      </c>
      <c r="CC56" s="35">
        <f t="shared" si="9"/>
        <v>125.90625000000003</v>
      </c>
      <c r="CD56" s="35">
        <f t="shared" si="9"/>
        <v>118.49999999999997</v>
      </c>
      <c r="CE56" s="35">
        <f t="shared" si="9"/>
        <v>111.09375</v>
      </c>
      <c r="CF56" s="35">
        <f t="shared" si="9"/>
        <v>103.68750000000003</v>
      </c>
      <c r="CG56" s="35">
        <f t="shared" si="9"/>
        <v>96.281249999999972</v>
      </c>
      <c r="CH56" s="35">
        <f t="shared" si="9"/>
        <v>88.875</v>
      </c>
      <c r="CI56" s="35">
        <f t="shared" si="9"/>
        <v>81.468750000000028</v>
      </c>
      <c r="CJ56" s="35">
        <f t="shared" si="9"/>
        <v>74.062499999999972</v>
      </c>
      <c r="CK56" s="35">
        <f t="shared" si="9"/>
        <v>66.65625</v>
      </c>
      <c r="CL56" s="35">
        <f t="shared" si="9"/>
        <v>59.250000000000028</v>
      </c>
      <c r="CM56" s="35">
        <f t="shared" si="9"/>
        <v>51.843749999999972</v>
      </c>
      <c r="CN56" s="35">
        <f t="shared" si="9"/>
        <v>44.4375</v>
      </c>
      <c r="CO56" s="35">
        <f t="shared" si="9"/>
        <v>37.031250000000028</v>
      </c>
      <c r="CP56" s="35">
        <f t="shared" si="9"/>
        <v>29.624999999999975</v>
      </c>
      <c r="CQ56" s="35">
        <f t="shared" si="9"/>
        <v>22.21875</v>
      </c>
      <c r="CR56" s="35">
        <f t="shared" si="9"/>
        <v>14.812500000000027</v>
      </c>
      <c r="CS56" s="35">
        <f t="shared" si="9"/>
        <v>7.4062499999999734</v>
      </c>
      <c r="CT56" s="35">
        <f t="shared" si="9"/>
        <v>0</v>
      </c>
    </row>
    <row r="58" spans="1:99" x14ac:dyDescent="0.3">
      <c r="A58" s="34" t="s">
        <v>80</v>
      </c>
      <c r="B58" s="28">
        <f>B54</f>
        <v>711</v>
      </c>
      <c r="C58" s="35">
        <f>$B$58-SUMPRODUCT(Resumen_Sprints!$I$6:$I$13,(ABS((C$4-Resumen_Sprints!$E$6:$E$13)/Resumen_Sprints!$D$6:$D$13)-ABS(((C$4-Resumen_Sprints!$E$6:$E$13)/Resumen_Sprints!$D$6:$D$13)-1)+1)/2)</f>
        <v>704.85714285714278</v>
      </c>
      <c r="D58" s="35">
        <f>$B$58-SUMPRODUCT(Resumen_Sprints!$I$6:$I$13,(ABS((D$4-Resumen_Sprints!$E$6:$E$13)/Resumen_Sprints!$D$6:$D$13)-ABS(((D$4-Resumen_Sprints!$E$6:$E$13)/Resumen_Sprints!$D$6:$D$13)-1)+1)/2)</f>
        <v>698.71428571428567</v>
      </c>
      <c r="E58" s="35">
        <f>$B$58-SUMPRODUCT(Resumen_Sprints!$I$6:$I$13,(ABS((E$4-Resumen_Sprints!$E$6:$E$13)/Resumen_Sprints!$D$6:$D$13)-ABS(((E$4-Resumen_Sprints!$E$6:$E$13)/Resumen_Sprints!$D$6:$D$13)-1)+1)/2)</f>
        <v>692.57142857142867</v>
      </c>
      <c r="F58" s="35">
        <f>$B$58-SUMPRODUCT(Resumen_Sprints!$I$6:$I$13,(ABS((F$4-Resumen_Sprints!$E$6:$E$13)/Resumen_Sprints!$D$6:$D$13)-ABS(((F$4-Resumen_Sprints!$E$6:$E$13)/Resumen_Sprints!$D$6:$D$13)-1)+1)/2)</f>
        <v>686.42857142857144</v>
      </c>
      <c r="G58" s="35">
        <f>$B$58-SUMPRODUCT(Resumen_Sprints!$I$6:$I$13,(ABS((G$4-Resumen_Sprints!$E$6:$E$13)/Resumen_Sprints!$D$6:$D$13)-ABS(((G$4-Resumen_Sprints!$E$6:$E$13)/Resumen_Sprints!$D$6:$D$13)-1)+1)/2)</f>
        <v>680.28571428571422</v>
      </c>
      <c r="H58" s="35">
        <f>$B$58-SUMPRODUCT(Resumen_Sprints!$I$6:$I$13,(ABS((H$4-Resumen_Sprints!$E$6:$E$13)/Resumen_Sprints!$D$6:$D$13)-ABS(((H$4-Resumen_Sprints!$E$6:$E$13)/Resumen_Sprints!$D$6:$D$13)-1)+1)/2)</f>
        <v>674.14285714285711</v>
      </c>
      <c r="I58" s="35">
        <f>$B$58-SUMPRODUCT(Resumen_Sprints!$I$6:$I$13,(ABS((I$4-Resumen_Sprints!$E$6:$E$13)/Resumen_Sprints!$D$6:$D$13)-ABS(((I$4-Resumen_Sprints!$E$6:$E$13)/Resumen_Sprints!$D$6:$D$13)-1)+1)/2)</f>
        <v>668</v>
      </c>
      <c r="J58" s="35">
        <f>$B$58-SUMPRODUCT(Resumen_Sprints!$I$6:$I$13,(ABS((J$4-Resumen_Sprints!$E$6:$E$13)/Resumen_Sprints!$D$6:$D$13)-ABS(((J$4-Resumen_Sprints!$E$6:$E$13)/Resumen_Sprints!$D$6:$D$13)-1)+1)/2)</f>
        <v>660.46153846153845</v>
      </c>
      <c r="K58" s="35">
        <f>$B$58-SUMPRODUCT(Resumen_Sprints!$I$6:$I$13,(ABS((K$4-Resumen_Sprints!$E$6:$E$13)/Resumen_Sprints!$D$6:$D$13)-ABS(((K$4-Resumen_Sprints!$E$6:$E$13)/Resumen_Sprints!$D$6:$D$13)-1)+1)/2)</f>
        <v>652.92307692307691</v>
      </c>
      <c r="L58" s="35">
        <f>$B$58-SUMPRODUCT(Resumen_Sprints!$I$6:$I$13,(ABS((L$4-Resumen_Sprints!$E$6:$E$13)/Resumen_Sprints!$D$6:$D$13)-ABS(((L$4-Resumen_Sprints!$E$6:$E$13)/Resumen_Sprints!$D$6:$D$13)-1)+1)/2)</f>
        <v>645.38461538461536</v>
      </c>
      <c r="M58" s="35">
        <f>$B$58-SUMPRODUCT(Resumen_Sprints!$I$6:$I$13,(ABS((M$4-Resumen_Sprints!$E$6:$E$13)/Resumen_Sprints!$D$6:$D$13)-ABS(((M$4-Resumen_Sprints!$E$6:$E$13)/Resumen_Sprints!$D$6:$D$13)-1)+1)/2)</f>
        <v>637.84615384615381</v>
      </c>
      <c r="N58" s="35">
        <f>$B$58-SUMPRODUCT(Resumen_Sprints!$I$6:$I$13,(ABS((N$4-Resumen_Sprints!$E$6:$E$13)/Resumen_Sprints!$D$6:$D$13)-ABS(((N$4-Resumen_Sprints!$E$6:$E$13)/Resumen_Sprints!$D$6:$D$13)-1)+1)/2)</f>
        <v>630.30769230769226</v>
      </c>
      <c r="O58" s="35">
        <f>$B$58-SUMPRODUCT(Resumen_Sprints!$I$6:$I$13,(ABS((O$4-Resumen_Sprints!$E$6:$E$13)/Resumen_Sprints!$D$6:$D$13)-ABS(((O$4-Resumen_Sprints!$E$6:$E$13)/Resumen_Sprints!$D$6:$D$13)-1)+1)/2)</f>
        <v>622.76923076923072</v>
      </c>
      <c r="P58" s="35">
        <f>$B$58-SUMPRODUCT(Resumen_Sprints!$I$6:$I$13,(ABS((P$4-Resumen_Sprints!$E$6:$E$13)/Resumen_Sprints!$D$6:$D$13)-ABS(((P$4-Resumen_Sprints!$E$6:$E$13)/Resumen_Sprints!$D$6:$D$13)-1)+1)/2)</f>
        <v>615.23076923076928</v>
      </c>
      <c r="Q58" s="35">
        <f>$B$58-SUMPRODUCT(Resumen_Sprints!$I$6:$I$13,(ABS((Q$4-Resumen_Sprints!$E$6:$E$13)/Resumen_Sprints!$D$6:$D$13)-ABS(((Q$4-Resumen_Sprints!$E$6:$E$13)/Resumen_Sprints!$D$6:$D$13)-1)+1)/2)</f>
        <v>607.69230769230774</v>
      </c>
      <c r="R58" s="35">
        <f>$B$58-SUMPRODUCT(Resumen_Sprints!$I$6:$I$13,(ABS((R$4-Resumen_Sprints!$E$6:$E$13)/Resumen_Sprints!$D$6:$D$13)-ABS(((R$4-Resumen_Sprints!$E$6:$E$13)/Resumen_Sprints!$D$6:$D$13)-1)+1)/2)</f>
        <v>600.15384615384619</v>
      </c>
      <c r="S58" s="35">
        <f>$B$58-SUMPRODUCT(Resumen_Sprints!$I$6:$I$13,(ABS((S$4-Resumen_Sprints!$E$6:$E$13)/Resumen_Sprints!$D$6:$D$13)-ABS(((S$4-Resumen_Sprints!$E$6:$E$13)/Resumen_Sprints!$D$6:$D$13)-1)+1)/2)</f>
        <v>592.61538461538464</v>
      </c>
      <c r="T58" s="35">
        <f>$B$58-SUMPRODUCT(Resumen_Sprints!$I$6:$I$13,(ABS((T$4-Resumen_Sprints!$E$6:$E$13)/Resumen_Sprints!$D$6:$D$13)-ABS(((T$4-Resumen_Sprints!$E$6:$E$13)/Resumen_Sprints!$D$6:$D$13)-1)+1)/2)</f>
        <v>585.07692307692309</v>
      </c>
      <c r="U58" s="35">
        <f>$B$58-SUMPRODUCT(Resumen_Sprints!$I$6:$I$13,(ABS((U$4-Resumen_Sprints!$E$6:$E$13)/Resumen_Sprints!$D$6:$D$13)-ABS(((U$4-Resumen_Sprints!$E$6:$E$13)/Resumen_Sprints!$D$6:$D$13)-1)+1)/2)</f>
        <v>577.53846153846143</v>
      </c>
      <c r="V58" s="35">
        <f>$B$58-SUMPRODUCT(Resumen_Sprints!$I$6:$I$13,(ABS((V$4-Resumen_Sprints!$E$6:$E$13)/Resumen_Sprints!$D$6:$D$13)-ABS(((V$4-Resumen_Sprints!$E$6:$E$13)/Resumen_Sprints!$D$6:$D$13)-1)+1)/2)</f>
        <v>570</v>
      </c>
      <c r="W58" s="35">
        <f>$B$58-SUMPRODUCT(Resumen_Sprints!$I$6:$I$13,(ABS((W$4-Resumen_Sprints!$E$6:$E$13)/Resumen_Sprints!$D$6:$D$13)-ABS(((W$4-Resumen_Sprints!$E$6:$E$13)/Resumen_Sprints!$D$6:$D$13)-1)+1)/2)</f>
        <v>563.28571428571433</v>
      </c>
      <c r="X58" s="35">
        <f>$B$58-SUMPRODUCT(Resumen_Sprints!$I$6:$I$13,(ABS((X$4-Resumen_Sprints!$E$6:$E$13)/Resumen_Sprints!$D$6:$D$13)-ABS(((X$4-Resumen_Sprints!$E$6:$E$13)/Resumen_Sprints!$D$6:$D$13)-1)+1)/2)</f>
        <v>556.57142857142867</v>
      </c>
      <c r="Y58" s="35">
        <f>$B$58-SUMPRODUCT(Resumen_Sprints!$I$6:$I$13,(ABS((Y$4-Resumen_Sprints!$E$6:$E$13)/Resumen_Sprints!$D$6:$D$13)-ABS(((Y$4-Resumen_Sprints!$E$6:$E$13)/Resumen_Sprints!$D$6:$D$13)-1)+1)/2)</f>
        <v>549.85714285714289</v>
      </c>
      <c r="Z58" s="35">
        <f>$B$58-SUMPRODUCT(Resumen_Sprints!$I$6:$I$13,(ABS((Z$4-Resumen_Sprints!$E$6:$E$13)/Resumen_Sprints!$D$6:$D$13)-ABS(((Z$4-Resumen_Sprints!$E$6:$E$13)/Resumen_Sprints!$D$6:$D$13)-1)+1)/2)</f>
        <v>543.14285714285711</v>
      </c>
      <c r="AA58" s="35">
        <f>$B$58-SUMPRODUCT(Resumen_Sprints!$I$6:$I$13,(ABS((AA$4-Resumen_Sprints!$E$6:$E$13)/Resumen_Sprints!$D$6:$D$13)-ABS(((AA$4-Resumen_Sprints!$E$6:$E$13)/Resumen_Sprints!$D$6:$D$13)-1)+1)/2)</f>
        <v>536.42857142857144</v>
      </c>
      <c r="AB58" s="35">
        <f>$B$58-SUMPRODUCT(Resumen_Sprints!$I$6:$I$13,(ABS((AB$4-Resumen_Sprints!$E$6:$E$13)/Resumen_Sprints!$D$6:$D$13)-ABS(((AB$4-Resumen_Sprints!$E$6:$E$13)/Resumen_Sprints!$D$6:$D$13)-1)+1)/2)</f>
        <v>529.71428571428567</v>
      </c>
      <c r="AC58" s="35">
        <f>$B$58-SUMPRODUCT(Resumen_Sprints!$I$6:$I$13,(ABS((AC$4-Resumen_Sprints!$E$6:$E$13)/Resumen_Sprints!$D$6:$D$13)-ABS(((AC$4-Resumen_Sprints!$E$6:$E$13)/Resumen_Sprints!$D$6:$D$13)-1)+1)/2)</f>
        <v>523</v>
      </c>
      <c r="AD58" s="35">
        <f>$B$58-SUMPRODUCT(Resumen_Sprints!$I$6:$I$13,(ABS((AD$4-Resumen_Sprints!$E$6:$E$13)/Resumen_Sprints!$D$6:$D$13)-ABS(((AD$4-Resumen_Sprints!$E$6:$E$13)/Resumen_Sprints!$D$6:$D$13)-1)+1)/2)</f>
        <v>516.5</v>
      </c>
      <c r="AE58" s="35">
        <f>$B$58-SUMPRODUCT(Resumen_Sprints!$I$6:$I$13,(ABS((AE$4-Resumen_Sprints!$E$6:$E$13)/Resumen_Sprints!$D$6:$D$13)-ABS(((AE$4-Resumen_Sprints!$E$6:$E$13)/Resumen_Sprints!$D$6:$D$13)-1)+1)/2)</f>
        <v>510</v>
      </c>
      <c r="AF58" s="35">
        <f>$B$58-SUMPRODUCT(Resumen_Sprints!$I$6:$I$13,(ABS((AF$4-Resumen_Sprints!$E$6:$E$13)/Resumen_Sprints!$D$6:$D$13)-ABS(((AF$4-Resumen_Sprints!$E$6:$E$13)/Resumen_Sprints!$D$6:$D$13)-1)+1)/2)</f>
        <v>503.5</v>
      </c>
      <c r="AG58" s="35">
        <f>$B$58-SUMPRODUCT(Resumen_Sprints!$I$6:$I$13,(ABS((AG$4-Resumen_Sprints!$E$6:$E$13)/Resumen_Sprints!$D$6:$D$13)-ABS(((AG$4-Resumen_Sprints!$E$6:$E$13)/Resumen_Sprints!$D$6:$D$13)-1)+1)/2)</f>
        <v>497</v>
      </c>
      <c r="AH58" s="35">
        <f>$B$58-SUMPRODUCT(Resumen_Sprints!$I$6:$I$13,(ABS((AH$4-Resumen_Sprints!$E$6:$E$13)/Resumen_Sprints!$D$6:$D$13)-ABS(((AH$4-Resumen_Sprints!$E$6:$E$13)/Resumen_Sprints!$D$6:$D$13)-1)+1)/2)</f>
        <v>490.5</v>
      </c>
      <c r="AI58" s="35">
        <f>$B$58-SUMPRODUCT(Resumen_Sprints!$I$6:$I$13,(ABS((AI$4-Resumen_Sprints!$E$6:$E$13)/Resumen_Sprints!$D$6:$D$13)-ABS(((AI$4-Resumen_Sprints!$E$6:$E$13)/Resumen_Sprints!$D$6:$D$13)-1)+1)/2)</f>
        <v>484</v>
      </c>
      <c r="AJ58" s="35">
        <f>$B$58-SUMPRODUCT(Resumen_Sprints!$I$6:$I$13,(ABS((AJ$4-Resumen_Sprints!$E$6:$E$13)/Resumen_Sprints!$D$6:$D$13)-ABS(((AJ$4-Resumen_Sprints!$E$6:$E$13)/Resumen_Sprints!$D$6:$D$13)-1)+1)/2)</f>
        <v>477.5</v>
      </c>
      <c r="AK58" s="35">
        <f>$B$58-SUMPRODUCT(Resumen_Sprints!$I$6:$I$13,(ABS((AK$4-Resumen_Sprints!$E$6:$E$13)/Resumen_Sprints!$D$6:$D$13)-ABS(((AK$4-Resumen_Sprints!$E$6:$E$13)/Resumen_Sprints!$D$6:$D$13)-1)+1)/2)</f>
        <v>471</v>
      </c>
      <c r="AL58" s="35">
        <f>$B$58-SUMPRODUCT(Resumen_Sprints!$I$6:$I$13,(ABS((AL$4-Resumen_Sprints!$E$6:$E$13)/Resumen_Sprints!$D$6:$D$13)-ABS(((AL$4-Resumen_Sprints!$E$6:$E$13)/Resumen_Sprints!$D$6:$D$13)-1)+1)/2)</f>
        <v>464.5</v>
      </c>
      <c r="AM58" s="35">
        <f>$B$58-SUMPRODUCT(Resumen_Sprints!$I$6:$I$13,(ABS((AM$4-Resumen_Sprints!$E$6:$E$13)/Resumen_Sprints!$D$6:$D$13)-ABS(((AM$4-Resumen_Sprints!$E$6:$E$13)/Resumen_Sprints!$D$6:$D$13)-1)+1)/2)</f>
        <v>458</v>
      </c>
      <c r="AN58" s="35">
        <f>$B$58-SUMPRODUCT(Resumen_Sprints!$I$6:$I$13,(ABS((AN$4-Resumen_Sprints!$E$6:$E$13)/Resumen_Sprints!$D$6:$D$13)-ABS(((AN$4-Resumen_Sprints!$E$6:$E$13)/Resumen_Sprints!$D$6:$D$13)-1)+1)/2)</f>
        <v>451.5</v>
      </c>
      <c r="AO58" s="35">
        <f>$B$58-SUMPRODUCT(Resumen_Sprints!$I$6:$I$13,(ABS((AO$4-Resumen_Sprints!$E$6:$E$13)/Resumen_Sprints!$D$6:$D$13)-ABS(((AO$4-Resumen_Sprints!$E$6:$E$13)/Resumen_Sprints!$D$6:$D$13)-1)+1)/2)</f>
        <v>445</v>
      </c>
      <c r="AP58" s="35">
        <f>$B$58-SUMPRODUCT(Resumen_Sprints!$I$6:$I$13,(ABS((AP$4-Resumen_Sprints!$E$6:$E$13)/Resumen_Sprints!$D$6:$D$13)-ABS(((AP$4-Resumen_Sprints!$E$6:$E$13)/Resumen_Sprints!$D$6:$D$13)-1)+1)/2)</f>
        <v>438.5</v>
      </c>
      <c r="AQ58" s="35">
        <f>$B$58-SUMPRODUCT(Resumen_Sprints!$I$6:$I$13,(ABS((AQ$4-Resumen_Sprints!$E$6:$E$13)/Resumen_Sprints!$D$6:$D$13)-ABS(((AQ$4-Resumen_Sprints!$E$6:$E$13)/Resumen_Sprints!$D$6:$D$13)-1)+1)/2)</f>
        <v>432</v>
      </c>
      <c r="AR58" s="35">
        <f>$B$58-SUMPRODUCT(Resumen_Sprints!$I$6:$I$13,(ABS((AR$4-Resumen_Sprints!$E$6:$E$13)/Resumen_Sprints!$D$6:$D$13)-ABS(((AR$4-Resumen_Sprints!$E$6:$E$13)/Resumen_Sprints!$D$6:$D$13)-1)+1)/2)</f>
        <v>425.9375</v>
      </c>
      <c r="AS58" s="35">
        <f>$B$58-SUMPRODUCT(Resumen_Sprints!$I$6:$I$13,(ABS((AS$4-Resumen_Sprints!$E$6:$E$13)/Resumen_Sprints!$D$6:$D$13)-ABS(((AS$4-Resumen_Sprints!$E$6:$E$13)/Resumen_Sprints!$D$6:$D$13)-1)+1)/2)</f>
        <v>419.875</v>
      </c>
      <c r="AT58" s="35">
        <f>$B$58-SUMPRODUCT(Resumen_Sprints!$I$6:$I$13,(ABS((AT$4-Resumen_Sprints!$E$6:$E$13)/Resumen_Sprints!$D$6:$D$13)-ABS(((AT$4-Resumen_Sprints!$E$6:$E$13)/Resumen_Sprints!$D$6:$D$13)-1)+1)/2)</f>
        <v>413.8125</v>
      </c>
      <c r="AU58" s="35">
        <f>$B$58-SUMPRODUCT(Resumen_Sprints!$I$6:$I$13,(ABS((AU$4-Resumen_Sprints!$E$6:$E$13)/Resumen_Sprints!$D$6:$D$13)-ABS(((AU$4-Resumen_Sprints!$E$6:$E$13)/Resumen_Sprints!$D$6:$D$13)-1)+1)/2)</f>
        <v>407.75</v>
      </c>
      <c r="AV58" s="35">
        <f>$B$58-SUMPRODUCT(Resumen_Sprints!$I$6:$I$13,(ABS((AV$4-Resumen_Sprints!$E$6:$E$13)/Resumen_Sprints!$D$6:$D$13)-ABS(((AV$4-Resumen_Sprints!$E$6:$E$13)/Resumen_Sprints!$D$6:$D$13)-1)+1)/2)</f>
        <v>401.6875</v>
      </c>
      <c r="AW58" s="35">
        <f>$B$58-SUMPRODUCT(Resumen_Sprints!$I$6:$I$13,(ABS((AW$4-Resumen_Sprints!$E$6:$E$13)/Resumen_Sprints!$D$6:$D$13)-ABS(((AW$4-Resumen_Sprints!$E$6:$E$13)/Resumen_Sprints!$D$6:$D$13)-1)+1)/2)</f>
        <v>395.625</v>
      </c>
      <c r="AX58" s="35">
        <f>$B$58-SUMPRODUCT(Resumen_Sprints!$I$6:$I$13,(ABS((AX$4-Resumen_Sprints!$E$6:$E$13)/Resumen_Sprints!$D$6:$D$13)-ABS(((AX$4-Resumen_Sprints!$E$6:$E$13)/Resumen_Sprints!$D$6:$D$13)-1)+1)/2)</f>
        <v>389.5625</v>
      </c>
      <c r="AY58" s="35">
        <f>$B$58-SUMPRODUCT(Resumen_Sprints!$I$6:$I$13,(ABS((AY$4-Resumen_Sprints!$E$6:$E$13)/Resumen_Sprints!$D$6:$D$13)-ABS(((AY$4-Resumen_Sprints!$E$6:$E$13)/Resumen_Sprints!$D$6:$D$13)-1)+1)/2)</f>
        <v>383.5</v>
      </c>
      <c r="AZ58" s="35">
        <f>$B$58-SUMPRODUCT(Resumen_Sprints!$I$6:$I$13,(ABS((AZ$4-Resumen_Sprints!$E$6:$E$13)/Resumen_Sprints!$D$6:$D$13)-ABS(((AZ$4-Resumen_Sprints!$E$6:$E$13)/Resumen_Sprints!$D$6:$D$13)-1)+1)/2)</f>
        <v>377.4375</v>
      </c>
      <c r="BA58" s="35">
        <f>$B$58-SUMPRODUCT(Resumen_Sprints!$I$6:$I$13,(ABS((BA$4-Resumen_Sprints!$E$6:$E$13)/Resumen_Sprints!$D$6:$D$13)-ABS(((BA$4-Resumen_Sprints!$E$6:$E$13)/Resumen_Sprints!$D$6:$D$13)-1)+1)/2)</f>
        <v>371.375</v>
      </c>
      <c r="BB58" s="35">
        <f>$B$58-SUMPRODUCT(Resumen_Sprints!$I$6:$I$13,(ABS((BB$4-Resumen_Sprints!$E$6:$E$13)/Resumen_Sprints!$D$6:$D$13)-ABS(((BB$4-Resumen_Sprints!$E$6:$E$13)/Resumen_Sprints!$D$6:$D$13)-1)+1)/2)</f>
        <v>365.3125</v>
      </c>
      <c r="BC58" s="35">
        <f>$B$58-SUMPRODUCT(Resumen_Sprints!$I$6:$I$13,(ABS((BC$4-Resumen_Sprints!$E$6:$E$13)/Resumen_Sprints!$D$6:$D$13)-ABS(((BC$4-Resumen_Sprints!$E$6:$E$13)/Resumen_Sprints!$D$6:$D$13)-1)+1)/2)</f>
        <v>359.25</v>
      </c>
      <c r="BD58" s="35">
        <f>$B$58-SUMPRODUCT(Resumen_Sprints!$I$6:$I$13,(ABS((BD$4-Resumen_Sprints!$E$6:$E$13)/Resumen_Sprints!$D$6:$D$13)-ABS(((BD$4-Resumen_Sprints!$E$6:$E$13)/Resumen_Sprints!$D$6:$D$13)-1)+1)/2)</f>
        <v>353.1875</v>
      </c>
      <c r="BE58" s="35">
        <f>$B$58-SUMPRODUCT(Resumen_Sprints!$I$6:$I$13,(ABS((BE$4-Resumen_Sprints!$E$6:$E$13)/Resumen_Sprints!$D$6:$D$13)-ABS(((BE$4-Resumen_Sprints!$E$6:$E$13)/Resumen_Sprints!$D$6:$D$13)-1)+1)/2)</f>
        <v>347.125</v>
      </c>
      <c r="BF58" s="35">
        <f>$B$58-SUMPRODUCT(Resumen_Sprints!$I$6:$I$13,(ABS((BF$4-Resumen_Sprints!$E$6:$E$13)/Resumen_Sprints!$D$6:$D$13)-ABS(((BF$4-Resumen_Sprints!$E$6:$E$13)/Resumen_Sprints!$D$6:$D$13)-1)+1)/2)</f>
        <v>341.0625</v>
      </c>
      <c r="BG58" s="35">
        <f>$B$58-SUMPRODUCT(Resumen_Sprints!$I$6:$I$13,(ABS((BG$4-Resumen_Sprints!$E$6:$E$13)/Resumen_Sprints!$D$6:$D$13)-ABS(((BG$4-Resumen_Sprints!$E$6:$E$13)/Resumen_Sprints!$D$6:$D$13)-1)+1)/2)</f>
        <v>335</v>
      </c>
      <c r="BH58" s="35">
        <f>$B$58-SUMPRODUCT(Resumen_Sprints!$I$6:$I$13,(ABS((BH$4-Resumen_Sprints!$E$6:$E$13)/Resumen_Sprints!$D$6:$D$13)-ABS(((BH$4-Resumen_Sprints!$E$6:$E$13)/Resumen_Sprints!$D$6:$D$13)-1)+1)/2)</f>
        <v>323.75</v>
      </c>
      <c r="BI58" s="35">
        <f>$B$58-SUMPRODUCT(Resumen_Sprints!$I$6:$I$13,(ABS((BI$4-Resumen_Sprints!$E$6:$E$13)/Resumen_Sprints!$D$6:$D$13)-ABS(((BI$4-Resumen_Sprints!$E$6:$E$13)/Resumen_Sprints!$D$6:$D$13)-1)+1)/2)</f>
        <v>312.5</v>
      </c>
      <c r="BJ58" s="35">
        <f>$B$58-SUMPRODUCT(Resumen_Sprints!$I$6:$I$13,(ABS((BJ$4-Resumen_Sprints!$E$6:$E$13)/Resumen_Sprints!$D$6:$D$13)-ABS(((BJ$4-Resumen_Sprints!$E$6:$E$13)/Resumen_Sprints!$D$6:$D$13)-1)+1)/2)</f>
        <v>301.25</v>
      </c>
      <c r="BK58" s="35">
        <f>$B$58-SUMPRODUCT(Resumen_Sprints!$I$6:$I$13,(ABS((BK$4-Resumen_Sprints!$E$6:$E$13)/Resumen_Sprints!$D$6:$D$13)-ABS(((BK$4-Resumen_Sprints!$E$6:$E$13)/Resumen_Sprints!$D$6:$D$13)-1)+1)/2)</f>
        <v>290</v>
      </c>
      <c r="BL58" s="35">
        <f>$B$58-SUMPRODUCT(Resumen_Sprints!$I$6:$I$13,(ABS((BL$4-Resumen_Sprints!$E$6:$E$13)/Resumen_Sprints!$D$6:$D$13)-ABS(((BL$4-Resumen_Sprints!$E$6:$E$13)/Resumen_Sprints!$D$6:$D$13)-1)+1)/2)</f>
        <v>278.75</v>
      </c>
      <c r="BM58" s="35">
        <f>$B$58-SUMPRODUCT(Resumen_Sprints!$I$6:$I$13,(ABS((BM$4-Resumen_Sprints!$E$6:$E$13)/Resumen_Sprints!$D$6:$D$13)-ABS(((BM$4-Resumen_Sprints!$E$6:$E$13)/Resumen_Sprints!$D$6:$D$13)-1)+1)/2)</f>
        <v>267.5</v>
      </c>
      <c r="BN58" s="35">
        <f>$B$58-SUMPRODUCT(Resumen_Sprints!$I$6:$I$13,(ABS((BN$4-Resumen_Sprints!$E$6:$E$13)/Resumen_Sprints!$D$6:$D$13)-ABS(((BN$4-Resumen_Sprints!$E$6:$E$13)/Resumen_Sprints!$D$6:$D$13)-1)+1)/2)</f>
        <v>256.25</v>
      </c>
      <c r="BO58" s="35">
        <f>$B$58-SUMPRODUCT(Resumen_Sprints!$I$6:$I$13,(ABS((BO$4-Resumen_Sprints!$E$6:$E$13)/Resumen_Sprints!$D$6:$D$13)-ABS(((BO$4-Resumen_Sprints!$E$6:$E$13)/Resumen_Sprints!$D$6:$D$13)-1)+1)/2)</f>
        <v>245</v>
      </c>
      <c r="BP58" s="35">
        <f>$B$58-SUMPRODUCT(Resumen_Sprints!$I$6:$I$13,(ABS((BP$4-Resumen_Sprints!$E$6:$E$13)/Resumen_Sprints!$D$6:$D$13)-ABS(((BP$4-Resumen_Sprints!$E$6:$E$13)/Resumen_Sprints!$D$6:$D$13)-1)+1)/2)</f>
        <v>233.75</v>
      </c>
      <c r="BQ58" s="35">
        <f>$B$58-SUMPRODUCT(Resumen_Sprints!$I$6:$I$13,(ABS((BQ$4-Resumen_Sprints!$E$6:$E$13)/Resumen_Sprints!$D$6:$D$13)-ABS(((BQ$4-Resumen_Sprints!$E$6:$E$13)/Resumen_Sprints!$D$6:$D$13)-1)+1)/2)</f>
        <v>222.5</v>
      </c>
      <c r="BR58" s="35">
        <f>$B$58-SUMPRODUCT(Resumen_Sprints!$I$6:$I$13,(ABS((BR$4-Resumen_Sprints!$E$6:$E$13)/Resumen_Sprints!$D$6:$D$13)-ABS(((BR$4-Resumen_Sprints!$E$6:$E$13)/Resumen_Sprints!$D$6:$D$13)-1)+1)/2)</f>
        <v>211.25</v>
      </c>
      <c r="BS58" s="35">
        <f>$B$58-SUMPRODUCT(Resumen_Sprints!$I$6:$I$13,(ABS((BS$4-Resumen_Sprints!$E$6:$E$13)/Resumen_Sprints!$D$6:$D$13)-ABS(((BS$4-Resumen_Sprints!$E$6:$E$13)/Resumen_Sprints!$D$6:$D$13)-1)+1)/2)</f>
        <v>200</v>
      </c>
      <c r="BT58" s="35">
        <f>$B$58-SUMPRODUCT(Resumen_Sprints!$I$6:$I$13,(ABS((BT$4-Resumen_Sprints!$E$6:$E$13)/Resumen_Sprints!$D$6:$D$13)-ABS(((BT$4-Resumen_Sprints!$E$6:$E$13)/Resumen_Sprints!$D$6:$D$13)-1)+1)/2)</f>
        <v>191.85714285714289</v>
      </c>
      <c r="BU58" s="35">
        <f>$B$58-SUMPRODUCT(Resumen_Sprints!$I$6:$I$13,(ABS((BU$4-Resumen_Sprints!$E$6:$E$13)/Resumen_Sprints!$D$6:$D$13)-ABS(((BU$4-Resumen_Sprints!$E$6:$E$13)/Resumen_Sprints!$D$6:$D$13)-1)+1)/2)</f>
        <v>183.71428571428578</v>
      </c>
      <c r="BV58" s="35">
        <f>$B$58-SUMPRODUCT(Resumen_Sprints!$I$6:$I$13,(ABS((BV$4-Resumen_Sprints!$E$6:$E$13)/Resumen_Sprints!$D$6:$D$13)-ABS(((BV$4-Resumen_Sprints!$E$6:$E$13)/Resumen_Sprints!$D$6:$D$13)-1)+1)/2)</f>
        <v>175.57142857142856</v>
      </c>
      <c r="BW58" s="35">
        <f>$B$58-SUMPRODUCT(Resumen_Sprints!$I$6:$I$13,(ABS((BW$4-Resumen_Sprints!$E$6:$E$13)/Resumen_Sprints!$D$6:$D$13)-ABS(((BW$4-Resumen_Sprints!$E$6:$E$13)/Resumen_Sprints!$D$6:$D$13)-1)+1)/2)</f>
        <v>167.42857142857144</v>
      </c>
      <c r="BX58" s="35">
        <f>$B$58-SUMPRODUCT(Resumen_Sprints!$I$6:$I$13,(ABS((BX$4-Resumen_Sprints!$E$6:$E$13)/Resumen_Sprints!$D$6:$D$13)-ABS(((BX$4-Resumen_Sprints!$E$6:$E$13)/Resumen_Sprints!$D$6:$D$13)-1)+1)/2)</f>
        <v>159.28571428571422</v>
      </c>
      <c r="BY58" s="35">
        <f>$B$58-SUMPRODUCT(Resumen_Sprints!$I$6:$I$13,(ABS((BY$4-Resumen_Sprints!$E$6:$E$13)/Resumen_Sprints!$D$6:$D$13)-ABS(((BY$4-Resumen_Sprints!$E$6:$E$13)/Resumen_Sprints!$D$6:$D$13)-1)+1)/2)</f>
        <v>151.14285714285711</v>
      </c>
      <c r="BZ58" s="35">
        <f>$B$58-SUMPRODUCT(Resumen_Sprints!$I$6:$I$13,(ABS((BZ$4-Resumen_Sprints!$E$6:$E$13)/Resumen_Sprints!$D$6:$D$13)-ABS(((BZ$4-Resumen_Sprints!$E$6:$E$13)/Resumen_Sprints!$D$6:$D$13)-1)+1)/2)</f>
        <v>143</v>
      </c>
      <c r="CA58" s="35">
        <f>$B$58-SUMPRODUCT(Resumen_Sprints!$I$6:$I$13,(ABS((CA$4-Resumen_Sprints!$E$6:$E$13)/Resumen_Sprints!$D$6:$D$13)-ABS(((CA$4-Resumen_Sprints!$E$6:$E$13)/Resumen_Sprints!$D$6:$D$13)-1)+1)/2)</f>
        <v>134.85714285714289</v>
      </c>
      <c r="CB58" s="35">
        <f>$B$58-SUMPRODUCT(Resumen_Sprints!$I$6:$I$13,(ABS((CB$4-Resumen_Sprints!$E$6:$E$13)/Resumen_Sprints!$D$6:$D$13)-ABS(((CB$4-Resumen_Sprints!$E$6:$E$13)/Resumen_Sprints!$D$6:$D$13)-1)+1)/2)</f>
        <v>126.71428571428567</v>
      </c>
      <c r="CC58" s="35">
        <f>$B$58-SUMPRODUCT(Resumen_Sprints!$I$6:$I$13,(ABS((CC$4-Resumen_Sprints!$E$6:$E$13)/Resumen_Sprints!$D$6:$D$13)-ABS(((CC$4-Resumen_Sprints!$E$6:$E$13)/Resumen_Sprints!$D$6:$D$13)-1)+1)/2)</f>
        <v>118.57142857142856</v>
      </c>
      <c r="CD58" s="35">
        <f>$B$58-SUMPRODUCT(Resumen_Sprints!$I$6:$I$13,(ABS((CD$4-Resumen_Sprints!$E$6:$E$13)/Resumen_Sprints!$D$6:$D$13)-ABS(((CD$4-Resumen_Sprints!$E$6:$E$13)/Resumen_Sprints!$D$6:$D$13)-1)+1)/2)</f>
        <v>110.42857142857144</v>
      </c>
      <c r="CE58" s="35">
        <f>$B$58-SUMPRODUCT(Resumen_Sprints!$I$6:$I$13,(ABS((CE$4-Resumen_Sprints!$E$6:$E$13)/Resumen_Sprints!$D$6:$D$13)-ABS(((CE$4-Resumen_Sprints!$E$6:$E$13)/Resumen_Sprints!$D$6:$D$13)-1)+1)/2)</f>
        <v>102.28571428571433</v>
      </c>
      <c r="CF58" s="35">
        <f>$B$58-SUMPRODUCT(Resumen_Sprints!$I$6:$I$13,(ABS((CF$4-Resumen_Sprints!$E$6:$E$13)/Resumen_Sprints!$D$6:$D$13)-ABS(((CF$4-Resumen_Sprints!$E$6:$E$13)/Resumen_Sprints!$D$6:$D$13)-1)+1)/2)</f>
        <v>94.14285714285711</v>
      </c>
      <c r="CG58" s="35">
        <f>$B$58-SUMPRODUCT(Resumen_Sprints!$I$6:$I$13,(ABS((CG$4-Resumen_Sprints!$E$6:$E$13)/Resumen_Sprints!$D$6:$D$13)-ABS(((CG$4-Resumen_Sprints!$E$6:$E$13)/Resumen_Sprints!$D$6:$D$13)-1)+1)/2)</f>
        <v>86</v>
      </c>
      <c r="CH58" s="35">
        <f>$B$58-SUMPRODUCT(Resumen_Sprints!$I$6:$I$13,(ABS((CH$4-Resumen_Sprints!$E$6:$E$13)/Resumen_Sprints!$D$6:$D$13)-ABS(((CH$4-Resumen_Sprints!$E$6:$E$13)/Resumen_Sprints!$D$6:$D$13)-1)+1)/2)</f>
        <v>78.18181818181813</v>
      </c>
      <c r="CI58" s="35">
        <f>$B$58-SUMPRODUCT(Resumen_Sprints!$I$6:$I$13,(ABS((CI$4-Resumen_Sprints!$E$6:$E$13)/Resumen_Sprints!$D$6:$D$13)-ABS(((CI$4-Resumen_Sprints!$E$6:$E$13)/Resumen_Sprints!$D$6:$D$13)-1)+1)/2)</f>
        <v>70.363636363636374</v>
      </c>
      <c r="CJ58" s="35">
        <f>$B$58-SUMPRODUCT(Resumen_Sprints!$I$6:$I$13,(ABS((CJ$4-Resumen_Sprints!$E$6:$E$13)/Resumen_Sprints!$D$6:$D$13)-ABS(((CJ$4-Resumen_Sprints!$E$6:$E$13)/Resumen_Sprints!$D$6:$D$13)-1)+1)/2)</f>
        <v>62.545454545454504</v>
      </c>
      <c r="CK58" s="35">
        <f>$B$58-SUMPRODUCT(Resumen_Sprints!$I$6:$I$13,(ABS((CK$4-Resumen_Sprints!$E$6:$E$13)/Resumen_Sprints!$D$6:$D$13)-ABS(((CK$4-Resumen_Sprints!$E$6:$E$13)/Resumen_Sprints!$D$6:$D$13)-1)+1)/2)</f>
        <v>54.727272727272748</v>
      </c>
      <c r="CL58" s="35">
        <f>$B$58-SUMPRODUCT(Resumen_Sprints!$I$6:$I$13,(ABS((CL$4-Resumen_Sprints!$E$6:$E$13)/Resumen_Sprints!$D$6:$D$13)-ABS(((CL$4-Resumen_Sprints!$E$6:$E$13)/Resumen_Sprints!$D$6:$D$13)-1)+1)/2)</f>
        <v>46.909090909090878</v>
      </c>
      <c r="CM58" s="35">
        <f>$B$58-SUMPRODUCT(Resumen_Sprints!$I$6:$I$13,(ABS((CM$4-Resumen_Sprints!$E$6:$E$13)/Resumen_Sprints!$D$6:$D$13)-ABS(((CM$4-Resumen_Sprints!$E$6:$E$13)/Resumen_Sprints!$D$6:$D$13)-1)+1)/2)</f>
        <v>39.090909090909122</v>
      </c>
      <c r="CN58" s="35">
        <f>$B$58-SUMPRODUCT(Resumen_Sprints!$I$6:$I$13,(ABS((CN$4-Resumen_Sprints!$E$6:$E$13)/Resumen_Sprints!$D$6:$D$13)-ABS(((CN$4-Resumen_Sprints!$E$6:$E$13)/Resumen_Sprints!$D$6:$D$13)-1)+1)/2)</f>
        <v>31.272727272727252</v>
      </c>
      <c r="CO58" s="35">
        <f>$B$58-SUMPRODUCT(Resumen_Sprints!$I$6:$I$13,(ABS((CO$4-Resumen_Sprints!$E$6:$E$13)/Resumen_Sprints!$D$6:$D$13)-ABS(((CO$4-Resumen_Sprints!$E$6:$E$13)/Resumen_Sprints!$D$6:$D$13)-1)+1)/2)</f>
        <v>23.454545454545496</v>
      </c>
      <c r="CP58" s="35">
        <f>$B$58-SUMPRODUCT(Resumen_Sprints!$I$6:$I$13,(ABS((CP$4-Resumen_Sprints!$E$6:$E$13)/Resumen_Sprints!$D$6:$D$13)-ABS(((CP$4-Resumen_Sprints!$E$6:$E$13)/Resumen_Sprints!$D$6:$D$13)-1)+1)/2)</f>
        <v>15.636363636363626</v>
      </c>
      <c r="CQ58" s="35">
        <f>$B$58-SUMPRODUCT(Resumen_Sprints!$I$6:$I$13,(ABS((CQ$4-Resumen_Sprints!$E$6:$E$13)/Resumen_Sprints!$D$6:$D$13)-ABS(((CQ$4-Resumen_Sprints!$E$6:$E$13)/Resumen_Sprints!$D$6:$D$13)-1)+1)/2)</f>
        <v>7.8181818181818699</v>
      </c>
      <c r="CR58" s="35">
        <f>$B$58-SUMPRODUCT(Resumen_Sprints!$I$6:$I$13,(ABS((CR$4-Resumen_Sprints!$E$6:$E$13)/Resumen_Sprints!$D$6:$D$13)-ABS(((CR$4-Resumen_Sprints!$E$6:$E$13)/Resumen_Sprints!$D$6:$D$13)-1)+1)/2)</f>
        <v>0</v>
      </c>
      <c r="CS58" s="35">
        <f>$B$58-SUMPRODUCT(Resumen_Sprints!$I$6:$I$13,(ABS((CS$4-Resumen_Sprints!$E$6:$E$13)/Resumen_Sprints!$D$6:$D$13)-ABS(((CS$4-Resumen_Sprints!$E$6:$E$13)/Resumen_Sprints!$D$6:$D$13)-1)+1)/2)</f>
        <v>0</v>
      </c>
      <c r="CT58" s="35">
        <f>$B$58-SUMPRODUCT(Resumen_Sprints!$I$6:$I$13,(ABS((CT$4-Resumen_Sprints!$E$6:$E$13)/Resumen_Sprints!$D$6:$D$13)-ABS(((CT$4-Resumen_Sprints!$E$6:$E$13)/Resumen_Sprints!$D$6:$D$13)-1)+1)/2)</f>
        <v>0</v>
      </c>
    </row>
  </sheetData>
  <mergeCells count="4">
    <mergeCell ref="A3:A4"/>
    <mergeCell ref="B3:B4"/>
    <mergeCell ref="C3:CT3"/>
    <mergeCell ref="CU3:CU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2" sqref="A2:M2"/>
    </sheetView>
  </sheetViews>
  <sheetFormatPr baseColWidth="10" defaultColWidth="8.6640625" defaultRowHeight="14.4" x14ac:dyDescent="0.3"/>
  <cols>
    <col min="1" max="1" width="8" customWidth="1"/>
    <col min="2" max="2" width="54" customWidth="1"/>
    <col min="3" max="4" width="13" customWidth="1"/>
    <col min="5" max="5" width="11" customWidth="1"/>
    <col min="6" max="7" width="12" customWidth="1"/>
    <col min="8" max="8" width="11" customWidth="1"/>
    <col min="9" max="10" width="13" customWidth="1"/>
    <col min="11" max="11" width="11" customWidth="1"/>
    <col min="12" max="12" width="14" customWidth="1"/>
    <col min="13" max="13" width="12" customWidth="1"/>
  </cols>
  <sheetData>
    <row r="1" spans="1:13" ht="21" x14ac:dyDescent="0.3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3" spans="1:13" x14ac:dyDescent="0.3">
      <c r="B3" s="4" t="s">
        <v>1</v>
      </c>
      <c r="C3" s="5">
        <v>46245</v>
      </c>
      <c r="D3" s="5">
        <v>46378</v>
      </c>
    </row>
    <row r="4" spans="1:13" x14ac:dyDescent="0.3">
      <c r="A4" s="6"/>
    </row>
    <row r="5" spans="1:13" ht="61.5" customHeight="1" x14ac:dyDescent="0.3">
      <c r="A5" s="7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  <c r="L5" s="7" t="s">
        <v>13</v>
      </c>
      <c r="M5" s="7" t="s">
        <v>14</v>
      </c>
    </row>
    <row r="6" spans="1:13" x14ac:dyDescent="0.3">
      <c r="A6" s="1">
        <v>1</v>
      </c>
      <c r="B6" s="8" t="s">
        <v>15</v>
      </c>
      <c r="C6" s="9">
        <f>COUNTIF('Sprint N°1'!$A$6:$A$10,"?*")</f>
        <v>5</v>
      </c>
      <c r="D6" s="9">
        <f>COUNT('Sprint N°1'!$C$4:$I$4)</f>
        <v>7</v>
      </c>
      <c r="E6" s="10">
        <v>0</v>
      </c>
      <c r="F6" s="11">
        <f t="shared" ref="F6:F13" si="0">WORKDAY($C$3-1,E6+1)</f>
        <v>46245</v>
      </c>
      <c r="G6" s="11">
        <f t="shared" ref="G6:G13" si="1">WORKDAY($C$3-1,E6+D6)</f>
        <v>46253</v>
      </c>
      <c r="H6" s="12">
        <v>6.5</v>
      </c>
      <c r="I6" s="13">
        <f>'Sprint N°1'!B5</f>
        <v>43</v>
      </c>
      <c r="J6" s="12">
        <v>43</v>
      </c>
      <c r="K6" s="14">
        <f t="shared" ref="K6:K13" si="2">IF($I$14=0,0,I6/$I$14)</f>
        <v>6.0478199718706049E-2</v>
      </c>
      <c r="L6" s="15">
        <f>SUM('Sprint N°1'!J6:J10)</f>
        <v>43</v>
      </c>
      <c r="M6" s="1" t="str">
        <f t="shared" ref="M6:M13" si="3">IF(ABS(I6-J6)&lt;0.001,"OK","REVISAR")</f>
        <v>OK</v>
      </c>
    </row>
    <row r="7" spans="1:13" x14ac:dyDescent="0.3">
      <c r="A7" s="1">
        <v>2</v>
      </c>
      <c r="B7" s="8" t="s">
        <v>16</v>
      </c>
      <c r="C7" s="9">
        <f>COUNTIF('Sprint N°2'!$A$6:$A$11,"?*")</f>
        <v>6</v>
      </c>
      <c r="D7" s="9">
        <f>COUNT('Sprint N°2'!$C$4:$O$4)</f>
        <v>13</v>
      </c>
      <c r="E7" s="10">
        <f t="shared" ref="E7:E13" si="4">E6+D6</f>
        <v>7</v>
      </c>
      <c r="F7" s="11">
        <f t="shared" si="0"/>
        <v>46254</v>
      </c>
      <c r="G7" s="11">
        <f t="shared" si="1"/>
        <v>46272</v>
      </c>
      <c r="H7" s="12">
        <v>13</v>
      </c>
      <c r="I7" s="13">
        <f>'Sprint N°2'!B5</f>
        <v>98</v>
      </c>
      <c r="J7" s="12">
        <v>98</v>
      </c>
      <c r="K7" s="14">
        <f t="shared" si="2"/>
        <v>0.13783403656821377</v>
      </c>
      <c r="L7" s="15">
        <f>SUM('Sprint N°2'!P6:P11)</f>
        <v>98</v>
      </c>
      <c r="M7" s="1" t="str">
        <f t="shared" si="3"/>
        <v>OK</v>
      </c>
    </row>
    <row r="8" spans="1:13" x14ac:dyDescent="0.3">
      <c r="A8" s="1">
        <v>3</v>
      </c>
      <c r="B8" s="8" t="s">
        <v>17</v>
      </c>
      <c r="C8" s="9">
        <f>COUNTIF('Sprint N°3'!$A$6:$A$9,"?*")</f>
        <v>4</v>
      </c>
      <c r="D8" s="9">
        <f>COUNT('Sprint N°3'!$C$4:$I$4)</f>
        <v>7</v>
      </c>
      <c r="E8" s="10">
        <f t="shared" si="4"/>
        <v>20</v>
      </c>
      <c r="F8" s="11">
        <f t="shared" si="0"/>
        <v>46273</v>
      </c>
      <c r="G8" s="11">
        <f t="shared" si="1"/>
        <v>46281</v>
      </c>
      <c r="H8" s="12">
        <v>7</v>
      </c>
      <c r="I8" s="13">
        <f>'Sprint N°3'!B5</f>
        <v>47</v>
      </c>
      <c r="J8" s="12">
        <v>47</v>
      </c>
      <c r="K8" s="14">
        <f t="shared" si="2"/>
        <v>6.6104078762306617E-2</v>
      </c>
      <c r="L8" s="15">
        <f>SUM('Sprint N°3'!J6:J9)</f>
        <v>47</v>
      </c>
      <c r="M8" s="1" t="str">
        <f t="shared" si="3"/>
        <v>OK</v>
      </c>
    </row>
    <row r="9" spans="1:13" x14ac:dyDescent="0.3">
      <c r="A9" s="1">
        <v>4</v>
      </c>
      <c r="B9" s="8" t="s">
        <v>18</v>
      </c>
      <c r="C9" s="9">
        <f>COUNTIF('Sprint N°4'!$A$6:$A$9,"?*")</f>
        <v>4</v>
      </c>
      <c r="D9" s="9">
        <f>COUNT('Sprint N°4'!$C$4:$P$4)</f>
        <v>14</v>
      </c>
      <c r="E9" s="10">
        <f t="shared" si="4"/>
        <v>27</v>
      </c>
      <c r="F9" s="11">
        <f t="shared" si="0"/>
        <v>46282</v>
      </c>
      <c r="G9" s="11">
        <f t="shared" si="1"/>
        <v>46301</v>
      </c>
      <c r="H9" s="12">
        <v>14</v>
      </c>
      <c r="I9" s="13">
        <f>'Sprint N°4'!B5</f>
        <v>91</v>
      </c>
      <c r="J9" s="12">
        <v>91</v>
      </c>
      <c r="K9" s="14">
        <f t="shared" si="2"/>
        <v>0.12798874824191281</v>
      </c>
      <c r="L9" s="15">
        <f>SUM('Sprint N°4'!Q6:Q9)</f>
        <v>91</v>
      </c>
      <c r="M9" s="1" t="str">
        <f t="shared" si="3"/>
        <v>OK</v>
      </c>
    </row>
    <row r="10" spans="1:13" x14ac:dyDescent="0.3">
      <c r="A10" s="1">
        <v>5</v>
      </c>
      <c r="B10" s="8" t="s">
        <v>19</v>
      </c>
      <c r="C10" s="9">
        <f>COUNTIF('Sprint N°5'!$A$6:$A$9,"?*")</f>
        <v>4</v>
      </c>
      <c r="D10" s="9">
        <f>COUNT('Sprint N°5'!$C$4:$R$4)</f>
        <v>16</v>
      </c>
      <c r="E10" s="10">
        <f t="shared" si="4"/>
        <v>41</v>
      </c>
      <c r="F10" s="11">
        <f t="shared" si="0"/>
        <v>46302</v>
      </c>
      <c r="G10" s="11">
        <f t="shared" si="1"/>
        <v>46323</v>
      </c>
      <c r="H10" s="12">
        <v>16</v>
      </c>
      <c r="I10" s="13">
        <f>'Sprint N°5'!B5</f>
        <v>97</v>
      </c>
      <c r="J10" s="12">
        <v>97</v>
      </c>
      <c r="K10" s="14">
        <f t="shared" si="2"/>
        <v>0.13642756680731363</v>
      </c>
      <c r="L10" s="15">
        <f>SUM('Sprint N°5'!S6:S9)</f>
        <v>97</v>
      </c>
      <c r="M10" s="1" t="str">
        <f t="shared" si="3"/>
        <v>OK</v>
      </c>
    </row>
    <row r="11" spans="1:13" x14ac:dyDescent="0.3">
      <c r="A11" s="1">
        <v>6</v>
      </c>
      <c r="B11" s="8" t="s">
        <v>20</v>
      </c>
      <c r="C11" s="9">
        <f>COUNTIF('Sprint N°6'!$A$6:$A$10,"?*")</f>
        <v>5</v>
      </c>
      <c r="D11" s="9">
        <f>COUNT('Sprint N°6'!$C$4:$N$4)</f>
        <v>12</v>
      </c>
      <c r="E11" s="10">
        <f t="shared" si="4"/>
        <v>57</v>
      </c>
      <c r="F11" s="11">
        <f t="shared" si="0"/>
        <v>46324</v>
      </c>
      <c r="G11" s="11">
        <f t="shared" si="1"/>
        <v>46339</v>
      </c>
      <c r="H11" s="12">
        <v>12</v>
      </c>
      <c r="I11" s="13">
        <f>'Sprint N°6'!B5</f>
        <v>135</v>
      </c>
      <c r="J11" s="12">
        <v>135</v>
      </c>
      <c r="K11" s="14">
        <f t="shared" si="2"/>
        <v>0.189873417721519</v>
      </c>
      <c r="L11" s="15">
        <f>SUM('Sprint N°6'!O6:O10)</f>
        <v>135</v>
      </c>
      <c r="M11" s="1" t="str">
        <f t="shared" si="3"/>
        <v>OK</v>
      </c>
    </row>
    <row r="12" spans="1:13" x14ac:dyDescent="0.3">
      <c r="A12" s="1">
        <v>7</v>
      </c>
      <c r="B12" s="8" t="s">
        <v>21</v>
      </c>
      <c r="C12" s="9">
        <f>COUNTIF('Sprint N°7'!$A$6:$A$10,"?*")</f>
        <v>5</v>
      </c>
      <c r="D12" s="9">
        <f>COUNT('Sprint N°7'!$C$4:$P$4)</f>
        <v>14</v>
      </c>
      <c r="E12" s="10">
        <f t="shared" si="4"/>
        <v>69</v>
      </c>
      <c r="F12" s="11">
        <f t="shared" si="0"/>
        <v>46342</v>
      </c>
      <c r="G12" s="11">
        <f t="shared" si="1"/>
        <v>46359</v>
      </c>
      <c r="H12" s="12">
        <v>14</v>
      </c>
      <c r="I12" s="13">
        <f>'Sprint N°7'!B5</f>
        <v>114</v>
      </c>
      <c r="J12" s="12">
        <v>114</v>
      </c>
      <c r="K12" s="14">
        <f t="shared" si="2"/>
        <v>0.16033755274261605</v>
      </c>
      <c r="L12" s="15">
        <f>SUM('Sprint N°7'!Q6:Q10)</f>
        <v>114</v>
      </c>
      <c r="M12" s="1" t="str">
        <f t="shared" si="3"/>
        <v>OK</v>
      </c>
    </row>
    <row r="13" spans="1:13" x14ac:dyDescent="0.3">
      <c r="A13" s="1">
        <v>8</v>
      </c>
      <c r="B13" s="8" t="s">
        <v>22</v>
      </c>
      <c r="C13" s="9">
        <f>COUNTIF('Sprint N°8'!$A$6:$A$10,"?*")</f>
        <v>5</v>
      </c>
      <c r="D13" s="9">
        <f>COUNT('Sprint N°8'!$C$4:$M$4)</f>
        <v>11</v>
      </c>
      <c r="E13" s="10">
        <f t="shared" si="4"/>
        <v>83</v>
      </c>
      <c r="F13" s="11">
        <f t="shared" si="0"/>
        <v>46360</v>
      </c>
      <c r="G13" s="11">
        <f t="shared" si="1"/>
        <v>46374</v>
      </c>
      <c r="H13" s="12">
        <v>11</v>
      </c>
      <c r="I13" s="13">
        <f>'Sprint N°8'!B5</f>
        <v>86</v>
      </c>
      <c r="J13" s="12">
        <v>86</v>
      </c>
      <c r="K13" s="14">
        <f t="shared" si="2"/>
        <v>0.1209563994374121</v>
      </c>
      <c r="L13" s="15">
        <f>SUM('Sprint N°8'!N6:N10)</f>
        <v>86</v>
      </c>
      <c r="M13" s="1" t="str">
        <f t="shared" si="3"/>
        <v>OK</v>
      </c>
    </row>
    <row r="14" spans="1:13" x14ac:dyDescent="0.3">
      <c r="A14" s="16" t="s">
        <v>23</v>
      </c>
      <c r="B14" s="17"/>
      <c r="C14" s="18">
        <f>SUM(C6:C13)</f>
        <v>38</v>
      </c>
      <c r="D14" s="18">
        <f>SUM(D6:D13)</f>
        <v>94</v>
      </c>
      <c r="E14" s="17"/>
      <c r="F14" s="17"/>
      <c r="G14" s="17"/>
      <c r="H14" s="19">
        <f>SUM(H6:H13)</f>
        <v>93.5</v>
      </c>
      <c r="I14" s="19">
        <f>SUM(I6:I13)</f>
        <v>711</v>
      </c>
      <c r="J14" s="19">
        <f>SUM(J6:J13)</f>
        <v>711</v>
      </c>
      <c r="K14" s="20">
        <f>SUM(K6:K13)</f>
        <v>1</v>
      </c>
      <c r="L14" s="19">
        <f>SUM(L6:L13)</f>
        <v>711</v>
      </c>
      <c r="M14" s="18" t="str">
        <f>IF(COUNTIF(M6:M13,"OK")=8,"OK","REVISAR")</f>
        <v>OK</v>
      </c>
    </row>
    <row r="17" spans="2:13" ht="15.6" x14ac:dyDescent="0.3">
      <c r="B17" s="21" t="s">
        <v>24</v>
      </c>
    </row>
    <row r="18" spans="2:13" ht="28.8" x14ac:dyDescent="0.3">
      <c r="B18" s="7" t="s">
        <v>14</v>
      </c>
      <c r="C18" s="7" t="s">
        <v>25</v>
      </c>
      <c r="D18" s="7" t="s">
        <v>26</v>
      </c>
      <c r="E18" s="7" t="s">
        <v>27</v>
      </c>
      <c r="F18" s="7" t="s">
        <v>28</v>
      </c>
    </row>
    <row r="19" spans="2:13" x14ac:dyDescent="0.3">
      <c r="B19" s="22" t="s">
        <v>29</v>
      </c>
      <c r="C19" s="12">
        <v>711</v>
      </c>
      <c r="D19" s="23">
        <f>I14</f>
        <v>711</v>
      </c>
      <c r="E19" s="23">
        <f>C19-D19</f>
        <v>0</v>
      </c>
      <c r="F19" s="1" t="str">
        <f>IF(E19&gt;=0,"OK","REVISAR")</f>
        <v>OK</v>
      </c>
    </row>
    <row r="20" spans="2:13" x14ac:dyDescent="0.3">
      <c r="B20" s="22" t="s">
        <v>30</v>
      </c>
      <c r="C20" s="10">
        <f>NETWORKDAYS(C3,D3)</f>
        <v>96</v>
      </c>
      <c r="D20" s="10">
        <f>D14</f>
        <v>94</v>
      </c>
      <c r="E20" s="10">
        <f>C20-D20</f>
        <v>2</v>
      </c>
      <c r="F20" s="1" t="str">
        <f>IF(E20&gt;=0,"OK","REVISAR")</f>
        <v>OK</v>
      </c>
    </row>
    <row r="21" spans="2:13" x14ac:dyDescent="0.3">
      <c r="B21" s="22" t="s">
        <v>31</v>
      </c>
      <c r="C21" s="11">
        <f>D3</f>
        <v>46378</v>
      </c>
      <c r="D21" s="11">
        <f>G13</f>
        <v>46374</v>
      </c>
      <c r="E21" s="24">
        <f>C21-D21</f>
        <v>4</v>
      </c>
      <c r="F21" s="1" t="str">
        <f>IF(E21&gt;=0,"OK","REVISAR")</f>
        <v>OK</v>
      </c>
    </row>
    <row r="22" spans="2:13" x14ac:dyDescent="0.3">
      <c r="B22" s="22" t="s">
        <v>32</v>
      </c>
      <c r="C22" s="23">
        <f>L14</f>
        <v>711</v>
      </c>
      <c r="D22" s="23">
        <f>SUM(burndown_Proyecto_HouseCount!CU5:CU50)</f>
        <v>711</v>
      </c>
      <c r="E22" s="23">
        <f>C22-D22</f>
        <v>0</v>
      </c>
      <c r="F22" s="1" t="str">
        <f>IF(ABS(E22)&lt;0.001,"OK","REVISAR")</f>
        <v>OK</v>
      </c>
    </row>
    <row r="24" spans="2:13" ht="39.75" customHeight="1" x14ac:dyDescent="0.3">
      <c r="B24" s="63" t="s">
        <v>33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</row>
  </sheetData>
  <mergeCells count="3">
    <mergeCell ref="A1:M1"/>
    <mergeCell ref="A2:M2"/>
    <mergeCell ref="B24:M24"/>
  </mergeCells>
  <conditionalFormatting sqref="F19:F22">
    <cfRule type="cellIs" dxfId="3" priority="4" operator="equal">
      <formula>"OK"</formula>
    </cfRule>
    <cfRule type="cellIs" dxfId="2" priority="5" operator="equal">
      <formula>"REVISAR"</formula>
    </cfRule>
  </conditionalFormatting>
  <conditionalFormatting sqref="M6:M14">
    <cfRule type="cellIs" dxfId="1" priority="2" operator="equal">
      <formula>"OK"</formula>
    </cfRule>
    <cfRule type="cellIs" dxfId="0" priority="3" operator="equal">
      <formula>"REVISAR"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1000"/>
  <sheetViews>
    <sheetView zoomScaleNormal="100" workbookViewId="0"/>
  </sheetViews>
  <sheetFormatPr baseColWidth="10" defaultColWidth="14.44140625" defaultRowHeight="14.4" x14ac:dyDescent="0.3"/>
  <cols>
    <col min="1" max="1" width="32.88671875" customWidth="1"/>
    <col min="2" max="2" width="17" customWidth="1"/>
    <col min="3" max="3" width="4" customWidth="1"/>
    <col min="4" max="22" width="3.44140625" customWidth="1"/>
    <col min="23" max="29" width="10.6640625" customWidth="1"/>
  </cols>
  <sheetData>
    <row r="1" spans="1:23" ht="21" x14ac:dyDescent="0.4">
      <c r="A1" s="38" t="s">
        <v>81</v>
      </c>
      <c r="B1" t="s">
        <v>82</v>
      </c>
    </row>
    <row r="3" spans="1:23" x14ac:dyDescent="0.3">
      <c r="A3" s="64" t="s">
        <v>35</v>
      </c>
      <c r="B3" s="64" t="s">
        <v>36</v>
      </c>
      <c r="C3" s="64" t="s">
        <v>37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5" t="s">
        <v>23</v>
      </c>
    </row>
    <row r="4" spans="1:23" x14ac:dyDescent="0.3">
      <c r="A4" s="64"/>
      <c r="B4" s="64"/>
      <c r="C4" s="39">
        <v>1</v>
      </c>
      <c r="D4" s="39">
        <v>2</v>
      </c>
      <c r="E4" s="39">
        <v>3</v>
      </c>
      <c r="F4" s="39">
        <v>4</v>
      </c>
      <c r="G4" s="39">
        <v>5</v>
      </c>
      <c r="H4" s="39">
        <v>6</v>
      </c>
      <c r="I4" s="39">
        <v>7</v>
      </c>
      <c r="J4" s="39">
        <v>8</v>
      </c>
      <c r="K4" s="39">
        <v>9</v>
      </c>
      <c r="L4" s="39">
        <v>10</v>
      </c>
      <c r="M4" s="39">
        <v>11</v>
      </c>
      <c r="N4" s="39">
        <v>12</v>
      </c>
      <c r="O4" s="39">
        <v>13</v>
      </c>
      <c r="P4" s="39">
        <v>14</v>
      </c>
      <c r="Q4" s="39">
        <v>15</v>
      </c>
      <c r="R4" s="39">
        <v>16</v>
      </c>
      <c r="S4" s="39">
        <v>17</v>
      </c>
      <c r="T4" s="39">
        <v>18</v>
      </c>
      <c r="U4" s="39">
        <v>19</v>
      </c>
      <c r="V4" s="39">
        <v>20</v>
      </c>
      <c r="W4" s="65"/>
    </row>
    <row r="5" spans="1:23" x14ac:dyDescent="0.3">
      <c r="A5" s="40" t="s">
        <v>83</v>
      </c>
      <c r="B5" s="41">
        <v>8</v>
      </c>
      <c r="C5" s="42">
        <v>2</v>
      </c>
      <c r="D5" s="43">
        <v>2</v>
      </c>
      <c r="E5" s="43">
        <v>2</v>
      </c>
      <c r="F5" s="43">
        <v>1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>
        <v>1</v>
      </c>
      <c r="W5" s="39">
        <f t="shared" ref="W5:W10" si="0">SUM(C5:V5)</f>
        <v>8</v>
      </c>
    </row>
    <row r="6" spans="1:23" x14ac:dyDescent="0.3">
      <c r="A6" s="44" t="s">
        <v>84</v>
      </c>
      <c r="B6" s="45">
        <v>24</v>
      </c>
      <c r="C6" s="46">
        <v>6</v>
      </c>
      <c r="D6">
        <v>4</v>
      </c>
      <c r="E6">
        <v>2</v>
      </c>
      <c r="F6">
        <v>2</v>
      </c>
      <c r="H6">
        <v>2</v>
      </c>
      <c r="I6">
        <v>2</v>
      </c>
      <c r="K6">
        <v>2</v>
      </c>
      <c r="L6">
        <v>3</v>
      </c>
      <c r="V6">
        <v>1</v>
      </c>
      <c r="W6" s="47">
        <f t="shared" si="0"/>
        <v>24</v>
      </c>
    </row>
    <row r="7" spans="1:23" x14ac:dyDescent="0.3">
      <c r="A7" s="48" t="s">
        <v>85</v>
      </c>
      <c r="B7" s="49">
        <v>34</v>
      </c>
      <c r="C7" s="46"/>
      <c r="E7">
        <v>6</v>
      </c>
      <c r="F7">
        <v>6</v>
      </c>
      <c r="G7">
        <v>8</v>
      </c>
      <c r="H7">
        <v>3</v>
      </c>
      <c r="I7">
        <v>3</v>
      </c>
      <c r="J7">
        <v>3</v>
      </c>
      <c r="K7">
        <v>2</v>
      </c>
      <c r="T7">
        <v>1</v>
      </c>
      <c r="U7">
        <v>1</v>
      </c>
      <c r="V7">
        <v>1</v>
      </c>
      <c r="W7" s="47">
        <f t="shared" si="0"/>
        <v>34</v>
      </c>
    </row>
    <row r="8" spans="1:23" x14ac:dyDescent="0.3">
      <c r="A8" s="44" t="s">
        <v>86</v>
      </c>
      <c r="B8" s="45">
        <v>14</v>
      </c>
      <c r="C8" s="46"/>
      <c r="N8">
        <v>4</v>
      </c>
      <c r="O8">
        <v>2</v>
      </c>
      <c r="P8">
        <v>2</v>
      </c>
      <c r="U8">
        <v>5</v>
      </c>
      <c r="V8">
        <v>1</v>
      </c>
      <c r="W8" s="47">
        <f t="shared" si="0"/>
        <v>14</v>
      </c>
    </row>
    <row r="9" spans="1:23" x14ac:dyDescent="0.3">
      <c r="A9" s="44" t="s">
        <v>87</v>
      </c>
      <c r="B9" s="45">
        <v>10</v>
      </c>
      <c r="C9" s="46"/>
      <c r="S9">
        <v>4</v>
      </c>
      <c r="T9">
        <v>4</v>
      </c>
      <c r="U9">
        <v>1</v>
      </c>
      <c r="V9">
        <v>1</v>
      </c>
      <c r="W9" s="47">
        <f t="shared" si="0"/>
        <v>10</v>
      </c>
    </row>
    <row r="10" spans="1:23" x14ac:dyDescent="0.3">
      <c r="A10" s="44" t="s">
        <v>88</v>
      </c>
      <c r="B10" s="45">
        <v>16</v>
      </c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>
        <v>2</v>
      </c>
      <c r="Q10" s="51"/>
      <c r="R10" s="51"/>
      <c r="S10" s="51">
        <v>4</v>
      </c>
      <c r="T10" s="51">
        <v>4</v>
      </c>
      <c r="U10" s="51">
        <v>5</v>
      </c>
      <c r="V10" s="51">
        <v>1</v>
      </c>
      <c r="W10" s="52">
        <f t="shared" si="0"/>
        <v>16</v>
      </c>
    </row>
    <row r="12" spans="1:23" x14ac:dyDescent="0.3">
      <c r="A12" s="53" t="s">
        <v>44</v>
      </c>
      <c r="B12">
        <f>SUM(B5:B11)</f>
        <v>106</v>
      </c>
      <c r="C12">
        <f t="shared" ref="C12:V12" si="1">B12-SUM(C5:C10)</f>
        <v>98</v>
      </c>
      <c r="D12">
        <f t="shared" si="1"/>
        <v>92</v>
      </c>
      <c r="E12">
        <f t="shared" si="1"/>
        <v>82</v>
      </c>
      <c r="F12">
        <f t="shared" si="1"/>
        <v>73</v>
      </c>
      <c r="G12">
        <f t="shared" si="1"/>
        <v>65</v>
      </c>
      <c r="H12">
        <f t="shared" si="1"/>
        <v>60</v>
      </c>
      <c r="I12">
        <f t="shared" si="1"/>
        <v>55</v>
      </c>
      <c r="J12">
        <f t="shared" si="1"/>
        <v>52</v>
      </c>
      <c r="K12">
        <f t="shared" si="1"/>
        <v>48</v>
      </c>
      <c r="L12">
        <f t="shared" si="1"/>
        <v>45</v>
      </c>
      <c r="M12">
        <f t="shared" si="1"/>
        <v>45</v>
      </c>
      <c r="N12">
        <f t="shared" si="1"/>
        <v>41</v>
      </c>
      <c r="O12">
        <f t="shared" si="1"/>
        <v>39</v>
      </c>
      <c r="P12">
        <f t="shared" si="1"/>
        <v>35</v>
      </c>
      <c r="Q12">
        <f t="shared" si="1"/>
        <v>35</v>
      </c>
      <c r="R12">
        <f t="shared" si="1"/>
        <v>35</v>
      </c>
      <c r="S12">
        <f t="shared" si="1"/>
        <v>27</v>
      </c>
      <c r="T12">
        <f t="shared" si="1"/>
        <v>18</v>
      </c>
      <c r="U12">
        <f t="shared" si="1"/>
        <v>6</v>
      </c>
      <c r="V12">
        <f t="shared" si="1"/>
        <v>0</v>
      </c>
    </row>
    <row r="14" spans="1:23" x14ac:dyDescent="0.3">
      <c r="A14" s="53" t="s">
        <v>45</v>
      </c>
      <c r="B14">
        <f>SUM(B5:B10)</f>
        <v>106</v>
      </c>
      <c r="C14">
        <f t="shared" ref="C14:V14" si="2">B14-(SUM($B$5:$B$10)/20)</f>
        <v>100.7</v>
      </c>
      <c r="D14">
        <f t="shared" si="2"/>
        <v>95.4</v>
      </c>
      <c r="E14">
        <f t="shared" si="2"/>
        <v>90.100000000000009</v>
      </c>
      <c r="F14">
        <f t="shared" si="2"/>
        <v>84.800000000000011</v>
      </c>
      <c r="G14">
        <f t="shared" si="2"/>
        <v>79.500000000000014</v>
      </c>
      <c r="H14">
        <f t="shared" si="2"/>
        <v>74.200000000000017</v>
      </c>
      <c r="I14">
        <f t="shared" si="2"/>
        <v>68.90000000000002</v>
      </c>
      <c r="J14">
        <f t="shared" si="2"/>
        <v>63.600000000000023</v>
      </c>
      <c r="K14">
        <f t="shared" si="2"/>
        <v>58.300000000000026</v>
      </c>
      <c r="L14">
        <f t="shared" si="2"/>
        <v>53.000000000000028</v>
      </c>
      <c r="M14">
        <f t="shared" si="2"/>
        <v>47.700000000000031</v>
      </c>
      <c r="N14">
        <f t="shared" si="2"/>
        <v>42.400000000000034</v>
      </c>
      <c r="O14">
        <f t="shared" si="2"/>
        <v>37.100000000000037</v>
      </c>
      <c r="P14">
        <f t="shared" si="2"/>
        <v>31.800000000000036</v>
      </c>
      <c r="Q14">
        <f t="shared" si="2"/>
        <v>26.500000000000036</v>
      </c>
      <c r="R14">
        <f t="shared" si="2"/>
        <v>21.200000000000035</v>
      </c>
      <c r="S14">
        <f t="shared" si="2"/>
        <v>15.900000000000034</v>
      </c>
      <c r="T14">
        <f t="shared" si="2"/>
        <v>10.600000000000033</v>
      </c>
      <c r="U14">
        <f t="shared" si="2"/>
        <v>5.3000000000000336</v>
      </c>
      <c r="V14">
        <f t="shared" si="2"/>
        <v>3.3750779948604759E-14</v>
      </c>
    </row>
    <row r="16" spans="1:23" x14ac:dyDescent="0.3">
      <c r="B16" s="54"/>
    </row>
    <row r="17" spans="2:7" x14ac:dyDescent="0.3">
      <c r="B17" s="54"/>
      <c r="G17" s="54"/>
    </row>
    <row r="18" spans="2:7" x14ac:dyDescent="0.3">
      <c r="B18" s="54"/>
      <c r="G18" s="54"/>
    </row>
    <row r="19" spans="2:7" x14ac:dyDescent="0.3">
      <c r="B19" s="54"/>
      <c r="G19" s="54"/>
    </row>
    <row r="20" spans="2:7" x14ac:dyDescent="0.3">
      <c r="B20" s="54"/>
      <c r="G20" s="54"/>
    </row>
    <row r="21" spans="2:7" ht="15.75" customHeight="1" x14ac:dyDescent="0.3">
      <c r="B21" s="54"/>
      <c r="G21" s="54"/>
    </row>
    <row r="22" spans="2:7" ht="15.75" customHeight="1" x14ac:dyDescent="0.3">
      <c r="B22" s="54"/>
      <c r="G22" s="54"/>
    </row>
    <row r="23" spans="2:7" ht="15.75" customHeight="1" x14ac:dyDescent="0.3">
      <c r="B23" s="54"/>
    </row>
    <row r="24" spans="2:7" ht="15.75" customHeight="1" x14ac:dyDescent="0.3">
      <c r="B24" s="54"/>
    </row>
    <row r="25" spans="2:7" ht="15.75" customHeight="1" x14ac:dyDescent="0.3">
      <c r="B25" s="54"/>
    </row>
    <row r="26" spans="2:7" ht="15.75" customHeight="1" x14ac:dyDescent="0.3"/>
    <row r="27" spans="2:7" ht="15.75" customHeight="1" x14ac:dyDescent="0.3"/>
    <row r="28" spans="2:7" ht="15.75" customHeight="1" x14ac:dyDescent="0.3"/>
    <row r="29" spans="2:7" ht="15.75" customHeight="1" x14ac:dyDescent="0.3"/>
    <row r="30" spans="2:7" ht="15.75" customHeight="1" x14ac:dyDescent="0.3"/>
    <row r="31" spans="2:7" ht="15.75" customHeight="1" x14ac:dyDescent="0.3"/>
    <row r="32" spans="2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3:A4"/>
    <mergeCell ref="B3:B4"/>
    <mergeCell ref="C3:V3"/>
    <mergeCell ref="W3:W4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Sprint N°1</vt:lpstr>
      <vt:lpstr>Sprint N°2</vt:lpstr>
      <vt:lpstr>Sprint N°3</vt:lpstr>
      <vt:lpstr>Sprint N°4</vt:lpstr>
      <vt:lpstr>Sprint N°5</vt:lpstr>
      <vt:lpstr>Sprint N°6</vt:lpstr>
      <vt:lpstr>Sprint N°7</vt:lpstr>
      <vt:lpstr>Sprint N°8</vt:lpstr>
      <vt:lpstr>burndown_Proyecto_HouseCount</vt:lpstr>
      <vt:lpstr>Resumen_Sprints</vt:lpstr>
      <vt:lpstr>Ejemplo1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Rodrigo Galaz Silva</dc:creator>
  <dc:description/>
  <cp:lastModifiedBy>BENJAMIN . NUNEZ ARANCIBIA</cp:lastModifiedBy>
  <cp:revision>1</cp:revision>
  <dcterms:created xsi:type="dcterms:W3CDTF">2018-02-12T12:05:26Z</dcterms:created>
  <dcterms:modified xsi:type="dcterms:W3CDTF">2026-10-08T22:14:51Z</dcterms:modified>
  <dc:language>en-US</dc:language>
</cp:coreProperties>
</file>
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esktop\Grupo_2-Seccion_001D\Fase_2\Evidencias_Proyecto\Evidencia_Documentacion\Documentos_Scrum\"/>
    </mc:Choice>
  </mc:AlternateContent>
  <xr:revisionPtr revIDLastSave="0" documentId="13_ncr:1_{BB626659-4DE7-432E-93D4-0465B42C2CE4}" xr6:coauthVersionLast="47" xr6:coauthVersionMax="47" xr10:uidLastSave="{00000000-0000-0000-0000-000000000000}"/>
  <bookViews>
    <workbookView xWindow="-120" yWindow="-120" windowWidth="38640" windowHeight="21120" tabRatio="500" activeTab="4" xr2:uid="{00000000-000D-0000-FFFF-FFFF00000000}"/>
  </bookViews>
  <sheets>
    <sheet name="Sprint 1" sheetId="3" r:id="rId1"/>
    <sheet name="Sprint 2" sheetId="4" r:id="rId2"/>
    <sheet name="Sprint 3" sheetId="5" r:id="rId3"/>
    <sheet name="Sprint 4" sheetId="6" r:id="rId4"/>
    <sheet name="Sprint 5" sheetId="7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0" i="7" l="1"/>
  <c r="AX10" i="7"/>
  <c r="BA10" i="7"/>
  <c r="BD10" i="7"/>
  <c r="BF10" i="7"/>
  <c r="BG10" i="7"/>
  <c r="BI10" i="7"/>
  <c r="BJ10" i="7"/>
  <c r="BL10" i="7"/>
  <c r="BM10" i="7"/>
  <c r="BO10" i="7"/>
  <c r="F7" i="6"/>
  <c r="AR10" i="7"/>
  <c r="AO10" i="7"/>
  <c r="AL10" i="7"/>
  <c r="AI10" i="7"/>
  <c r="AF10" i="7"/>
  <c r="AC10" i="7"/>
  <c r="Z10" i="7"/>
  <c r="W10" i="7"/>
  <c r="T10" i="7"/>
  <c r="Q10" i="7"/>
  <c r="N10" i="7"/>
  <c r="K10" i="7"/>
  <c r="H10" i="7"/>
  <c r="G10" i="7"/>
  <c r="BP9" i="7"/>
  <c r="BQ9" i="7" s="1"/>
  <c r="F9" i="7" s="1"/>
  <c r="I9" i="7"/>
  <c r="L9" i="7" s="1"/>
  <c r="O9" i="7" s="1"/>
  <c r="R9" i="7" s="1"/>
  <c r="U9" i="7" s="1"/>
  <c r="X9" i="7" s="1"/>
  <c r="AA9" i="7" s="1"/>
  <c r="AD9" i="7" s="1"/>
  <c r="AG9" i="7" s="1"/>
  <c r="AJ9" i="7" s="1"/>
  <c r="AM9" i="7" s="1"/>
  <c r="AP9" i="7" s="1"/>
  <c r="AS9" i="7" s="1"/>
  <c r="AV9" i="7" s="1"/>
  <c r="AY9" i="7" s="1"/>
  <c r="BB9" i="7" s="1"/>
  <c r="BP8" i="7"/>
  <c r="BQ8" i="7" s="1"/>
  <c r="F8" i="7" s="1"/>
  <c r="I8" i="7"/>
  <c r="L8" i="7" s="1"/>
  <c r="O8" i="7" s="1"/>
  <c r="R8" i="7" s="1"/>
  <c r="U8" i="7" s="1"/>
  <c r="X8" i="7" s="1"/>
  <c r="AA8" i="7" s="1"/>
  <c r="AD8" i="7" s="1"/>
  <c r="AG8" i="7" s="1"/>
  <c r="AJ8" i="7" s="1"/>
  <c r="AM8" i="7" s="1"/>
  <c r="AP8" i="7" s="1"/>
  <c r="AS8" i="7" s="1"/>
  <c r="AV8" i="7" s="1"/>
  <c r="AY8" i="7" s="1"/>
  <c r="BB8" i="7" s="1"/>
  <c r="BE8" i="7" s="1"/>
  <c r="BH8" i="7" s="1"/>
  <c r="BK8" i="7" s="1"/>
  <c r="BN8" i="7" s="1"/>
  <c r="BP7" i="7"/>
  <c r="BQ7" i="7" s="1"/>
  <c r="F7" i="7" s="1"/>
  <c r="I7" i="7"/>
  <c r="L7" i="7" s="1"/>
  <c r="O7" i="7" s="1"/>
  <c r="R7" i="7" s="1"/>
  <c r="U7" i="7" s="1"/>
  <c r="X7" i="7" s="1"/>
  <c r="AA7" i="7" s="1"/>
  <c r="AD7" i="7" s="1"/>
  <c r="AG7" i="7" s="1"/>
  <c r="AJ7" i="7" s="1"/>
  <c r="AM7" i="7" s="1"/>
  <c r="AP7" i="7" s="1"/>
  <c r="AS7" i="7" s="1"/>
  <c r="AV7" i="7" s="1"/>
  <c r="AY7" i="7" s="1"/>
  <c r="BB7" i="7" s="1"/>
  <c r="BE7" i="7" s="1"/>
  <c r="BH7" i="7" s="1"/>
  <c r="BK7" i="7" s="1"/>
  <c r="BN7" i="7" s="1"/>
  <c r="BP6" i="7"/>
  <c r="I6" i="7"/>
  <c r="L6" i="7" s="1"/>
  <c r="BM10" i="6"/>
  <c r="BJ10" i="6"/>
  <c r="BG10" i="6"/>
  <c r="BD10" i="6"/>
  <c r="AR10" i="6"/>
  <c r="AO10" i="6"/>
  <c r="AL10" i="6"/>
  <c r="AI10" i="6"/>
  <c r="AF10" i="6"/>
  <c r="AC10" i="6"/>
  <c r="Z10" i="6"/>
  <c r="W10" i="6"/>
  <c r="T10" i="6"/>
  <c r="Q10" i="6"/>
  <c r="N10" i="6"/>
  <c r="K10" i="6"/>
  <c r="H10" i="6"/>
  <c r="G10" i="6"/>
  <c r="BP9" i="6"/>
  <c r="BQ9" i="6" s="1"/>
  <c r="F9" i="6" s="1"/>
  <c r="I9" i="6"/>
  <c r="L9" i="6" s="1"/>
  <c r="O9" i="6" s="1"/>
  <c r="R9" i="6" s="1"/>
  <c r="U9" i="6" s="1"/>
  <c r="X9" i="6" s="1"/>
  <c r="AA9" i="6" s="1"/>
  <c r="AD9" i="6" s="1"/>
  <c r="AG9" i="6" s="1"/>
  <c r="AJ9" i="6" s="1"/>
  <c r="AM9" i="6" s="1"/>
  <c r="AP9" i="6" s="1"/>
  <c r="AS9" i="6" s="1"/>
  <c r="AV9" i="6" s="1"/>
  <c r="AY9" i="6" s="1"/>
  <c r="BB9" i="6" s="1"/>
  <c r="BP8" i="6"/>
  <c r="BQ8" i="6" s="1"/>
  <c r="F8" i="6" s="1"/>
  <c r="I8" i="6"/>
  <c r="L8" i="6" s="1"/>
  <c r="O8" i="6" s="1"/>
  <c r="R8" i="6" s="1"/>
  <c r="U8" i="6" s="1"/>
  <c r="X8" i="6" s="1"/>
  <c r="AA8" i="6" s="1"/>
  <c r="AD8" i="6" s="1"/>
  <c r="AG8" i="6" s="1"/>
  <c r="AJ8" i="6" s="1"/>
  <c r="AM8" i="6" s="1"/>
  <c r="AP8" i="6" s="1"/>
  <c r="AS8" i="6" s="1"/>
  <c r="AV8" i="6" s="1"/>
  <c r="AY8" i="6" s="1"/>
  <c r="BB8" i="6" s="1"/>
  <c r="BE8" i="6" s="1"/>
  <c r="BH8" i="6" s="1"/>
  <c r="BK8" i="6" s="1"/>
  <c r="BN8" i="6" s="1"/>
  <c r="BP7" i="6"/>
  <c r="BQ7" i="6" s="1"/>
  <c r="I7" i="6"/>
  <c r="L7" i="6" s="1"/>
  <c r="O7" i="6" s="1"/>
  <c r="R7" i="6" s="1"/>
  <c r="U7" i="6" s="1"/>
  <c r="X7" i="6" s="1"/>
  <c r="AA7" i="6" s="1"/>
  <c r="AD7" i="6" s="1"/>
  <c r="AG7" i="6" s="1"/>
  <c r="AJ7" i="6" s="1"/>
  <c r="AM7" i="6" s="1"/>
  <c r="AP7" i="6" s="1"/>
  <c r="AS7" i="6" s="1"/>
  <c r="AV7" i="6" s="1"/>
  <c r="AY7" i="6" s="1"/>
  <c r="BB7" i="6" s="1"/>
  <c r="BE7" i="6" s="1"/>
  <c r="BH7" i="6" s="1"/>
  <c r="BK7" i="6" s="1"/>
  <c r="BN7" i="6" s="1"/>
  <c r="BP6" i="6"/>
  <c r="I6" i="6"/>
  <c r="L7" i="5"/>
  <c r="L8" i="5"/>
  <c r="L9" i="5"/>
  <c r="L6" i="5"/>
  <c r="I7" i="5"/>
  <c r="I8" i="5"/>
  <c r="I9" i="5"/>
  <c r="I6" i="5"/>
  <c r="O6" i="5"/>
  <c r="O7" i="5"/>
  <c r="O8" i="5"/>
  <c r="O9" i="5"/>
  <c r="H10" i="5"/>
  <c r="BM10" i="5"/>
  <c r="BJ10" i="5"/>
  <c r="BG10" i="5"/>
  <c r="BD10" i="5"/>
  <c r="AR10" i="5"/>
  <c r="AO10" i="5"/>
  <c r="AL10" i="5"/>
  <c r="AI10" i="5"/>
  <c r="AF10" i="5"/>
  <c r="AC10" i="5"/>
  <c r="Z10" i="5"/>
  <c r="W10" i="5"/>
  <c r="T10" i="5"/>
  <c r="Q10" i="5"/>
  <c r="N10" i="5"/>
  <c r="K10" i="5"/>
  <c r="G10" i="5"/>
  <c r="BP9" i="5"/>
  <c r="BQ9" i="5" s="1"/>
  <c r="F9" i="5" s="1"/>
  <c r="BP8" i="5"/>
  <c r="BQ8" i="5" s="1"/>
  <c r="F8" i="5" s="1"/>
  <c r="R8" i="5" s="1"/>
  <c r="U8" i="5" s="1"/>
  <c r="X8" i="5" s="1"/>
  <c r="AA8" i="5" s="1"/>
  <c r="AD8" i="5" s="1"/>
  <c r="AG8" i="5" s="1"/>
  <c r="AJ8" i="5" s="1"/>
  <c r="AM8" i="5" s="1"/>
  <c r="AP8" i="5" s="1"/>
  <c r="AS8" i="5" s="1"/>
  <c r="AV8" i="5" s="1"/>
  <c r="AY8" i="5" s="1"/>
  <c r="BB8" i="5" s="1"/>
  <c r="BE8" i="5" s="1"/>
  <c r="BH8" i="5" s="1"/>
  <c r="BK8" i="5" s="1"/>
  <c r="BN8" i="5" s="1"/>
  <c r="BP7" i="5"/>
  <c r="BQ7" i="5" s="1"/>
  <c r="F7" i="5" s="1"/>
  <c r="BP6" i="5"/>
  <c r="AD6" i="4"/>
  <c r="AG6" i="4"/>
  <c r="AJ6" i="4"/>
  <c r="AM6" i="4" s="1"/>
  <c r="AD7" i="4"/>
  <c r="AG7" i="4"/>
  <c r="AJ7" i="4"/>
  <c r="AM7" i="4"/>
  <c r="AP7" i="4"/>
  <c r="AS7" i="4"/>
  <c r="AV7" i="4"/>
  <c r="AY7" i="4" s="1"/>
  <c r="BB7" i="4" s="1"/>
  <c r="BE7" i="4" s="1"/>
  <c r="BH7" i="4" s="1"/>
  <c r="BK7" i="4" s="1"/>
  <c r="BN7" i="4" s="1"/>
  <c r="AD8" i="4"/>
  <c r="AG8" i="4" s="1"/>
  <c r="AJ8" i="4" s="1"/>
  <c r="AD9" i="4"/>
  <c r="AG9" i="4"/>
  <c r="AJ9" i="4"/>
  <c r="AM9" i="4" s="1"/>
  <c r="AP9" i="4" s="1"/>
  <c r="AS9" i="4" s="1"/>
  <c r="AV9" i="4" s="1"/>
  <c r="AY9" i="4" s="1"/>
  <c r="BB9" i="4" s="1"/>
  <c r="AD10" i="4"/>
  <c r="AG10" i="4"/>
  <c r="AJ10" i="4" s="1"/>
  <c r="AM10" i="4" s="1"/>
  <c r="AP10" i="4" s="1"/>
  <c r="AS10" i="4" s="1"/>
  <c r="AV10" i="4" s="1"/>
  <c r="AY10" i="4" s="1"/>
  <c r="BB10" i="4" s="1"/>
  <c r="AD11" i="4"/>
  <c r="AG11" i="4"/>
  <c r="AJ11" i="4"/>
  <c r="AM11" i="4" s="1"/>
  <c r="AP11" i="4" s="1"/>
  <c r="AS11" i="4" s="1"/>
  <c r="AV11" i="4" s="1"/>
  <c r="AY11" i="4" s="1"/>
  <c r="BB11" i="4" s="1"/>
  <c r="I12" i="4"/>
  <c r="J12" i="4"/>
  <c r="K12" i="4"/>
  <c r="L12" i="4"/>
  <c r="M12" i="4"/>
  <c r="N12" i="4"/>
  <c r="P12" i="4"/>
  <c r="Q12" i="4"/>
  <c r="S12" i="4"/>
  <c r="T12" i="4"/>
  <c r="V12" i="4"/>
  <c r="W12" i="4"/>
  <c r="Y12" i="4"/>
  <c r="Z12" i="4"/>
  <c r="AB12" i="4"/>
  <c r="AC12" i="4"/>
  <c r="AE12" i="4"/>
  <c r="AF12" i="4"/>
  <c r="AH12" i="4"/>
  <c r="AI12" i="4"/>
  <c r="AK12" i="4"/>
  <c r="AL12" i="4"/>
  <c r="AN12" i="4"/>
  <c r="AO12" i="4"/>
  <c r="AQ12" i="4"/>
  <c r="AR12" i="4"/>
  <c r="AT12" i="4"/>
  <c r="H12" i="4"/>
  <c r="G12" i="4"/>
  <c r="O11" i="4"/>
  <c r="R11" i="4" s="1"/>
  <c r="U11" i="4" s="1"/>
  <c r="X11" i="4" s="1"/>
  <c r="AA11" i="4" s="1"/>
  <c r="BP11" i="4"/>
  <c r="BQ11" i="4" s="1"/>
  <c r="F11" i="4" s="1"/>
  <c r="BM12" i="4"/>
  <c r="BJ12" i="4"/>
  <c r="BG12" i="4"/>
  <c r="BD12" i="4"/>
  <c r="BP10" i="4"/>
  <c r="BQ10" i="4" s="1"/>
  <c r="F10" i="4" s="1"/>
  <c r="O10" i="4"/>
  <c r="R10" i="4" s="1"/>
  <c r="U10" i="4" s="1"/>
  <c r="X10" i="4" s="1"/>
  <c r="AA10" i="4" s="1"/>
  <c r="BP9" i="4"/>
  <c r="BQ9" i="4" s="1"/>
  <c r="F9" i="4" s="1"/>
  <c r="O9" i="4"/>
  <c r="R9" i="4" s="1"/>
  <c r="U9" i="4" s="1"/>
  <c r="X9" i="4" s="1"/>
  <c r="AA9" i="4" s="1"/>
  <c r="BP8" i="4"/>
  <c r="BQ8" i="4" s="1"/>
  <c r="F8" i="4" s="1"/>
  <c r="O8" i="4"/>
  <c r="BP7" i="4"/>
  <c r="BQ7" i="4" s="1"/>
  <c r="F7" i="4" s="1"/>
  <c r="O7" i="4"/>
  <c r="R7" i="4" s="1"/>
  <c r="U7" i="4" s="1"/>
  <c r="X7" i="4" s="1"/>
  <c r="AA7" i="4" s="1"/>
  <c r="BP6" i="4"/>
  <c r="O6" i="4"/>
  <c r="R6" i="4" s="1"/>
  <c r="G11" i="3"/>
  <c r="BQ11" i="3"/>
  <c r="BP11" i="3"/>
  <c r="BN11" i="3"/>
  <c r="BM11" i="3"/>
  <c r="BK11" i="3"/>
  <c r="BJ11" i="3"/>
  <c r="BH11" i="3"/>
  <c r="BG11" i="3"/>
  <c r="BE11" i="3"/>
  <c r="BD11" i="3"/>
  <c r="AA11" i="3"/>
  <c r="Z11" i="3"/>
  <c r="X11" i="3"/>
  <c r="W11" i="3"/>
  <c r="U11" i="3"/>
  <c r="T11" i="3"/>
  <c r="R11" i="3"/>
  <c r="Q11" i="3"/>
  <c r="O11" i="3"/>
  <c r="N11" i="3"/>
  <c r="L11" i="3"/>
  <c r="K11" i="3"/>
  <c r="I11" i="3"/>
  <c r="H11" i="3"/>
  <c r="BP9" i="3"/>
  <c r="BQ9" i="3" s="1"/>
  <c r="F9" i="3" s="1"/>
  <c r="BP10" i="3"/>
  <c r="BQ10" i="3" s="1"/>
  <c r="F10" i="3" s="1"/>
  <c r="O9" i="3"/>
  <c r="R9" i="3"/>
  <c r="U9" i="3" s="1"/>
  <c r="X9" i="3" s="1"/>
  <c r="AA9" i="3" s="1"/>
  <c r="O10" i="3"/>
  <c r="R10" i="3"/>
  <c r="U10" i="3"/>
  <c r="X10" i="3" s="1"/>
  <c r="AA10" i="3" s="1"/>
  <c r="O8" i="3"/>
  <c r="R8" i="3" s="1"/>
  <c r="U8" i="3" s="1"/>
  <c r="X8" i="3" s="1"/>
  <c r="AA8" i="3" s="1"/>
  <c r="BE8" i="3"/>
  <c r="BH8" i="3" s="1"/>
  <c r="BK8" i="3" s="1"/>
  <c r="BN8" i="3" s="1"/>
  <c r="BP8" i="3"/>
  <c r="BQ8" i="3" s="1"/>
  <c r="F8" i="3" s="1"/>
  <c r="BP7" i="3"/>
  <c r="BQ7" i="3" s="1"/>
  <c r="F7" i="3" s="1"/>
  <c r="BE7" i="3"/>
  <c r="BH7" i="3" s="1"/>
  <c r="BK7" i="3" s="1"/>
  <c r="BN7" i="3" s="1"/>
  <c r="BP6" i="3"/>
  <c r="BQ6" i="3" s="1"/>
  <c r="F6" i="3" s="1"/>
  <c r="BE6" i="3"/>
  <c r="BH6" i="3" s="1"/>
  <c r="O6" i="3"/>
  <c r="BN10" i="7" l="1"/>
  <c r="BK10" i="7"/>
  <c r="BH10" i="7"/>
  <c r="BE10" i="7"/>
  <c r="BB10" i="7"/>
  <c r="AY10" i="7"/>
  <c r="AV10" i="7"/>
  <c r="AS10" i="7"/>
  <c r="BP10" i="7"/>
  <c r="L10" i="7"/>
  <c r="O6" i="7"/>
  <c r="BQ6" i="7"/>
  <c r="I10" i="7"/>
  <c r="BP10" i="6"/>
  <c r="I10" i="6"/>
  <c r="L6" i="6"/>
  <c r="BQ6" i="6"/>
  <c r="R9" i="5"/>
  <c r="U9" i="5" s="1"/>
  <c r="X9" i="5" s="1"/>
  <c r="AA9" i="5" s="1"/>
  <c r="AD9" i="5" s="1"/>
  <c r="AG9" i="5" s="1"/>
  <c r="AJ9" i="5" s="1"/>
  <c r="AM9" i="5" s="1"/>
  <c r="AP9" i="5" s="1"/>
  <c r="AS9" i="5" s="1"/>
  <c r="AV9" i="5" s="1"/>
  <c r="AY9" i="5" s="1"/>
  <c r="BB9" i="5" s="1"/>
  <c r="BP10" i="5"/>
  <c r="BQ6" i="5"/>
  <c r="F6" i="5" s="1"/>
  <c r="R7" i="5"/>
  <c r="U7" i="5" s="1"/>
  <c r="X7" i="5" s="1"/>
  <c r="AA7" i="5" s="1"/>
  <c r="AD7" i="5" s="1"/>
  <c r="AG7" i="5" s="1"/>
  <c r="AJ7" i="5" s="1"/>
  <c r="AM7" i="5" s="1"/>
  <c r="AP7" i="5" s="1"/>
  <c r="AS7" i="5" s="1"/>
  <c r="AV7" i="5" s="1"/>
  <c r="AY7" i="5" s="1"/>
  <c r="BB7" i="5" s="1"/>
  <c r="BE7" i="5" s="1"/>
  <c r="BH7" i="5" s="1"/>
  <c r="BK7" i="5" s="1"/>
  <c r="BN7" i="5" s="1"/>
  <c r="AD12" i="4"/>
  <c r="AG12" i="4"/>
  <c r="AJ12" i="4"/>
  <c r="AM8" i="4"/>
  <c r="AP8" i="4" s="1"/>
  <c r="AS8" i="4" s="1"/>
  <c r="AV8" i="4" s="1"/>
  <c r="AY8" i="4" s="1"/>
  <c r="BB8" i="4" s="1"/>
  <c r="BE8" i="4" s="1"/>
  <c r="BH8" i="4" s="1"/>
  <c r="BK8" i="4" s="1"/>
  <c r="BN8" i="4" s="1"/>
  <c r="AP6" i="4"/>
  <c r="BP12" i="4"/>
  <c r="O12" i="4"/>
  <c r="U6" i="4"/>
  <c r="R8" i="4"/>
  <c r="BQ6" i="4"/>
  <c r="BQ12" i="4" s="1"/>
  <c r="R6" i="3"/>
  <c r="BK6" i="3"/>
  <c r="O7" i="3"/>
  <c r="R7" i="3" s="1"/>
  <c r="U7" i="3" s="1"/>
  <c r="X7" i="3" s="1"/>
  <c r="AA7" i="3" s="1"/>
  <c r="BQ10" i="7" l="1"/>
  <c r="F6" i="7"/>
  <c r="R6" i="7"/>
  <c r="O10" i="7"/>
  <c r="L10" i="6"/>
  <c r="O6" i="6"/>
  <c r="BQ10" i="6"/>
  <c r="F6" i="6"/>
  <c r="BQ10" i="5"/>
  <c r="I10" i="5"/>
  <c r="AM12" i="4"/>
  <c r="AP12" i="4"/>
  <c r="AS6" i="4"/>
  <c r="U8" i="4"/>
  <c r="X8" i="4" s="1"/>
  <c r="AA8" i="4" s="1"/>
  <c r="R12" i="4"/>
  <c r="X6" i="4"/>
  <c r="F6" i="4"/>
  <c r="BN6" i="3"/>
  <c r="U6" i="3"/>
  <c r="U6" i="7" l="1"/>
  <c r="R10" i="7"/>
  <c r="R6" i="6"/>
  <c r="O10" i="6"/>
  <c r="L10" i="5"/>
  <c r="AS12" i="4"/>
  <c r="AV6" i="4"/>
  <c r="AY6" i="4" s="1"/>
  <c r="BB6" i="4" s="1"/>
  <c r="BE6" i="4" s="1"/>
  <c r="U12" i="4"/>
  <c r="X12" i="4"/>
  <c r="AA6" i="4"/>
  <c r="AA12" i="4" s="1"/>
  <c r="X6" i="3"/>
  <c r="X6" i="7" l="1"/>
  <c r="U10" i="7"/>
  <c r="U6" i="6"/>
  <c r="R10" i="6"/>
  <c r="R6" i="5"/>
  <c r="O10" i="5"/>
  <c r="BH6" i="4"/>
  <c r="BE12" i="4"/>
  <c r="AA6" i="3"/>
  <c r="AA6" i="7" l="1"/>
  <c r="X10" i="7"/>
  <c r="X6" i="6"/>
  <c r="U10" i="6"/>
  <c r="U6" i="5"/>
  <c r="R10" i="5"/>
  <c r="BK6" i="4"/>
  <c r="BH12" i="4"/>
  <c r="AA10" i="7" l="1"/>
  <c r="AD6" i="7"/>
  <c r="AA6" i="6"/>
  <c r="X10" i="6"/>
  <c r="U10" i="5"/>
  <c r="X6" i="5"/>
  <c r="BN6" i="4"/>
  <c r="BN12" i="4" s="1"/>
  <c r="BK12" i="4"/>
  <c r="AG6" i="7" l="1"/>
  <c r="AD10" i="7"/>
  <c r="AA10" i="6"/>
  <c r="AD6" i="6"/>
  <c r="X10" i="5"/>
  <c r="AA6" i="5"/>
  <c r="AG10" i="7" l="1"/>
  <c r="AJ6" i="7"/>
  <c r="AG6" i="6"/>
  <c r="AD10" i="6"/>
  <c r="AA10" i="5"/>
  <c r="AD6" i="5"/>
  <c r="AJ10" i="7" l="1"/>
  <c r="AM6" i="7"/>
  <c r="AG10" i="6"/>
  <c r="AJ6" i="6"/>
  <c r="AD10" i="5"/>
  <c r="AG6" i="5"/>
  <c r="AP6" i="7" l="1"/>
  <c r="AM10" i="7"/>
  <c r="AJ10" i="6"/>
  <c r="AM6" i="6"/>
  <c r="AJ6" i="5"/>
  <c r="AG10" i="5"/>
  <c r="AP10" i="7" l="1"/>
  <c r="AS6" i="7"/>
  <c r="AP6" i="6"/>
  <c r="AM10" i="6"/>
  <c r="AJ10" i="5"/>
  <c r="AM6" i="5"/>
  <c r="AV6" i="7" l="1"/>
  <c r="AY6" i="7" s="1"/>
  <c r="BB6" i="7" s="1"/>
  <c r="BE6" i="7" s="1"/>
  <c r="AP10" i="6"/>
  <c r="AS6" i="6"/>
  <c r="AM10" i="5"/>
  <c r="AP6" i="5"/>
  <c r="BH6" i="7" l="1"/>
  <c r="AS10" i="6"/>
  <c r="AV6" i="6"/>
  <c r="AY6" i="6" s="1"/>
  <c r="BB6" i="6" s="1"/>
  <c r="BE6" i="6" s="1"/>
  <c r="AS6" i="5"/>
  <c r="AP10" i="5"/>
  <c r="BK6" i="7" l="1"/>
  <c r="BE10" i="6"/>
  <c r="BH6" i="6"/>
  <c r="AV6" i="5"/>
  <c r="AY6" i="5" s="1"/>
  <c r="BB6" i="5" s="1"/>
  <c r="BE6" i="5" s="1"/>
  <c r="AS10" i="5"/>
  <c r="BN6" i="7" l="1"/>
  <c r="BH10" i="6"/>
  <c r="BK6" i="6"/>
  <c r="BH6" i="5"/>
  <c r="BE10" i="5"/>
  <c r="BK10" i="6" l="1"/>
  <c r="BN6" i="6"/>
  <c r="BN10" i="6" s="1"/>
  <c r="BK6" i="5"/>
  <c r="BH10" i="5"/>
  <c r="BK10" i="5" l="1"/>
  <c r="BN6" i="5"/>
  <c r="BN10" i="5" s="1"/>
</calcChain>
</file>

<file path=xl/sharedStrings.xml><?xml version="1.0" encoding="utf-8"?>
<sst xmlns="http://schemas.openxmlformats.org/spreadsheetml/2006/main" count="373" uniqueCount="71">
  <si>
    <t>Metodologías ágiles: Lista de tareas de la iteración</t>
  </si>
  <si>
    <t>(Sprint Backlog)</t>
  </si>
  <si>
    <t>Elaborado por: pmoinformatica.com</t>
  </si>
  <si>
    <t>Día 1</t>
  </si>
  <si>
    <t>Día 2</t>
  </si>
  <si>
    <t>Día 3</t>
  </si>
  <si>
    <t>Día 4</t>
  </si>
  <si>
    <t>Día 5</t>
  </si>
  <si>
    <t>Día 6</t>
  </si>
  <si>
    <t>Día 7</t>
  </si>
  <si>
    <t>Total</t>
  </si>
  <si>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</si>
  <si>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</si>
  <si>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</si>
  <si>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</si>
  <si>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</si>
  <si>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</si>
  <si>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Cons.</t>
  </si>
  <si>
    <t>Rest.</t>
  </si>
  <si>
    <t>TOTAL DEL SPRINT</t>
  </si>
  <si>
    <t>Día 8</t>
  </si>
  <si>
    <t>Día 9</t>
  </si>
  <si>
    <t>Día 10</t>
  </si>
  <si>
    <t>Día 11</t>
  </si>
  <si>
    <t>Día 12</t>
  </si>
  <si>
    <t>Día 13</t>
  </si>
  <si>
    <t>HCS-002</t>
  </si>
  <si>
    <t>HCS-001</t>
  </si>
  <si>
    <t>HCS-003</t>
  </si>
  <si>
    <t>Día 14</t>
  </si>
  <si>
    <t>Día 15</t>
  </si>
  <si>
    <t>Día 16</t>
  </si>
  <si>
    <t>HCS-004</t>
  </si>
  <si>
    <t>HCS-006</t>
  </si>
  <si>
    <t>T1</t>
  </si>
  <si>
    <t>T2</t>
  </si>
  <si>
    <t>T3</t>
  </si>
  <si>
    <t>Análisis de Requerimientos y Criterios de Aceptación</t>
  </si>
  <si>
    <t>Diseño de la Solución. Modelo de Datos y UML</t>
  </si>
  <si>
    <t>Diseño de Prototipos de Interfaz</t>
  </si>
  <si>
    <t>Plan de Proyecto y Product Backlog Priorizado</t>
  </si>
  <si>
    <t>Implementación del Ambiente de Desarrollo</t>
  </si>
  <si>
    <t>Modelo Relacional de Base de Datos</t>
  </si>
  <si>
    <t>Catálogo de Materiales y Poblamiento Inicial</t>
  </si>
  <si>
    <t>Ajuste a Presupuesto Máximo del Usuario</t>
  </si>
  <si>
    <t>Integración del Motor con el Catálogo de Materiales</t>
  </si>
  <si>
    <t>Interfaz Principal y Formulario de Presupuesto</t>
  </si>
  <si>
    <t>Editor Interactivo de Diseño del Hogar</t>
  </si>
  <si>
    <t>Visualización de Resultados en Tiempo Real</t>
  </si>
  <si>
    <t>Kick Off</t>
  </si>
  <si>
    <t>Documento de Visión y Roles Scrum</t>
  </si>
  <si>
    <t>Aprobación de la Visión con Patrocinadores</t>
  </si>
  <si>
    <t>Definición de Requerimientos Generales (Product Backlog inicial)</t>
  </si>
  <si>
    <t>Organización del Equipo y Herramientas (repositorio, tablero)</t>
  </si>
  <si>
    <t>T4</t>
  </si>
  <si>
    <t>T5</t>
  </si>
  <si>
    <t>Captura de Requerimientos Específicos (Historias de Usuario)</t>
  </si>
  <si>
    <t>T6</t>
  </si>
  <si>
    <t>Coordinación del Objetivos Sprint 3</t>
  </si>
  <si>
    <t>Proyecto HomeCount_Simulator / Sprint 3: Base de Datos y Catálogo de Materiales (08-09-2026 al 16-09-2026)</t>
  </si>
  <si>
    <t>Proyecto HomeCount_Simulator / Sprint 2: Fase Diseño (20-08-2026 al 07-09-2026)</t>
  </si>
  <si>
    <t>Proyecto HomeCount_Simulator –/Sprint 1: Fase Análisis y Planificación (11-08-2026 al 19-08-2026)</t>
  </si>
  <si>
    <t>Coordinación delObjetivos Sprint 4</t>
  </si>
  <si>
    <t>Proyecto HomeCount_Simulator / Sprint 4: Motor de Simulación y Algoritmo de Cálculo (17-09-2026 al 06-10-2026)</t>
  </si>
  <si>
    <t>Coordinación del Objetivos Sprint 5</t>
  </si>
  <si>
    <t>Benjamín Casellas</t>
  </si>
  <si>
    <t>Emilio Castro</t>
  </si>
  <si>
    <t>Benjamín Núñez</t>
  </si>
  <si>
    <t>Lucas Padilla</t>
  </si>
  <si>
    <t>Diseño del Algoritmo de plano 3D</t>
  </si>
  <si>
    <t>Algoritmo de cálculo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</si>
</sst>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charset val="1"/>
    </font>
    <font>
      <sz val="11"/>
      <color theme="1"/>
      <name val="Arial"/>
      <family val="2"/>
      <scheme val="minor"/>
    </font>
    <font>
      <sz val="11"/>
      <color theme="1"/>
      <name val="Calibri"/>
      <charset val="1"/>
    </font>
    <font>
      <b/>
      <sz val="22"/>
      <color theme="1"/>
      <name val="Calibri"/>
      <charset val="1"/>
    </font>
    <font>
      <b/>
      <sz val="16"/>
      <color rgb="FF1F497D"/>
      <name val="Calibri"/>
      <charset val="1"/>
    </font>
    <font>
      <sz val="11"/>
      <color theme="0"/>
      <name val="Calibri"/>
      <charset val="1"/>
    </font>
    <font>
      <b/>
      <sz val="11"/>
      <name val="Calibri"/>
      <charset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1F497D"/>
        <bgColor rgb="FF003366"/>
      </patternFill>
    </fill>
    <fill>
      <patternFill patternType="solid">
        <fgColor rgb="FFD6E3BC"/>
        <bgColor rgb="FFB8CCE4"/>
      </patternFill>
    </fill>
    <fill>
      <patternFill patternType="solid">
        <fgColor rgb="FFB8CCE4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5" borderId="1" xfId="0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top" wrapText="1"/>
    </xf>
    <xf numFmtId="0" fontId="7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top" wrapText="1"/>
    </xf>
    <xf numFmtId="0" fontId="1" fillId="0" borderId="1" xfId="1" applyBorder="1"/>
    <xf numFmtId="0" fontId="1" fillId="0" borderId="0" xfId="1" applyAlignment="1">
      <alignment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1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64D0AE55-B63E-488A-A3FF-AD2E8760856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3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90D0-6C2E-44DA-8035-83E91BBE1BE6}">
  <dimension ref="A1:BQ57"/>
  <sheetViews>
    <sheetView zoomScaleNormal="100" workbookViewId="0">
      <pane xSplit="4" topLeftCell="E1" activePane="topRight" state="frozen"/>
      <selection pane="topRight" activeCell="B10" sqref="B6:B10"/>
    </sheetView>
  </sheetViews>
  <sheetFormatPr baseColWidth="10" defaultColWidth="8.625" defaultRowHeight="14.25" x14ac:dyDescent="0.2"/>
  <cols>
    <col min="1" max="1" width="1.25" customWidth="1"/>
    <col min="2" max="2" width="14.375" customWidth="1"/>
    <col min="3" max="3" width="17.125" customWidth="1"/>
    <col min="4" max="4" width="18.25" customWidth="1"/>
    <col min="5" max="5" width="9.125" customWidth="1"/>
    <col min="6" max="6" width="10.375" customWidth="1"/>
    <col min="7" max="7" width="13.5" customWidth="1"/>
    <col min="8" max="8" width="5.125" customWidth="1"/>
    <col min="9" max="9" width="4.75" customWidth="1"/>
    <col min="10" max="10" width="2.375" customWidth="1"/>
    <col min="11" max="11" width="5.125" customWidth="1"/>
    <col min="12" max="12" width="4.75" customWidth="1"/>
    <col min="13" max="13" width="2.375" customWidth="1"/>
    <col min="14" max="14" width="5.125" customWidth="1"/>
    <col min="15" max="15" width="4.75" customWidth="1"/>
    <col min="16" max="16" width="2.375" customWidth="1"/>
    <col min="17" max="17" width="5.125" customWidth="1"/>
    <col min="18" max="18" width="4.75" customWidth="1"/>
    <col min="19" max="19" width="2.375" customWidth="1"/>
    <col min="20" max="20" width="5.125" customWidth="1"/>
    <col min="21" max="21" width="4.75" customWidth="1"/>
    <col min="22" max="22" width="2.375" customWidth="1"/>
    <col min="23" max="23" width="5.125" customWidth="1"/>
    <col min="24" max="24" width="4.75" customWidth="1"/>
    <col min="25" max="25" width="2.375" customWidth="1"/>
    <col min="26" max="26" width="5.125" customWidth="1"/>
    <col min="27" max="27" width="4.75" customWidth="1"/>
    <col min="28" max="28" width="2.375" customWidth="1"/>
    <col min="29" max="29" width="5.125" customWidth="1"/>
    <col min="30" max="30" width="4.75" customWidth="1"/>
    <col min="31" max="31" width="2.375" customWidth="1"/>
    <col min="32" max="32" width="5.125" customWidth="1"/>
    <col min="33" max="33" width="4.75" customWidth="1"/>
    <col min="34" max="34" width="2.375" customWidth="1"/>
    <col min="35" max="35" width="5.125" customWidth="1"/>
    <col min="36" max="36" width="4.75" customWidth="1"/>
    <col min="37" max="37" width="2.375" customWidth="1"/>
    <col min="38" max="38" width="5.125" customWidth="1"/>
    <col min="39" max="39" width="4.75" customWidth="1"/>
    <col min="40" max="40" width="2.375" customWidth="1"/>
    <col min="41" max="41" width="5.125" customWidth="1"/>
    <col min="42" max="42" width="4.75" customWidth="1"/>
    <col min="43" max="43" width="2.375" customWidth="1"/>
    <col min="44" max="44" width="5.125" customWidth="1"/>
    <col min="45" max="45" width="4.75" customWidth="1"/>
    <col min="46" max="46" width="2.375" customWidth="1"/>
    <col min="47" max="47" width="5.125" customWidth="1"/>
    <col min="48" max="48" width="4.75" customWidth="1"/>
    <col min="49" max="49" width="2.375" customWidth="1"/>
    <col min="50" max="50" width="5.125" customWidth="1"/>
    <col min="51" max="51" width="4.75" customWidth="1"/>
    <col min="52" max="52" width="2.375" customWidth="1"/>
    <col min="53" max="53" width="5.125" customWidth="1"/>
    <col min="54" max="54" width="4.75" customWidth="1"/>
    <col min="55" max="55" width="2.375" customWidth="1"/>
    <col min="56" max="56" width="5.125" hidden="1" customWidth="1"/>
    <col min="57" max="57" width="4.75" hidden="1" customWidth="1"/>
    <col min="58" max="58" width="2.375" hidden="1" customWidth="1"/>
    <col min="59" max="59" width="5.125" hidden="1" customWidth="1"/>
    <col min="60" max="60" width="4.75" hidden="1" customWidth="1"/>
    <col min="61" max="61" width="2.375" hidden="1" customWidth="1"/>
    <col min="62" max="62" width="5.125" hidden="1" customWidth="1"/>
    <col min="63" max="63" width="4.75" hidden="1" customWidth="1"/>
    <col min="64" max="64" width="2.375" hidden="1" customWidth="1"/>
    <col min="65" max="65" width="5.125" hidden="1" customWidth="1"/>
    <col min="66" max="66" width="4.75" hidden="1" customWidth="1"/>
    <col min="67" max="67" width="2.375" hidden="1" customWidth="1"/>
    <col min="68" max="68" width="5.125" customWidth="1"/>
    <col min="69" max="69" width="4.75" customWidth="1"/>
  </cols>
  <sheetData>
    <row r="1" spans="1:69" ht="28.5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customHeight="1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35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1.5" customHeight="1" x14ac:dyDescent="0.25">
      <c r="A4" s="1"/>
      <c r="B4" s="31" t="s">
        <v>61</v>
      </c>
      <c r="C4" s="32"/>
      <c r="D4" s="32"/>
      <c r="E4" s="32"/>
      <c r="F4" s="32"/>
      <c r="G4" s="32"/>
      <c r="H4" s="26" t="s">
        <v>3</v>
      </c>
      <c r="I4" s="26"/>
      <c r="J4" s="4"/>
      <c r="K4" s="26" t="s">
        <v>4</v>
      </c>
      <c r="L4" s="26"/>
      <c r="M4" s="4"/>
      <c r="N4" s="26" t="s">
        <v>5</v>
      </c>
      <c r="O4" s="26"/>
      <c r="P4" s="4"/>
      <c r="Q4" s="26" t="s">
        <v>6</v>
      </c>
      <c r="R4" s="26"/>
      <c r="S4" s="4"/>
      <c r="T4" s="26" t="s">
        <v>7</v>
      </c>
      <c r="U4" s="26"/>
      <c r="V4" s="4"/>
      <c r="W4" s="26" t="s">
        <v>8</v>
      </c>
      <c r="X4" s="26"/>
      <c r="Y4" s="4"/>
      <c r="Z4" s="26" t="s">
        <v>9</v>
      </c>
      <c r="AA4" s="26"/>
      <c r="AB4" s="4"/>
      <c r="AC4" s="33"/>
      <c r="AD4" s="34"/>
      <c r="AE4" s="4"/>
      <c r="AF4" s="33"/>
      <c r="AG4" s="34"/>
      <c r="AH4" s="4"/>
      <c r="AI4" s="33"/>
      <c r="AJ4" s="34"/>
      <c r="AK4" s="4"/>
      <c r="AL4" s="33"/>
      <c r="AM4" s="34"/>
      <c r="AN4" s="4"/>
      <c r="AO4" s="33"/>
      <c r="AP4" s="34"/>
      <c r="AQ4" s="4"/>
      <c r="AR4" s="33"/>
      <c r="AS4" s="34"/>
      <c r="AT4" s="4"/>
      <c r="AU4" s="33"/>
      <c r="AV4" s="34"/>
      <c r="AW4" s="4"/>
      <c r="AX4" s="33"/>
      <c r="AY4" s="34"/>
      <c r="AZ4" s="4"/>
      <c r="BA4" s="33"/>
      <c r="BB4" s="34"/>
      <c r="BC4" s="4"/>
      <c r="BD4" s="26"/>
      <c r="BE4" s="26"/>
      <c r="BF4" s="4"/>
      <c r="BG4" s="26"/>
      <c r="BH4" s="26"/>
      <c r="BI4" s="4"/>
      <c r="BJ4" s="26"/>
      <c r="BK4" s="26"/>
      <c r="BL4" s="4"/>
      <c r="BM4" s="26"/>
      <c r="BN4" s="26"/>
      <c r="BO4" s="4"/>
      <c r="BP4" s="26" t="s">
        <v>10</v>
      </c>
      <c r="BQ4" s="26"/>
    </row>
    <row r="5" spans="1:69" ht="42.75" customHeight="1" x14ac:dyDescent="0.25">
      <c r="A5" s="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5" t="s">
        <v>17</v>
      </c>
      <c r="I5" s="5" t="s">
        <v>18</v>
      </c>
      <c r="J5" s="5"/>
      <c r="K5" s="5" t="s">
        <v>17</v>
      </c>
      <c r="L5" s="5" t="s">
        <v>18</v>
      </c>
      <c r="M5" s="5"/>
      <c r="N5" s="5" t="s">
        <v>17</v>
      </c>
      <c r="O5" s="5" t="s">
        <v>18</v>
      </c>
      <c r="P5" s="5"/>
      <c r="Q5" s="5" t="s">
        <v>17</v>
      </c>
      <c r="R5" s="5" t="s">
        <v>18</v>
      </c>
      <c r="S5" s="5"/>
      <c r="T5" s="5" t="s">
        <v>17</v>
      </c>
      <c r="U5" s="5" t="s">
        <v>18</v>
      </c>
      <c r="V5" s="5"/>
      <c r="W5" s="5" t="s">
        <v>17</v>
      </c>
      <c r="X5" s="5" t="s">
        <v>18</v>
      </c>
      <c r="Y5" s="5"/>
      <c r="Z5" s="5" t="s">
        <v>17</v>
      </c>
      <c r="AA5" s="5" t="s">
        <v>18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 t="s">
        <v>17</v>
      </c>
      <c r="BE5" s="5" t="s">
        <v>18</v>
      </c>
      <c r="BF5" s="5"/>
      <c r="BG5" s="5" t="s">
        <v>17</v>
      </c>
      <c r="BH5" s="5" t="s">
        <v>18</v>
      </c>
      <c r="BI5" s="5"/>
      <c r="BJ5" s="5" t="s">
        <v>17</v>
      </c>
      <c r="BK5" s="5" t="s">
        <v>18</v>
      </c>
      <c r="BL5" s="5"/>
      <c r="BM5" s="5" t="s">
        <v>17</v>
      </c>
      <c r="BN5" s="5" t="s">
        <v>18</v>
      </c>
      <c r="BO5" s="5"/>
      <c r="BP5" s="5" t="s">
        <v>17</v>
      </c>
      <c r="BQ5" s="5" t="s">
        <v>18</v>
      </c>
    </row>
    <row r="6" spans="1:69" ht="58.15" customHeight="1" x14ac:dyDescent="0.25">
      <c r="A6" s="1"/>
      <c r="B6" s="35" t="s">
        <v>33</v>
      </c>
      <c r="C6" s="6" t="s">
        <v>49</v>
      </c>
      <c r="D6" s="15" t="s">
        <v>34</v>
      </c>
      <c r="E6" s="23" t="s">
        <v>66</v>
      </c>
      <c r="F6" s="16" t="str">
        <f>IF(BQ6&lt;=0,"Finalizado",IF(BP6&gt;0,"En proceso","Por iniciar"))</f>
        <v>Finalizado</v>
      </c>
      <c r="G6" s="17">
        <v>8</v>
      </c>
      <c r="H6" s="14">
        <v>7</v>
      </c>
      <c r="I6" s="19">
        <v>1</v>
      </c>
      <c r="J6" s="8"/>
      <c r="K6" s="7">
        <v>1</v>
      </c>
      <c r="L6" s="7">
        <v>0</v>
      </c>
      <c r="M6" s="8"/>
      <c r="N6" s="7"/>
      <c r="O6" s="7">
        <f>L6-N6</f>
        <v>0</v>
      </c>
      <c r="P6" s="8"/>
      <c r="Q6" s="7"/>
      <c r="R6" s="7">
        <f>O6-Q6</f>
        <v>0</v>
      </c>
      <c r="S6" s="8"/>
      <c r="T6" s="7"/>
      <c r="U6" s="7">
        <f>R6-T6</f>
        <v>0</v>
      </c>
      <c r="V6" s="8"/>
      <c r="W6" s="7"/>
      <c r="X6" s="7">
        <f>U6-W6</f>
        <v>0</v>
      </c>
      <c r="Y6" s="8"/>
      <c r="Z6" s="7"/>
      <c r="AA6" s="7">
        <f>X6-Z6</f>
        <v>0</v>
      </c>
      <c r="AB6" s="8"/>
      <c r="AC6" s="7"/>
      <c r="AD6" s="7"/>
      <c r="AE6" s="8"/>
      <c r="AF6" s="7"/>
      <c r="AG6" s="7"/>
      <c r="AH6" s="8"/>
      <c r="AI6" s="7"/>
      <c r="AJ6" s="7"/>
      <c r="AK6" s="8"/>
      <c r="AL6" s="7"/>
      <c r="AM6" s="7"/>
      <c r="AN6" s="8"/>
      <c r="AO6" s="7"/>
      <c r="AP6" s="7"/>
      <c r="AQ6" s="8"/>
      <c r="AR6" s="7"/>
      <c r="AS6" s="7"/>
      <c r="AT6" s="8"/>
      <c r="AU6" s="7"/>
      <c r="AV6" s="7"/>
      <c r="AW6" s="8"/>
      <c r="AX6" s="7"/>
      <c r="AY6" s="7"/>
      <c r="AZ6" s="8"/>
      <c r="BA6" s="7"/>
      <c r="BB6" s="7"/>
      <c r="BC6" s="8"/>
      <c r="BD6" s="7"/>
      <c r="BE6" s="7">
        <f>BB6-BD6</f>
        <v>0</v>
      </c>
      <c r="BF6" s="8"/>
      <c r="BG6" s="7"/>
      <c r="BH6" s="7">
        <f>BE6-BG6</f>
        <v>0</v>
      </c>
      <c r="BI6" s="8"/>
      <c r="BJ6" s="7"/>
      <c r="BK6" s="7">
        <f>BH6-BJ6</f>
        <v>0</v>
      </c>
      <c r="BL6" s="8"/>
      <c r="BM6" s="7"/>
      <c r="BN6" s="7">
        <f>BK6-BM6</f>
        <v>0</v>
      </c>
      <c r="BO6" s="8"/>
      <c r="BP6" s="9">
        <f>H6+K6+N6+Q6+T6+W6+Z6+AC6+AF6+AI6+AL6+AO6+AR6+AU6+AX6+BA6+BD6+BG6+BJ6+BM6</f>
        <v>8</v>
      </c>
      <c r="BQ6" s="9">
        <f>G6-BP6</f>
        <v>0</v>
      </c>
    </row>
    <row r="7" spans="1:69" ht="58.15" customHeight="1" x14ac:dyDescent="0.25">
      <c r="A7" s="1"/>
      <c r="B7" s="35" t="s">
        <v>33</v>
      </c>
      <c r="C7" s="6" t="s">
        <v>50</v>
      </c>
      <c r="D7" s="15" t="s">
        <v>35</v>
      </c>
      <c r="E7" s="23" t="s">
        <v>65</v>
      </c>
      <c r="F7" s="16" t="str">
        <f>IF(BQ7&lt;=0,"Finalizado",IF(BP7&gt;0,"En proceso","Por iniciar"))</f>
        <v>Finalizado</v>
      </c>
      <c r="G7" s="17">
        <v>8</v>
      </c>
      <c r="H7" s="14"/>
      <c r="I7" s="19">
        <v>8</v>
      </c>
      <c r="J7" s="8"/>
      <c r="K7" s="7">
        <v>5</v>
      </c>
      <c r="L7" s="7">
        <v>3</v>
      </c>
      <c r="M7" s="8"/>
      <c r="N7" s="7">
        <v>3</v>
      </c>
      <c r="O7" s="7">
        <f>L7-N7</f>
        <v>0</v>
      </c>
      <c r="P7" s="8"/>
      <c r="Q7" s="7"/>
      <c r="R7" s="7">
        <f>O7-Q7</f>
        <v>0</v>
      </c>
      <c r="S7" s="8"/>
      <c r="T7" s="7"/>
      <c r="U7" s="7">
        <f>R7-T7</f>
        <v>0</v>
      </c>
      <c r="V7" s="8"/>
      <c r="W7" s="7"/>
      <c r="X7" s="7">
        <f>U7-W7</f>
        <v>0</v>
      </c>
      <c r="Y7" s="8"/>
      <c r="Z7" s="7"/>
      <c r="AA7" s="7">
        <f>X7-Z7</f>
        <v>0</v>
      </c>
      <c r="AB7" s="8"/>
      <c r="AC7" s="7"/>
      <c r="AD7" s="7"/>
      <c r="AE7" s="8"/>
      <c r="AF7" s="7"/>
      <c r="AG7" s="7"/>
      <c r="AH7" s="8"/>
      <c r="AI7" s="7"/>
      <c r="AJ7" s="7"/>
      <c r="AK7" s="8"/>
      <c r="AL7" s="7"/>
      <c r="AM7" s="7"/>
      <c r="AN7" s="8"/>
      <c r="AO7" s="7"/>
      <c r="AP7" s="7"/>
      <c r="AQ7" s="8"/>
      <c r="AR7" s="7"/>
      <c r="AS7" s="7"/>
      <c r="AT7" s="8"/>
      <c r="AU7" s="7"/>
      <c r="AV7" s="7"/>
      <c r="AW7" s="8"/>
      <c r="AX7" s="7"/>
      <c r="AY7" s="7"/>
      <c r="AZ7" s="8"/>
      <c r="BA7" s="7"/>
      <c r="BB7" s="7"/>
      <c r="BC7" s="8"/>
      <c r="BD7" s="7"/>
      <c r="BE7" s="7">
        <f>BB7-BD7</f>
        <v>0</v>
      </c>
      <c r="BF7" s="8"/>
      <c r="BG7" s="7"/>
      <c r="BH7" s="7">
        <f>BE7-BG7</f>
        <v>0</v>
      </c>
      <c r="BI7" s="8"/>
      <c r="BJ7" s="7"/>
      <c r="BK7" s="7">
        <f>BH7-BJ7</f>
        <v>0</v>
      </c>
      <c r="BL7" s="8"/>
      <c r="BM7" s="7"/>
      <c r="BN7" s="7">
        <f>BK7-BM7</f>
        <v>0</v>
      </c>
      <c r="BO7" s="8"/>
      <c r="BP7" s="9">
        <f>H7+K7+N7+Q7+T7+W7+Z7+AC7+AF7+AI7+AL7+AO7+AR7+AU7+AX7+BA7+BD7+BG7+BJ7+BM7</f>
        <v>8</v>
      </c>
      <c r="BQ7" s="9">
        <f>G7-BP7</f>
        <v>0</v>
      </c>
    </row>
    <row r="8" spans="1:69" ht="58.15" customHeight="1" x14ac:dyDescent="0.25">
      <c r="A8" s="1"/>
      <c r="B8" s="35" t="s">
        <v>33</v>
      </c>
      <c r="C8" s="20" t="s">
        <v>51</v>
      </c>
      <c r="D8" s="15" t="s">
        <v>36</v>
      </c>
      <c r="E8" s="23" t="s">
        <v>65</v>
      </c>
      <c r="F8" s="16" t="str">
        <f>IF(BQ8&lt;=0,"Finalizado",IF(BP8&gt;0,"En proceso","Por iniciar"))</f>
        <v>Finalizado</v>
      </c>
      <c r="G8" s="17">
        <v>1</v>
      </c>
      <c r="H8" s="14"/>
      <c r="I8" s="19">
        <v>1</v>
      </c>
      <c r="J8" s="8"/>
      <c r="K8" s="7"/>
      <c r="L8" s="7">
        <v>1</v>
      </c>
      <c r="M8" s="8"/>
      <c r="N8" s="7">
        <v>3</v>
      </c>
      <c r="O8" s="7">
        <f>L8-N8</f>
        <v>-2</v>
      </c>
      <c r="P8" s="8"/>
      <c r="Q8" s="7"/>
      <c r="R8" s="7">
        <f>O8-Q8</f>
        <v>-2</v>
      </c>
      <c r="S8" s="8"/>
      <c r="T8" s="7"/>
      <c r="U8" s="7">
        <f>R8-T8</f>
        <v>-2</v>
      </c>
      <c r="V8" s="8"/>
      <c r="W8" s="7"/>
      <c r="X8" s="7">
        <f>U8-W8</f>
        <v>-2</v>
      </c>
      <c r="Y8" s="8"/>
      <c r="Z8" s="7"/>
      <c r="AA8" s="7">
        <f>X8-Z8</f>
        <v>-2</v>
      </c>
      <c r="AB8" s="8"/>
      <c r="AC8" s="7"/>
      <c r="AD8" s="7"/>
      <c r="AE8" s="8"/>
      <c r="AF8" s="7"/>
      <c r="AG8" s="7"/>
      <c r="AH8" s="8"/>
      <c r="AI8" s="7"/>
      <c r="AJ8" s="7"/>
      <c r="AK8" s="8"/>
      <c r="AL8" s="7"/>
      <c r="AM8" s="7"/>
      <c r="AN8" s="8"/>
      <c r="AO8" s="7"/>
      <c r="AP8" s="7"/>
      <c r="AQ8" s="8"/>
      <c r="AR8" s="7"/>
      <c r="AS8" s="7"/>
      <c r="AT8" s="8"/>
      <c r="AU8" s="7"/>
      <c r="AV8" s="7"/>
      <c r="AW8" s="8"/>
      <c r="AX8" s="7"/>
      <c r="AY8" s="7"/>
      <c r="AZ8" s="8"/>
      <c r="BA8" s="7"/>
      <c r="BB8" s="7"/>
      <c r="BC8" s="8"/>
      <c r="BD8" s="7"/>
      <c r="BE8" s="7">
        <f>BB8-BD8</f>
        <v>0</v>
      </c>
      <c r="BF8" s="8"/>
      <c r="BG8" s="7"/>
      <c r="BH8" s="7">
        <f>BE8-BG8</f>
        <v>0</v>
      </c>
      <c r="BI8" s="8"/>
      <c r="BJ8" s="7"/>
      <c r="BK8" s="7">
        <f>BH8-BJ8</f>
        <v>0</v>
      </c>
      <c r="BL8" s="8"/>
      <c r="BM8" s="7"/>
      <c r="BN8" s="7">
        <f>BK8-BM8</f>
        <v>0</v>
      </c>
      <c r="BO8" s="8"/>
      <c r="BP8" s="9">
        <f>H8+K8+N8+Q8+T8+W8+Z8+AC8+AF8+AI8+AL8+AO8+AR8+AU8+AX8+BA8+BD8+BG8+BJ8+BM8</f>
        <v>3</v>
      </c>
      <c r="BQ8" s="9">
        <f>G8-BP8</f>
        <v>-2</v>
      </c>
    </row>
    <row r="9" spans="1:69" ht="58.15" customHeight="1" x14ac:dyDescent="0.25">
      <c r="A9" s="1"/>
      <c r="B9" s="35" t="s">
        <v>32</v>
      </c>
      <c r="C9" s="21" t="s">
        <v>52</v>
      </c>
      <c r="D9" s="15" t="s">
        <v>54</v>
      </c>
      <c r="E9" s="23" t="s">
        <v>65</v>
      </c>
      <c r="F9" s="16" t="str">
        <f t="shared" ref="F9:F10" si="0">IF(BQ9&lt;=0,"Finalizado",IF(BP9&gt;0,"En proceso","Por iniciar"))</f>
        <v>En proceso</v>
      </c>
      <c r="G9" s="17">
        <v>18</v>
      </c>
      <c r="H9" s="14"/>
      <c r="I9" s="19">
        <v>18</v>
      </c>
      <c r="J9" s="8"/>
      <c r="K9" s="7"/>
      <c r="L9" s="7">
        <v>18</v>
      </c>
      <c r="M9" s="8"/>
      <c r="N9" s="7">
        <v>1</v>
      </c>
      <c r="O9" s="7">
        <f t="shared" ref="O9:O10" si="1">L9-N9</f>
        <v>17</v>
      </c>
      <c r="P9" s="8"/>
      <c r="Q9" s="7">
        <v>5</v>
      </c>
      <c r="R9" s="7">
        <f t="shared" ref="R9:R10" si="2">O9-Q9</f>
        <v>12</v>
      </c>
      <c r="S9" s="8"/>
      <c r="T9" s="7">
        <v>7</v>
      </c>
      <c r="U9" s="7">
        <f t="shared" ref="U9:U10" si="3">R9-T9</f>
        <v>5</v>
      </c>
      <c r="V9" s="8"/>
      <c r="W9" s="7">
        <v>3</v>
      </c>
      <c r="X9" s="7">
        <f t="shared" ref="X9:X10" si="4">U9-W9</f>
        <v>2</v>
      </c>
      <c r="Y9" s="8"/>
      <c r="Z9" s="7"/>
      <c r="AA9" s="7">
        <f t="shared" ref="AA9:AA10" si="5">X9-Z9</f>
        <v>2</v>
      </c>
      <c r="AB9" s="8"/>
      <c r="AC9" s="7"/>
      <c r="AD9" s="7"/>
      <c r="AE9" s="8"/>
      <c r="AF9" s="7"/>
      <c r="AG9" s="7"/>
      <c r="AH9" s="8"/>
      <c r="AI9" s="7"/>
      <c r="AJ9" s="7"/>
      <c r="AK9" s="8"/>
      <c r="AL9" s="7"/>
      <c r="AM9" s="7"/>
      <c r="AN9" s="8"/>
      <c r="AO9" s="7"/>
      <c r="AP9" s="7"/>
      <c r="AQ9" s="8"/>
      <c r="AR9" s="7"/>
      <c r="AS9" s="7"/>
      <c r="AT9" s="8"/>
      <c r="AU9" s="7"/>
      <c r="AV9" s="7"/>
      <c r="AW9" s="8"/>
      <c r="AX9" s="7"/>
      <c r="AY9" s="7"/>
      <c r="AZ9" s="8"/>
      <c r="BA9" s="7"/>
      <c r="BB9" s="7"/>
      <c r="BC9" s="8"/>
      <c r="BP9" s="9">
        <f t="shared" ref="BP9:BP10" si="6">H9+K9+N9+Q9+T9+W9+Z9+AC9+AF9+AI9+AL9+AO9+AR9+AU9+AX9+BA9+BD9+BG9+BJ9+BM9</f>
        <v>16</v>
      </c>
      <c r="BQ9" s="9">
        <f t="shared" ref="BQ9:BQ10" si="7">G9-BP9</f>
        <v>2</v>
      </c>
    </row>
    <row r="10" spans="1:69" ht="58.15" customHeight="1" x14ac:dyDescent="0.25">
      <c r="A10" s="1"/>
      <c r="B10" s="35" t="s">
        <v>33</v>
      </c>
      <c r="C10" s="21" t="s">
        <v>53</v>
      </c>
      <c r="D10" s="15" t="s">
        <v>55</v>
      </c>
      <c r="E10" s="23" t="s">
        <v>67</v>
      </c>
      <c r="F10" s="16" t="str">
        <f t="shared" si="0"/>
        <v>Finalizado</v>
      </c>
      <c r="G10" s="17">
        <v>8</v>
      </c>
      <c r="H10" s="14"/>
      <c r="I10" s="19">
        <v>8</v>
      </c>
      <c r="J10" s="8"/>
      <c r="K10" s="7"/>
      <c r="L10" s="7">
        <v>8</v>
      </c>
      <c r="M10" s="8"/>
      <c r="N10" s="7"/>
      <c r="O10" s="7">
        <f t="shared" si="1"/>
        <v>8</v>
      </c>
      <c r="P10" s="8"/>
      <c r="Q10" s="7"/>
      <c r="R10" s="7">
        <f t="shared" si="2"/>
        <v>8</v>
      </c>
      <c r="S10" s="8"/>
      <c r="T10" s="7"/>
      <c r="U10" s="7">
        <f t="shared" si="3"/>
        <v>8</v>
      </c>
      <c r="V10" s="8"/>
      <c r="W10" s="7">
        <v>3</v>
      </c>
      <c r="X10" s="7">
        <f t="shared" si="4"/>
        <v>5</v>
      </c>
      <c r="Y10" s="8"/>
      <c r="Z10" s="7">
        <v>5</v>
      </c>
      <c r="AA10" s="7">
        <f t="shared" si="5"/>
        <v>0</v>
      </c>
      <c r="AB10" s="8"/>
      <c r="AC10" s="7"/>
      <c r="AD10" s="7"/>
      <c r="AE10" s="8"/>
      <c r="AF10" s="7"/>
      <c r="AG10" s="7"/>
      <c r="AH10" s="8"/>
      <c r="AI10" s="7"/>
      <c r="AJ10" s="7"/>
      <c r="AK10" s="8"/>
      <c r="AL10" s="7"/>
      <c r="AM10" s="7"/>
      <c r="AN10" s="8"/>
      <c r="AO10" s="7"/>
      <c r="AP10" s="7"/>
      <c r="AQ10" s="8"/>
      <c r="AR10" s="7"/>
      <c r="AS10" s="7"/>
      <c r="AT10" s="8"/>
      <c r="AU10" s="7"/>
      <c r="AV10" s="7"/>
      <c r="AW10" s="8"/>
      <c r="AX10" s="7"/>
      <c r="AY10" s="7"/>
      <c r="AZ10" s="8"/>
      <c r="BA10" s="7"/>
      <c r="BB10" s="7"/>
      <c r="BC10" s="8"/>
      <c r="BP10" s="9">
        <f t="shared" si="6"/>
        <v>8</v>
      </c>
      <c r="BQ10" s="9">
        <f t="shared" si="7"/>
        <v>0</v>
      </c>
    </row>
    <row r="11" spans="1:69" ht="28.15" customHeight="1" x14ac:dyDescent="0.25">
      <c r="A11" s="1"/>
      <c r="B11" s="27" t="s">
        <v>19</v>
      </c>
      <c r="C11" s="28"/>
      <c r="D11" s="28"/>
      <c r="E11" s="28"/>
      <c r="F11" s="29"/>
      <c r="G11" s="10">
        <f>SUM(G6:G10)</f>
        <v>43</v>
      </c>
      <c r="H11" s="11">
        <f>SUM(H6:H10)</f>
        <v>7</v>
      </c>
      <c r="I11" s="11">
        <f>SUM(I6:I10)</f>
        <v>36</v>
      </c>
      <c r="J11" s="8"/>
      <c r="K11" s="11">
        <f>SUM(K6:K10)</f>
        <v>6</v>
      </c>
      <c r="L11" s="11">
        <f>SUM(L6:L10)</f>
        <v>30</v>
      </c>
      <c r="M11" s="8"/>
      <c r="N11" s="11">
        <f>SUM(N6:N10)</f>
        <v>7</v>
      </c>
      <c r="O11" s="11">
        <f>SUM(O6:O10)</f>
        <v>23</v>
      </c>
      <c r="P11" s="8"/>
      <c r="Q11" s="11">
        <f>SUM(Q6:Q10)</f>
        <v>5</v>
      </c>
      <c r="R11" s="11">
        <f>SUM(R6:R10)</f>
        <v>18</v>
      </c>
      <c r="S11" s="8"/>
      <c r="T11" s="11">
        <f>SUM(T6:T10)</f>
        <v>7</v>
      </c>
      <c r="U11" s="11">
        <f>SUM(U6:U10)</f>
        <v>11</v>
      </c>
      <c r="V11" s="8"/>
      <c r="W11" s="11">
        <f>SUM(W6:W10)</f>
        <v>6</v>
      </c>
      <c r="X11" s="11">
        <f>SUM(X6:X10)</f>
        <v>5</v>
      </c>
      <c r="Y11" s="8"/>
      <c r="Z11" s="11">
        <f>SUM(Z6:Z10)</f>
        <v>5</v>
      </c>
      <c r="AA11" s="11">
        <f>SUM(AA6:AA10)</f>
        <v>0</v>
      </c>
      <c r="AB11" s="8"/>
      <c r="AC11" s="11"/>
      <c r="AD11" s="11"/>
      <c r="AE11" s="8"/>
      <c r="AF11" s="11"/>
      <c r="AG11" s="11"/>
      <c r="AH11" s="8"/>
      <c r="AI11" s="11"/>
      <c r="AJ11" s="11"/>
      <c r="AK11" s="8"/>
      <c r="AL11" s="11"/>
      <c r="AM11" s="11"/>
      <c r="AN11" s="8"/>
      <c r="AO11" s="11"/>
      <c r="AP11" s="11"/>
      <c r="AQ11" s="8"/>
      <c r="AR11" s="11"/>
      <c r="AS11" s="11"/>
      <c r="AT11" s="8"/>
      <c r="AU11" s="11"/>
      <c r="AV11" s="11"/>
      <c r="AW11" s="8"/>
      <c r="AX11" s="11"/>
      <c r="AY11" s="11"/>
      <c r="AZ11" s="8"/>
      <c r="BA11" s="11"/>
      <c r="BB11" s="11"/>
      <c r="BC11" s="8"/>
      <c r="BD11" s="11">
        <f>SUM(BD6:BD10)</f>
        <v>0</v>
      </c>
      <c r="BE11" s="11">
        <f>SUM(BE6:BE10)</f>
        <v>0</v>
      </c>
      <c r="BF11" s="8"/>
      <c r="BG11" s="11">
        <f>SUM(BG6:BG10)</f>
        <v>0</v>
      </c>
      <c r="BH11" s="11">
        <f>SUM(BH6:BH10)</f>
        <v>0</v>
      </c>
      <c r="BI11" s="8"/>
      <c r="BJ11" s="11">
        <f>SUM(BJ6:BJ10)</f>
        <v>0</v>
      </c>
      <c r="BK11" s="11">
        <f>SUM(BK6:BK10)</f>
        <v>0</v>
      </c>
      <c r="BL11" s="8"/>
      <c r="BM11" s="11">
        <f>SUM(BM6:BM10)</f>
        <v>0</v>
      </c>
      <c r="BN11" s="11">
        <f>SUM(BN6:BN10)</f>
        <v>0</v>
      </c>
      <c r="BO11" s="8"/>
      <c r="BP11" s="11">
        <f>SUM(BP6:BP10)</f>
        <v>43</v>
      </c>
      <c r="BQ11" s="11">
        <f>SUM(BQ6:BQ10)</f>
        <v>0</v>
      </c>
    </row>
    <row r="12" spans="1:69" ht="58.15" customHeight="1" x14ac:dyDescent="0.25">
      <c r="A12" s="1"/>
    </row>
    <row r="13" spans="1:69" ht="58.15" customHeight="1" x14ac:dyDescent="0.25">
      <c r="A13" s="1"/>
    </row>
    <row r="14" spans="1:69" ht="58.15" customHeight="1" x14ac:dyDescent="0.2"/>
    <row r="15" spans="1:69" ht="58.15" customHeight="1" x14ac:dyDescent="0.25">
      <c r="A15" s="1"/>
    </row>
    <row r="16" spans="1:69" ht="58.15" customHeight="1" x14ac:dyDescent="0.25">
      <c r="A16" s="1"/>
    </row>
    <row r="17" spans="1:1" ht="58.15" customHeight="1" x14ac:dyDescent="0.25">
      <c r="A17" s="1"/>
    </row>
    <row r="18" spans="1:1" ht="58.15" customHeight="1" x14ac:dyDescent="0.25">
      <c r="A18" s="1"/>
    </row>
    <row r="19" spans="1:1" ht="58.15" customHeight="1" x14ac:dyDescent="0.25">
      <c r="A19" s="1"/>
    </row>
    <row r="20" spans="1:1" ht="58.15" customHeight="1" x14ac:dyDescent="0.25">
      <c r="A20" s="1"/>
    </row>
    <row r="21" spans="1:1" ht="58.15" customHeight="1" x14ac:dyDescent="0.25">
      <c r="A21" s="1"/>
    </row>
    <row r="22" spans="1:1" ht="58.15" customHeight="1" x14ac:dyDescent="0.25">
      <c r="A22" s="1"/>
    </row>
    <row r="23" spans="1:1" ht="58.15" customHeight="1" x14ac:dyDescent="0.25">
      <c r="A23" s="1"/>
    </row>
    <row r="24" spans="1:1" ht="58.15" customHeight="1" x14ac:dyDescent="0.2"/>
    <row r="25" spans="1:1" ht="58.15" customHeight="1" x14ac:dyDescent="0.25">
      <c r="A25" s="1"/>
    </row>
    <row r="26" spans="1:1" ht="58.15" customHeight="1" x14ac:dyDescent="0.25">
      <c r="A26" s="1"/>
    </row>
    <row r="27" spans="1:1" ht="58.15" customHeight="1" x14ac:dyDescent="0.25">
      <c r="A27" s="1"/>
    </row>
    <row r="28" spans="1:1" ht="42.75" customHeight="1" x14ac:dyDescent="0.25">
      <c r="A28" s="1"/>
    </row>
    <row r="29" spans="1:1" ht="43.5" customHeight="1" x14ac:dyDescent="0.25">
      <c r="A29" s="1"/>
    </row>
    <row r="30" spans="1:1" ht="43.5" customHeight="1" x14ac:dyDescent="0.25">
      <c r="A30" s="1"/>
    </row>
    <row r="31" spans="1:1" ht="101.25" customHeight="1" x14ac:dyDescent="0.25">
      <c r="A31" s="1"/>
    </row>
    <row r="32" spans="1:1" ht="115.5" customHeight="1" x14ac:dyDescent="0.25">
      <c r="A32" s="1"/>
    </row>
    <row r="33" spans="1:1" ht="27.75" customHeight="1" x14ac:dyDescent="0.25">
      <c r="A33" s="1"/>
    </row>
    <row r="34" spans="1:1" ht="15" customHeight="1" x14ac:dyDescent="0.2"/>
    <row r="35" spans="1:1" ht="15" customHeight="1" x14ac:dyDescent="0.2"/>
    <row r="37" spans="1:1" ht="31.5" customHeight="1" x14ac:dyDescent="0.2"/>
    <row r="38" spans="1:1" ht="42.75" customHeight="1" x14ac:dyDescent="0.2"/>
    <row r="39" spans="1:1" ht="43.5" customHeight="1" x14ac:dyDescent="0.2"/>
    <row r="40" spans="1:1" ht="115.5" customHeight="1" x14ac:dyDescent="0.2"/>
    <row r="41" spans="1:1" ht="87" customHeight="1" x14ac:dyDescent="0.2"/>
    <row r="42" spans="1:1" ht="101.25" customHeight="1" x14ac:dyDescent="0.2"/>
    <row r="43" spans="1:1" ht="27.75" customHeight="1" x14ac:dyDescent="0.2"/>
    <row r="44" spans="1:1" ht="15" customHeight="1" x14ac:dyDescent="0.2"/>
    <row r="45" spans="1:1" ht="15" customHeight="1" x14ac:dyDescent="0.2"/>
    <row r="47" spans="1:1" ht="31.5" customHeight="1" x14ac:dyDescent="0.2"/>
    <row r="48" spans="1:1" ht="42.75" customHeight="1" x14ac:dyDescent="0.2"/>
    <row r="49" ht="43.5" customHeight="1" x14ac:dyDescent="0.2"/>
    <row r="50" ht="87" customHeight="1" x14ac:dyDescent="0.2"/>
    <row r="51" ht="101.25" customHeight="1" x14ac:dyDescent="0.2"/>
    <row r="52" ht="115.5" customHeight="1" x14ac:dyDescent="0.2"/>
    <row r="53" ht="27.75" customHeight="1" x14ac:dyDescent="0.2"/>
    <row r="54" ht="15" customHeight="1" x14ac:dyDescent="0.2"/>
    <row r="55" ht="15" customHeight="1" x14ac:dyDescent="0.2"/>
    <row r="57" ht="27.75" customHeight="1" x14ac:dyDescent="0.2"/>
  </sheetData>
  <mergeCells count="23">
    <mergeCell ref="BM4:BN4"/>
    <mergeCell ref="BP4:BQ4"/>
    <mergeCell ref="AO4:AP4"/>
    <mergeCell ref="AR4:AS4"/>
    <mergeCell ref="AU4:AV4"/>
    <mergeCell ref="AX4:AY4"/>
    <mergeCell ref="BA4:BB4"/>
    <mergeCell ref="BD4:BE4"/>
    <mergeCell ref="AL4:AM4"/>
    <mergeCell ref="AI4:AJ4"/>
    <mergeCell ref="B11:F11"/>
    <mergeCell ref="BG4:BH4"/>
    <mergeCell ref="BJ4:BK4"/>
    <mergeCell ref="AF4:AG4"/>
    <mergeCell ref="AC4:AD4"/>
    <mergeCell ref="W4:X4"/>
    <mergeCell ref="Z4:AA4"/>
    <mergeCell ref="B4:G4"/>
    <mergeCell ref="H4:I4"/>
    <mergeCell ref="K4:L4"/>
    <mergeCell ref="N4:O4"/>
    <mergeCell ref="Q4:R4"/>
    <mergeCell ref="T4:U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D681-6A78-4573-AF2C-A9A305F2D232}">
  <dimension ref="A1:BQ56"/>
  <sheetViews>
    <sheetView zoomScaleNormal="100" workbookViewId="0">
      <pane xSplit="4" topLeftCell="E1" activePane="topRight" state="frozen"/>
      <selection pane="topRight" activeCell="B11" sqref="B6:B11"/>
    </sheetView>
  </sheetViews>
  <sheetFormatPr baseColWidth="10" defaultColWidth="8.625" defaultRowHeight="14.25" x14ac:dyDescent="0.2"/>
  <cols>
    <col min="1" max="1" width="1.25" customWidth="1"/>
    <col min="2" max="2" width="14.375" customWidth="1"/>
    <col min="3" max="3" width="17.125" customWidth="1"/>
    <col min="4" max="4" width="18.25" customWidth="1"/>
    <col min="5" max="5" width="9.125" customWidth="1"/>
    <col min="6" max="6" width="10.375" customWidth="1"/>
    <col min="7" max="7" width="13.5" customWidth="1"/>
    <col min="8" max="8" width="5.125" customWidth="1"/>
    <col min="9" max="9" width="4.75" customWidth="1"/>
    <col min="10" max="10" width="2.375" customWidth="1"/>
    <col min="11" max="11" width="5.125" customWidth="1"/>
    <col min="12" max="12" width="4.75" customWidth="1"/>
    <col min="13" max="13" width="2.375" customWidth="1"/>
    <col min="14" max="14" width="5.125" customWidth="1"/>
    <col min="15" max="15" width="4.75" customWidth="1"/>
    <col min="16" max="16" width="2.375" customWidth="1"/>
    <col min="17" max="17" width="5.125" customWidth="1"/>
    <col min="18" max="18" width="4.75" customWidth="1"/>
    <col min="19" max="19" width="2.375" customWidth="1"/>
    <col min="20" max="20" width="5.125" customWidth="1"/>
    <col min="21" max="21" width="4.75" customWidth="1"/>
    <col min="22" max="22" width="2.375" customWidth="1"/>
    <col min="23" max="23" width="5.125" customWidth="1"/>
    <col min="24" max="24" width="4.75" customWidth="1"/>
    <col min="25" max="25" width="2.375" customWidth="1"/>
    <col min="26" max="26" width="5.125" customWidth="1"/>
    <col min="27" max="27" width="4.75" customWidth="1"/>
    <col min="28" max="28" width="2.375" customWidth="1"/>
    <col min="29" max="29" width="5.125" customWidth="1"/>
    <col min="30" max="30" width="4.75" customWidth="1"/>
    <col min="31" max="31" width="2.375" customWidth="1"/>
    <col min="32" max="32" width="5.125" customWidth="1"/>
    <col min="33" max="33" width="4.75" customWidth="1"/>
    <col min="34" max="34" width="2.375" customWidth="1"/>
    <col min="35" max="35" width="5.125" customWidth="1"/>
    <col min="36" max="36" width="4.75" customWidth="1"/>
    <col min="37" max="37" width="2.375" customWidth="1"/>
    <col min="38" max="38" width="5.125" customWidth="1"/>
    <col min="39" max="39" width="4.75" customWidth="1"/>
    <col min="40" max="40" width="2.375" customWidth="1"/>
    <col min="41" max="41" width="5.125" customWidth="1"/>
    <col min="42" max="42" width="4.75" customWidth="1"/>
    <col min="43" max="43" width="2.375" customWidth="1"/>
    <col min="44" max="44" width="5.125" customWidth="1"/>
    <col min="45" max="45" width="4.75" customWidth="1"/>
    <col min="46" max="46" width="2.375" customWidth="1"/>
    <col min="47" max="47" width="5.125" customWidth="1"/>
    <col min="48" max="48" width="4.75" customWidth="1"/>
    <col min="49" max="49" width="2.375" customWidth="1"/>
    <col min="50" max="50" width="5.125" customWidth="1"/>
    <col min="51" max="51" width="4.75" customWidth="1"/>
    <col min="52" max="52" width="2.375" customWidth="1"/>
    <col min="53" max="53" width="5.125" customWidth="1"/>
    <col min="54" max="54" width="4.75" customWidth="1"/>
    <col min="55" max="55" width="2.375" customWidth="1"/>
    <col min="56" max="56" width="5.125" hidden="1" customWidth="1"/>
    <col min="57" max="57" width="4.75" hidden="1" customWidth="1"/>
    <col min="58" max="58" width="2.375" hidden="1" customWidth="1"/>
    <col min="59" max="59" width="5.125" hidden="1" customWidth="1"/>
    <col min="60" max="60" width="4.75" hidden="1" customWidth="1"/>
    <col min="61" max="61" width="2.375" hidden="1" customWidth="1"/>
    <col min="62" max="62" width="5.125" hidden="1" customWidth="1"/>
    <col min="63" max="63" width="4.75" hidden="1" customWidth="1"/>
    <col min="64" max="64" width="2.375" hidden="1" customWidth="1"/>
    <col min="65" max="65" width="5.125" hidden="1" customWidth="1"/>
    <col min="66" max="66" width="4.75" hidden="1" customWidth="1"/>
    <col min="67" max="67" width="2.375" hidden="1" customWidth="1"/>
    <col min="68" max="68" width="5.125" customWidth="1"/>
    <col min="69" max="69" width="4.75" customWidth="1"/>
  </cols>
  <sheetData>
    <row r="1" spans="1:69" ht="28.5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customHeight="1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35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1.5" customHeight="1" x14ac:dyDescent="0.25">
      <c r="A4" s="1"/>
      <c r="B4" s="31" t="s">
        <v>60</v>
      </c>
      <c r="C4" s="32"/>
      <c r="D4" s="32"/>
      <c r="E4" s="32"/>
      <c r="F4" s="32"/>
      <c r="G4" s="32"/>
      <c r="H4" s="26" t="s">
        <v>3</v>
      </c>
      <c r="I4" s="26"/>
      <c r="J4" s="4"/>
      <c r="K4" s="26" t="s">
        <v>4</v>
      </c>
      <c r="L4" s="26"/>
      <c r="M4" s="4"/>
      <c r="N4" s="26" t="s">
        <v>5</v>
      </c>
      <c r="O4" s="26"/>
      <c r="P4" s="4"/>
      <c r="Q4" s="26" t="s">
        <v>6</v>
      </c>
      <c r="R4" s="26"/>
      <c r="S4" s="4"/>
      <c r="T4" s="26" t="s">
        <v>7</v>
      </c>
      <c r="U4" s="26"/>
      <c r="V4" s="4"/>
      <c r="W4" s="26" t="s">
        <v>8</v>
      </c>
      <c r="X4" s="26"/>
      <c r="Y4" s="4"/>
      <c r="Z4" s="26" t="s">
        <v>9</v>
      </c>
      <c r="AA4" s="26"/>
      <c r="AB4" s="4"/>
      <c r="AC4" s="30" t="s">
        <v>20</v>
      </c>
      <c r="AD4" s="26"/>
      <c r="AE4" s="4"/>
      <c r="AF4" s="30" t="s">
        <v>21</v>
      </c>
      <c r="AG4" s="26"/>
      <c r="AH4" s="4"/>
      <c r="AI4" s="30" t="s">
        <v>22</v>
      </c>
      <c r="AJ4" s="26"/>
      <c r="AK4" s="4"/>
      <c r="AL4" s="30" t="s">
        <v>23</v>
      </c>
      <c r="AM4" s="26"/>
      <c r="AN4" s="4"/>
      <c r="AO4" s="30" t="s">
        <v>24</v>
      </c>
      <c r="AP4" s="26"/>
      <c r="AQ4" s="4"/>
      <c r="AR4" s="30" t="s">
        <v>25</v>
      </c>
      <c r="AS4" s="26"/>
      <c r="AT4" s="4"/>
      <c r="AU4" s="33"/>
      <c r="AV4" s="34"/>
      <c r="AW4" s="4"/>
      <c r="AX4" s="33"/>
      <c r="AY4" s="34"/>
      <c r="AZ4" s="4"/>
      <c r="BA4" s="33"/>
      <c r="BB4" s="34"/>
      <c r="BC4" s="4"/>
      <c r="BD4" s="26"/>
      <c r="BE4" s="26"/>
      <c r="BF4" s="4"/>
      <c r="BG4" s="26"/>
      <c r="BH4" s="26"/>
      <c r="BI4" s="4"/>
      <c r="BJ4" s="26"/>
      <c r="BK4" s="26"/>
      <c r="BL4" s="4"/>
      <c r="BM4" s="26"/>
      <c r="BN4" s="26"/>
      <c r="BO4" s="4"/>
      <c r="BP4" s="26" t="s">
        <v>10</v>
      </c>
      <c r="BQ4" s="26"/>
    </row>
    <row r="5" spans="1:69" ht="42.75" customHeight="1" x14ac:dyDescent="0.25">
      <c r="A5" s="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5" t="s">
        <v>17</v>
      </c>
      <c r="I5" s="5" t="s">
        <v>18</v>
      </c>
      <c r="J5" s="5"/>
      <c r="K5" s="5" t="s">
        <v>17</v>
      </c>
      <c r="L5" s="5" t="s">
        <v>18</v>
      </c>
      <c r="M5" s="5"/>
      <c r="N5" s="5" t="s">
        <v>17</v>
      </c>
      <c r="O5" s="5" t="s">
        <v>18</v>
      </c>
      <c r="P5" s="5"/>
      <c r="Q5" s="5" t="s">
        <v>17</v>
      </c>
      <c r="R5" s="5" t="s">
        <v>18</v>
      </c>
      <c r="S5" s="5"/>
      <c r="T5" s="5" t="s">
        <v>17</v>
      </c>
      <c r="U5" s="5" t="s">
        <v>18</v>
      </c>
      <c r="V5" s="5"/>
      <c r="W5" s="5" t="s">
        <v>17</v>
      </c>
      <c r="X5" s="5" t="s">
        <v>18</v>
      </c>
      <c r="Y5" s="5"/>
      <c r="Z5" s="5" t="s">
        <v>17</v>
      </c>
      <c r="AA5" s="5" t="s">
        <v>18</v>
      </c>
      <c r="AB5" s="5"/>
      <c r="AC5" s="5" t="s">
        <v>17</v>
      </c>
      <c r="AD5" s="5" t="s">
        <v>18</v>
      </c>
      <c r="AE5" s="5"/>
      <c r="AF5" s="5" t="s">
        <v>17</v>
      </c>
      <c r="AG5" s="5" t="s">
        <v>18</v>
      </c>
      <c r="AH5" s="5"/>
      <c r="AI5" s="5" t="s">
        <v>17</v>
      </c>
      <c r="AJ5" s="5" t="s">
        <v>18</v>
      </c>
      <c r="AK5" s="5"/>
      <c r="AL5" s="5" t="s">
        <v>17</v>
      </c>
      <c r="AM5" s="5" t="s">
        <v>18</v>
      </c>
      <c r="AN5" s="5"/>
      <c r="AO5" s="5" t="s">
        <v>17</v>
      </c>
      <c r="AP5" s="5" t="s">
        <v>18</v>
      </c>
      <c r="AQ5" s="5"/>
      <c r="AR5" s="5" t="s">
        <v>17</v>
      </c>
      <c r="AS5" s="5" t="s">
        <v>18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 t="s">
        <v>17</v>
      </c>
      <c r="BE5" s="5" t="s">
        <v>18</v>
      </c>
      <c r="BF5" s="5"/>
      <c r="BG5" s="5" t="s">
        <v>17</v>
      </c>
      <c r="BH5" s="5" t="s">
        <v>18</v>
      </c>
      <c r="BI5" s="5"/>
      <c r="BJ5" s="5" t="s">
        <v>17</v>
      </c>
      <c r="BK5" s="5" t="s">
        <v>18</v>
      </c>
      <c r="BL5" s="5"/>
      <c r="BM5" s="5" t="s">
        <v>17</v>
      </c>
      <c r="BN5" s="5" t="s">
        <v>18</v>
      </c>
      <c r="BO5" s="5"/>
      <c r="BP5" s="5" t="s">
        <v>17</v>
      </c>
      <c r="BQ5" s="5" t="s">
        <v>18</v>
      </c>
    </row>
    <row r="6" spans="1:69" ht="58.15" customHeight="1" x14ac:dyDescent="0.25">
      <c r="A6" s="1"/>
      <c r="B6" s="35" t="s">
        <v>32</v>
      </c>
      <c r="C6" s="6" t="s">
        <v>56</v>
      </c>
      <c r="D6" s="13" t="s">
        <v>34</v>
      </c>
      <c r="E6" s="23" t="s">
        <v>68</v>
      </c>
      <c r="F6" s="16" t="str">
        <f>IF(BQ6&lt;=0,"Finalizado",IF(BP6&gt;0,"En proceso","Por iniciar"))</f>
        <v>Finalizado</v>
      </c>
      <c r="G6" s="17">
        <v>16</v>
      </c>
      <c r="H6" s="14">
        <v>7</v>
      </c>
      <c r="I6" s="19">
        <v>9</v>
      </c>
      <c r="J6" s="8"/>
      <c r="K6" s="7">
        <v>6</v>
      </c>
      <c r="L6" s="7">
        <v>3</v>
      </c>
      <c r="M6" s="8"/>
      <c r="N6" s="18">
        <v>3</v>
      </c>
      <c r="O6" s="7">
        <f>L6-N6</f>
        <v>0</v>
      </c>
      <c r="P6" s="8"/>
      <c r="Q6" s="7"/>
      <c r="R6" s="7">
        <f>O6-Q6</f>
        <v>0</v>
      </c>
      <c r="S6" s="8"/>
      <c r="T6" s="7"/>
      <c r="U6" s="7">
        <f>R6-T6</f>
        <v>0</v>
      </c>
      <c r="V6" s="8"/>
      <c r="W6" s="7"/>
      <c r="X6" s="7">
        <f>U6-W6</f>
        <v>0</v>
      </c>
      <c r="Y6" s="8"/>
      <c r="Z6" s="7"/>
      <c r="AA6" s="7">
        <f>X6-Z6</f>
        <v>0</v>
      </c>
      <c r="AB6" s="8"/>
      <c r="AC6" s="7"/>
      <c r="AD6" s="7">
        <f t="shared" ref="AD6:AD11" si="0">AA6-AC6</f>
        <v>0</v>
      </c>
      <c r="AE6" s="8"/>
      <c r="AF6" s="7"/>
      <c r="AG6" s="7">
        <f t="shared" ref="AG6:AG11" si="1">AD6-AF6</f>
        <v>0</v>
      </c>
      <c r="AH6" s="8"/>
      <c r="AI6" s="7"/>
      <c r="AJ6" s="7">
        <f t="shared" ref="AJ6:AJ11" si="2">AG6-AI6</f>
        <v>0</v>
      </c>
      <c r="AK6" s="8"/>
      <c r="AL6" s="7"/>
      <c r="AM6" s="7">
        <f t="shared" ref="AM6:AM11" si="3">AJ6-AL6</f>
        <v>0</v>
      </c>
      <c r="AN6" s="8"/>
      <c r="AO6" s="7"/>
      <c r="AP6" s="7">
        <f t="shared" ref="AP6:AP11" si="4">AM6-AO6</f>
        <v>0</v>
      </c>
      <c r="AQ6" s="8"/>
      <c r="AR6" s="7"/>
      <c r="AS6" s="7">
        <f t="shared" ref="AS6:AS11" si="5">AP6-AR6</f>
        <v>0</v>
      </c>
      <c r="AT6" s="8"/>
      <c r="AU6" s="7"/>
      <c r="AV6" s="7">
        <f t="shared" ref="AV6:AV11" si="6">AS6-AU6</f>
        <v>0</v>
      </c>
      <c r="AW6" s="8"/>
      <c r="AX6" s="7"/>
      <c r="AY6" s="7">
        <f t="shared" ref="AY6:AY11" si="7">AV6-AX6</f>
        <v>0</v>
      </c>
      <c r="AZ6" s="8"/>
      <c r="BA6" s="7"/>
      <c r="BB6" s="7">
        <f t="shared" ref="BB6:BB11" si="8">AY6-BA6</f>
        <v>0</v>
      </c>
      <c r="BC6" s="8"/>
      <c r="BD6" s="7"/>
      <c r="BE6" s="7">
        <f>BB6-BD6</f>
        <v>0</v>
      </c>
      <c r="BF6" s="8"/>
      <c r="BG6" s="7"/>
      <c r="BH6" s="7">
        <f>BE6-BG6</f>
        <v>0</v>
      </c>
      <c r="BI6" s="8"/>
      <c r="BJ6" s="7"/>
      <c r="BK6" s="7">
        <f>BH6-BJ6</f>
        <v>0</v>
      </c>
      <c r="BL6" s="8"/>
      <c r="BM6" s="7"/>
      <c r="BN6" s="7">
        <f>BK6-BM6</f>
        <v>0</v>
      </c>
      <c r="BO6" s="8"/>
      <c r="BP6" s="9">
        <f>H6+K6+N6+Q6+T6+W6+Z6+AC6+AF6+AI6+AL6+AO6+AR6+AU6+AX6+BA6+BD6+BG6+BJ6+BM6</f>
        <v>16</v>
      </c>
      <c r="BQ6" s="9">
        <f>G6-BP6</f>
        <v>0</v>
      </c>
    </row>
    <row r="7" spans="1:69" ht="58.15" customHeight="1" x14ac:dyDescent="0.25">
      <c r="A7" s="1"/>
      <c r="B7" s="35" t="s">
        <v>32</v>
      </c>
      <c r="C7" s="6" t="s">
        <v>37</v>
      </c>
      <c r="D7" s="13" t="s">
        <v>35</v>
      </c>
      <c r="E7" s="23" t="s">
        <v>65</v>
      </c>
      <c r="F7" s="16" t="str">
        <f>IF(BQ7&lt;=0,"Finalizado",IF(BP7&gt;0,"En proceso","Por iniciar"))</f>
        <v>Finalizado</v>
      </c>
      <c r="G7" s="17">
        <v>14</v>
      </c>
      <c r="H7" s="14"/>
      <c r="I7" s="19">
        <v>14</v>
      </c>
      <c r="J7" s="8"/>
      <c r="K7" s="7"/>
      <c r="L7" s="7">
        <v>14</v>
      </c>
      <c r="M7" s="8"/>
      <c r="N7" s="18">
        <v>4</v>
      </c>
      <c r="O7" s="7">
        <f>L7-N7</f>
        <v>10</v>
      </c>
      <c r="P7" s="8"/>
      <c r="Q7" s="7">
        <v>7</v>
      </c>
      <c r="R7" s="7">
        <f>O7-Q7</f>
        <v>3</v>
      </c>
      <c r="S7" s="8"/>
      <c r="T7" s="7">
        <v>3</v>
      </c>
      <c r="U7" s="7">
        <f>R7-T7</f>
        <v>0</v>
      </c>
      <c r="V7" s="8"/>
      <c r="W7" s="7"/>
      <c r="X7" s="7">
        <f>U7-W7</f>
        <v>0</v>
      </c>
      <c r="Y7" s="8"/>
      <c r="Z7" s="7"/>
      <c r="AA7" s="7">
        <f>X7-Z7</f>
        <v>0</v>
      </c>
      <c r="AB7" s="8"/>
      <c r="AC7" s="7"/>
      <c r="AD7" s="7">
        <f t="shared" si="0"/>
        <v>0</v>
      </c>
      <c r="AE7" s="8"/>
      <c r="AF7" s="7"/>
      <c r="AG7" s="7">
        <f t="shared" si="1"/>
        <v>0</v>
      </c>
      <c r="AH7" s="8"/>
      <c r="AI7" s="7"/>
      <c r="AJ7" s="7">
        <f t="shared" si="2"/>
        <v>0</v>
      </c>
      <c r="AK7" s="8"/>
      <c r="AL7" s="7"/>
      <c r="AM7" s="7">
        <f t="shared" si="3"/>
        <v>0</v>
      </c>
      <c r="AN7" s="8"/>
      <c r="AO7" s="7"/>
      <c r="AP7" s="7">
        <f t="shared" si="4"/>
        <v>0</v>
      </c>
      <c r="AQ7" s="8"/>
      <c r="AR7" s="7"/>
      <c r="AS7" s="7">
        <f t="shared" si="5"/>
        <v>0</v>
      </c>
      <c r="AT7" s="8"/>
      <c r="AU7" s="7"/>
      <c r="AV7" s="7">
        <f t="shared" si="6"/>
        <v>0</v>
      </c>
      <c r="AW7" s="8"/>
      <c r="AX7" s="7"/>
      <c r="AY7" s="7">
        <f t="shared" si="7"/>
        <v>0</v>
      </c>
      <c r="AZ7" s="8"/>
      <c r="BA7" s="7"/>
      <c r="BB7" s="7">
        <f t="shared" si="8"/>
        <v>0</v>
      </c>
      <c r="BC7" s="8"/>
      <c r="BD7" s="7"/>
      <c r="BE7" s="7">
        <f>BB7-BD7</f>
        <v>0</v>
      </c>
      <c r="BF7" s="8"/>
      <c r="BG7" s="7"/>
      <c r="BH7" s="7">
        <f>BE7-BG7</f>
        <v>0</v>
      </c>
      <c r="BI7" s="8"/>
      <c r="BJ7" s="7"/>
      <c r="BK7" s="7">
        <f>BH7-BJ7</f>
        <v>0</v>
      </c>
      <c r="BL7" s="8"/>
      <c r="BM7" s="7"/>
      <c r="BN7" s="7">
        <f>BK7-BM7</f>
        <v>0</v>
      </c>
      <c r="BO7" s="8"/>
      <c r="BP7" s="9">
        <f>H7+K7+N7+Q7+T7+W7+Z7+AC7+AF7+AI7+AL7+AO7+AR7+AU7+AX7+BA7+BD7+BG7+BJ7+BM7</f>
        <v>14</v>
      </c>
      <c r="BQ7" s="9">
        <f>G7-BP7</f>
        <v>0</v>
      </c>
    </row>
    <row r="8" spans="1:69" ht="58.15" customHeight="1" x14ac:dyDescent="0.25">
      <c r="A8" s="1"/>
      <c r="B8" s="35" t="s">
        <v>26</v>
      </c>
      <c r="C8" s="20" t="s">
        <v>38</v>
      </c>
      <c r="D8" s="13" t="s">
        <v>36</v>
      </c>
      <c r="E8" s="23" t="s">
        <v>66</v>
      </c>
      <c r="F8" s="16" t="str">
        <f>IF(BQ8&lt;=0,"Finalizado",IF(BP8&gt;0,"En proceso","Por iniciar"))</f>
        <v>En proceso</v>
      </c>
      <c r="G8" s="17">
        <v>23</v>
      </c>
      <c r="H8" s="14"/>
      <c r="I8" s="19">
        <v>23</v>
      </c>
      <c r="J8" s="8"/>
      <c r="K8" s="7"/>
      <c r="L8" s="7">
        <v>23</v>
      </c>
      <c r="M8" s="8"/>
      <c r="N8" s="7"/>
      <c r="O8" s="7">
        <f>L8-N8</f>
        <v>23</v>
      </c>
      <c r="P8" s="8"/>
      <c r="Q8" s="7"/>
      <c r="R8" s="7">
        <f>O8-Q8</f>
        <v>23</v>
      </c>
      <c r="S8" s="8"/>
      <c r="T8" s="7">
        <v>7</v>
      </c>
      <c r="U8" s="7">
        <f>R8-T8</f>
        <v>16</v>
      </c>
      <c r="V8" s="8"/>
      <c r="W8" s="7">
        <v>6</v>
      </c>
      <c r="X8" s="7">
        <f>U8-W8</f>
        <v>10</v>
      </c>
      <c r="Y8" s="8"/>
      <c r="Z8" s="7">
        <v>7</v>
      </c>
      <c r="AA8" s="7">
        <f>X8-Z8</f>
        <v>3</v>
      </c>
      <c r="AB8" s="8"/>
      <c r="AC8" s="7">
        <v>2</v>
      </c>
      <c r="AD8" s="7">
        <f t="shared" si="0"/>
        <v>1</v>
      </c>
      <c r="AE8" s="8"/>
      <c r="AF8" s="7"/>
      <c r="AG8" s="7">
        <f t="shared" si="1"/>
        <v>1</v>
      </c>
      <c r="AH8" s="8"/>
      <c r="AI8" s="7"/>
      <c r="AJ8" s="7">
        <f t="shared" si="2"/>
        <v>1</v>
      </c>
      <c r="AK8" s="8"/>
      <c r="AL8" s="7"/>
      <c r="AM8" s="7">
        <f t="shared" si="3"/>
        <v>1</v>
      </c>
      <c r="AN8" s="8"/>
      <c r="AO8" s="7"/>
      <c r="AP8" s="7">
        <f t="shared" si="4"/>
        <v>1</v>
      </c>
      <c r="AQ8" s="8"/>
      <c r="AR8" s="7"/>
      <c r="AS8" s="7">
        <f t="shared" si="5"/>
        <v>1</v>
      </c>
      <c r="AT8" s="8"/>
      <c r="AU8" s="7"/>
      <c r="AV8" s="7">
        <f t="shared" si="6"/>
        <v>1</v>
      </c>
      <c r="AW8" s="8"/>
      <c r="AX8" s="7"/>
      <c r="AY8" s="7">
        <f t="shared" si="7"/>
        <v>1</v>
      </c>
      <c r="AZ8" s="8"/>
      <c r="BA8" s="7"/>
      <c r="BB8" s="7">
        <f t="shared" si="8"/>
        <v>1</v>
      </c>
      <c r="BC8" s="8"/>
      <c r="BD8" s="7"/>
      <c r="BE8" s="7">
        <f>BB8-BD8</f>
        <v>1</v>
      </c>
      <c r="BF8" s="8"/>
      <c r="BG8" s="7"/>
      <c r="BH8" s="7">
        <f>BE8-BG8</f>
        <v>1</v>
      </c>
      <c r="BI8" s="8"/>
      <c r="BJ8" s="7"/>
      <c r="BK8" s="7">
        <f>BH8-BJ8</f>
        <v>1</v>
      </c>
      <c r="BL8" s="8"/>
      <c r="BM8" s="7"/>
      <c r="BN8" s="7">
        <f>BK8-BM8</f>
        <v>1</v>
      </c>
      <c r="BO8" s="8"/>
      <c r="BP8" s="9">
        <f>H8+K8+N8+Q8+T8+W8+Z8+AC8+AF8+AI8+AL8+AO8+AR8+AU8+AX8+BA8+BD8+BG8+BJ8+BM8</f>
        <v>22</v>
      </c>
      <c r="BQ8" s="9">
        <f>G8-BP8</f>
        <v>1</v>
      </c>
    </row>
    <row r="9" spans="1:69" ht="58.15" customHeight="1" x14ac:dyDescent="0.25">
      <c r="A9" s="1"/>
      <c r="B9" s="35" t="s">
        <v>27</v>
      </c>
      <c r="C9" s="21" t="s">
        <v>39</v>
      </c>
      <c r="D9" s="13" t="s">
        <v>54</v>
      </c>
      <c r="E9" s="23" t="s">
        <v>65</v>
      </c>
      <c r="F9" s="16" t="str">
        <f t="shared" ref="F9:F10" si="9">IF(BQ9&lt;=0,"Finalizado",IF(BP9&gt;0,"En proceso","Por iniciar"))</f>
        <v>Finalizado</v>
      </c>
      <c r="G9" s="17">
        <v>18</v>
      </c>
      <c r="H9" s="14"/>
      <c r="I9" s="19">
        <v>18</v>
      </c>
      <c r="J9" s="8"/>
      <c r="K9" s="7"/>
      <c r="L9" s="7">
        <v>18</v>
      </c>
      <c r="M9" s="8"/>
      <c r="N9" s="7"/>
      <c r="O9" s="7">
        <f t="shared" ref="O9:O10" si="10">L9-N9</f>
        <v>18</v>
      </c>
      <c r="P9" s="8"/>
      <c r="Q9" s="7"/>
      <c r="R9" s="7">
        <f t="shared" ref="R9:R10" si="11">O9-Q9</f>
        <v>18</v>
      </c>
      <c r="S9" s="8"/>
      <c r="T9" s="7"/>
      <c r="U9" s="7">
        <f>R9-T9</f>
        <v>18</v>
      </c>
      <c r="V9" s="8"/>
      <c r="W9" s="7"/>
      <c r="X9" s="7">
        <f t="shared" ref="X9:X10" si="12">U9-W9</f>
        <v>18</v>
      </c>
      <c r="Y9" s="8"/>
      <c r="Z9" s="7"/>
      <c r="AA9" s="7">
        <f t="shared" ref="AA9:AA10" si="13">X9-Z9</f>
        <v>18</v>
      </c>
      <c r="AB9" s="8"/>
      <c r="AC9" s="7">
        <v>6</v>
      </c>
      <c r="AD9" s="7">
        <f t="shared" si="0"/>
        <v>12</v>
      </c>
      <c r="AE9" s="8"/>
      <c r="AF9" s="7">
        <v>10</v>
      </c>
      <c r="AG9" s="7">
        <f t="shared" si="1"/>
        <v>2</v>
      </c>
      <c r="AH9" s="8"/>
      <c r="AI9" s="7">
        <v>2</v>
      </c>
      <c r="AJ9" s="7">
        <f t="shared" si="2"/>
        <v>0</v>
      </c>
      <c r="AK9" s="8"/>
      <c r="AL9" s="7"/>
      <c r="AM9" s="7">
        <f t="shared" si="3"/>
        <v>0</v>
      </c>
      <c r="AN9" s="8"/>
      <c r="AO9" s="7"/>
      <c r="AP9" s="7">
        <f t="shared" si="4"/>
        <v>0</v>
      </c>
      <c r="AQ9" s="8"/>
      <c r="AR9" s="7"/>
      <c r="AS9" s="7">
        <f t="shared" si="5"/>
        <v>0</v>
      </c>
      <c r="AT9" s="8"/>
      <c r="AU9" s="7"/>
      <c r="AV9" s="7">
        <f t="shared" si="6"/>
        <v>0</v>
      </c>
      <c r="AW9" s="8"/>
      <c r="AX9" s="7"/>
      <c r="AY9" s="7">
        <f t="shared" si="7"/>
        <v>0</v>
      </c>
      <c r="AZ9" s="8"/>
      <c r="BA9" s="7"/>
      <c r="BB9" s="7">
        <f t="shared" si="8"/>
        <v>0</v>
      </c>
      <c r="BC9" s="8"/>
      <c r="BP9" s="9">
        <f>H9+K9+N9+Q9+T9+W9+Z9+AC9+AF9+AI9+AL9+AO9+AR9+AU9+AX9+BA9+BD9+BG9+BJ9+BM9</f>
        <v>18</v>
      </c>
      <c r="BQ9" s="9">
        <f t="shared" ref="BQ9:BQ10" si="14">G9-BP9</f>
        <v>0</v>
      </c>
    </row>
    <row r="10" spans="1:69" ht="58.15" customHeight="1" x14ac:dyDescent="0.25">
      <c r="A10" s="1"/>
      <c r="B10" s="35" t="s">
        <v>26</v>
      </c>
      <c r="C10" s="24" t="s">
        <v>69</v>
      </c>
      <c r="D10" s="13" t="s">
        <v>55</v>
      </c>
      <c r="E10" s="23" t="s">
        <v>67</v>
      </c>
      <c r="F10" s="16" t="str">
        <f t="shared" si="9"/>
        <v>Finalizado</v>
      </c>
      <c r="G10" s="17">
        <v>11</v>
      </c>
      <c r="H10" s="14"/>
      <c r="I10" s="19">
        <v>11</v>
      </c>
      <c r="J10" s="8"/>
      <c r="K10" s="7"/>
      <c r="L10" s="7">
        <v>11</v>
      </c>
      <c r="M10" s="8"/>
      <c r="N10" s="7"/>
      <c r="O10" s="7">
        <f t="shared" si="10"/>
        <v>11</v>
      </c>
      <c r="P10" s="8"/>
      <c r="Q10" s="7"/>
      <c r="R10" s="7">
        <f t="shared" si="11"/>
        <v>11</v>
      </c>
      <c r="S10" s="8"/>
      <c r="T10" s="7"/>
      <c r="U10" s="7">
        <f t="shared" ref="U10" si="15">R10-T10</f>
        <v>11</v>
      </c>
      <c r="V10" s="8"/>
      <c r="W10" s="7"/>
      <c r="X10" s="7">
        <f t="shared" si="12"/>
        <v>11</v>
      </c>
      <c r="Y10" s="8"/>
      <c r="Z10" s="7"/>
      <c r="AA10" s="7">
        <f t="shared" si="13"/>
        <v>11</v>
      </c>
      <c r="AB10" s="8"/>
      <c r="AC10" s="7"/>
      <c r="AD10" s="7">
        <f t="shared" si="0"/>
        <v>11</v>
      </c>
      <c r="AE10" s="8"/>
      <c r="AF10" s="7"/>
      <c r="AG10" s="7">
        <f t="shared" si="1"/>
        <v>11</v>
      </c>
      <c r="AH10" s="8"/>
      <c r="AI10" s="7">
        <v>6</v>
      </c>
      <c r="AJ10" s="7">
        <f t="shared" si="2"/>
        <v>5</v>
      </c>
      <c r="AK10" s="8"/>
      <c r="AL10" s="7">
        <v>6</v>
      </c>
      <c r="AM10" s="7">
        <f t="shared" si="3"/>
        <v>-1</v>
      </c>
      <c r="AN10" s="8"/>
      <c r="AO10" s="7"/>
      <c r="AP10" s="7">
        <f t="shared" si="4"/>
        <v>-1</v>
      </c>
      <c r="AQ10" s="8"/>
      <c r="AR10" s="7"/>
      <c r="AS10" s="7">
        <f t="shared" si="5"/>
        <v>-1</v>
      </c>
      <c r="AT10" s="8"/>
      <c r="AU10" s="7"/>
      <c r="AV10" s="7">
        <f t="shared" si="6"/>
        <v>-1</v>
      </c>
      <c r="AW10" s="8"/>
      <c r="AX10" s="7"/>
      <c r="AY10" s="7">
        <f t="shared" si="7"/>
        <v>-1</v>
      </c>
      <c r="AZ10" s="8"/>
      <c r="BA10" s="7"/>
      <c r="BB10" s="7">
        <f t="shared" si="8"/>
        <v>-1</v>
      </c>
      <c r="BC10" s="8"/>
      <c r="BP10" s="9">
        <f t="shared" ref="BP10" si="16">H10+K10+N10+Q10+T10+W10+Z10+AC10+AF10+AI10+AL10+AO10+AR10+AU10+AX10+BA10+BD10+BG10+BJ10+BM10</f>
        <v>12</v>
      </c>
      <c r="BQ10" s="9">
        <f t="shared" si="14"/>
        <v>-1</v>
      </c>
    </row>
    <row r="11" spans="1:69" ht="58.15" customHeight="1" x14ac:dyDescent="0.25">
      <c r="A11" s="1"/>
      <c r="B11" s="35" t="s">
        <v>33</v>
      </c>
      <c r="C11" s="22" t="s">
        <v>40</v>
      </c>
      <c r="D11" s="13" t="s">
        <v>57</v>
      </c>
      <c r="E11" s="23" t="s">
        <v>68</v>
      </c>
      <c r="F11" s="16" t="str">
        <f t="shared" ref="F11" si="17">IF(BQ11&lt;=0,"Finalizado",IF(BP11&gt;0,"En proceso","Por iniciar"))</f>
        <v>Finalizado</v>
      </c>
      <c r="G11" s="17">
        <v>16</v>
      </c>
      <c r="H11" s="14"/>
      <c r="I11" s="19">
        <v>16</v>
      </c>
      <c r="J11" s="8"/>
      <c r="K11" s="7"/>
      <c r="L11" s="7">
        <v>16</v>
      </c>
      <c r="M11" s="8"/>
      <c r="N11" s="7"/>
      <c r="O11" s="7">
        <f t="shared" ref="O11" si="18">L11-N11</f>
        <v>16</v>
      </c>
      <c r="P11" s="8"/>
      <c r="Q11" s="7"/>
      <c r="R11" s="7">
        <f t="shared" ref="R11" si="19">O11-Q11</f>
        <v>16</v>
      </c>
      <c r="S11" s="8"/>
      <c r="T11" s="7"/>
      <c r="U11" s="7">
        <f t="shared" ref="U11" si="20">R11-T11</f>
        <v>16</v>
      </c>
      <c r="V11" s="8"/>
      <c r="W11" s="7"/>
      <c r="X11" s="7">
        <f t="shared" ref="X11" si="21">U11-W11</f>
        <v>16</v>
      </c>
      <c r="Y11" s="8"/>
      <c r="Z11" s="7"/>
      <c r="AA11" s="7">
        <f t="shared" ref="AA11" si="22">X11-Z11</f>
        <v>16</v>
      </c>
      <c r="AB11" s="8"/>
      <c r="AC11" s="7"/>
      <c r="AD11" s="7">
        <f t="shared" si="0"/>
        <v>16</v>
      </c>
      <c r="AE11" s="8"/>
      <c r="AF11" s="7"/>
      <c r="AG11" s="7">
        <f t="shared" si="1"/>
        <v>16</v>
      </c>
      <c r="AH11" s="8"/>
      <c r="AI11" s="7"/>
      <c r="AJ11" s="7">
        <f t="shared" si="2"/>
        <v>16</v>
      </c>
      <c r="AK11" s="8"/>
      <c r="AL11" s="7">
        <v>1</v>
      </c>
      <c r="AM11" s="7">
        <f t="shared" si="3"/>
        <v>15</v>
      </c>
      <c r="AN11" s="8"/>
      <c r="AO11" s="7">
        <v>10</v>
      </c>
      <c r="AP11" s="7">
        <f t="shared" si="4"/>
        <v>5</v>
      </c>
      <c r="AQ11" s="8"/>
      <c r="AR11" s="7">
        <v>5</v>
      </c>
      <c r="AS11" s="7">
        <f t="shared" si="5"/>
        <v>0</v>
      </c>
      <c r="AT11" s="8"/>
      <c r="AU11" s="7"/>
      <c r="AV11" s="7">
        <f t="shared" si="6"/>
        <v>0</v>
      </c>
      <c r="AW11" s="8"/>
      <c r="AX11" s="7"/>
      <c r="AY11" s="7">
        <f t="shared" si="7"/>
        <v>0</v>
      </c>
      <c r="AZ11" s="8"/>
      <c r="BA11" s="7"/>
      <c r="BB11" s="7">
        <f t="shared" si="8"/>
        <v>0</v>
      </c>
      <c r="BC11" s="8"/>
      <c r="BP11" s="9">
        <f t="shared" ref="BP11" si="23">H11+K11+N11+Q11+T11+W11+Z11+AC11+AF11+AI11+AL11+AO11+AR11+AU11+AX11+BA11+BD11+BG11+BJ11+BM11</f>
        <v>16</v>
      </c>
      <c r="BQ11" s="9">
        <f t="shared" ref="BQ11" si="24">G11-BP11</f>
        <v>0</v>
      </c>
    </row>
    <row r="12" spans="1:69" ht="25.9" customHeight="1" x14ac:dyDescent="0.25">
      <c r="A12" s="1"/>
      <c r="B12" s="27" t="s">
        <v>19</v>
      </c>
      <c r="C12" s="28"/>
      <c r="D12" s="28"/>
      <c r="E12" s="28"/>
      <c r="F12" s="29"/>
      <c r="G12" s="10">
        <f>SUM(G6:G11)</f>
        <v>98</v>
      </c>
      <c r="H12" s="11">
        <f>SUM(H6:H11)</f>
        <v>7</v>
      </c>
      <c r="I12" s="11">
        <f t="shared" ref="I12:AT12" si="25">SUM(I6:I11)</f>
        <v>91</v>
      </c>
      <c r="J12" s="11">
        <f t="shared" si="25"/>
        <v>0</v>
      </c>
      <c r="K12" s="11">
        <f t="shared" si="25"/>
        <v>6</v>
      </c>
      <c r="L12" s="11">
        <f t="shared" si="25"/>
        <v>85</v>
      </c>
      <c r="M12" s="11">
        <f t="shared" si="25"/>
        <v>0</v>
      </c>
      <c r="N12" s="11">
        <f t="shared" si="25"/>
        <v>7</v>
      </c>
      <c r="O12" s="11">
        <f t="shared" si="25"/>
        <v>78</v>
      </c>
      <c r="P12" s="11">
        <f t="shared" si="25"/>
        <v>0</v>
      </c>
      <c r="Q12" s="11">
        <f t="shared" si="25"/>
        <v>7</v>
      </c>
      <c r="R12" s="11">
        <f t="shared" si="25"/>
        <v>71</v>
      </c>
      <c r="S12" s="11">
        <f t="shared" si="25"/>
        <v>0</v>
      </c>
      <c r="T12" s="11">
        <f t="shared" si="25"/>
        <v>10</v>
      </c>
      <c r="U12" s="11">
        <f t="shared" si="25"/>
        <v>61</v>
      </c>
      <c r="V12" s="11">
        <f t="shared" si="25"/>
        <v>0</v>
      </c>
      <c r="W12" s="11">
        <f t="shared" si="25"/>
        <v>6</v>
      </c>
      <c r="X12" s="11">
        <f t="shared" si="25"/>
        <v>55</v>
      </c>
      <c r="Y12" s="11">
        <f t="shared" si="25"/>
        <v>0</v>
      </c>
      <c r="Z12" s="11">
        <f t="shared" si="25"/>
        <v>7</v>
      </c>
      <c r="AA12" s="11">
        <f t="shared" si="25"/>
        <v>48</v>
      </c>
      <c r="AB12" s="11">
        <f t="shared" si="25"/>
        <v>0</v>
      </c>
      <c r="AC12" s="11">
        <f t="shared" si="25"/>
        <v>8</v>
      </c>
      <c r="AD12" s="11">
        <f t="shared" si="25"/>
        <v>40</v>
      </c>
      <c r="AE12" s="11">
        <f t="shared" si="25"/>
        <v>0</v>
      </c>
      <c r="AF12" s="11">
        <f t="shared" si="25"/>
        <v>10</v>
      </c>
      <c r="AG12" s="11">
        <f t="shared" si="25"/>
        <v>30</v>
      </c>
      <c r="AH12" s="11">
        <f t="shared" si="25"/>
        <v>0</v>
      </c>
      <c r="AI12" s="11">
        <f t="shared" si="25"/>
        <v>8</v>
      </c>
      <c r="AJ12" s="11">
        <f t="shared" si="25"/>
        <v>22</v>
      </c>
      <c r="AK12" s="11">
        <f t="shared" si="25"/>
        <v>0</v>
      </c>
      <c r="AL12" s="11">
        <f t="shared" si="25"/>
        <v>7</v>
      </c>
      <c r="AM12" s="11">
        <f t="shared" si="25"/>
        <v>15</v>
      </c>
      <c r="AN12" s="11">
        <f t="shared" si="25"/>
        <v>0</v>
      </c>
      <c r="AO12" s="11">
        <f t="shared" si="25"/>
        <v>10</v>
      </c>
      <c r="AP12" s="11">
        <f t="shared" si="25"/>
        <v>5</v>
      </c>
      <c r="AQ12" s="11">
        <f t="shared" si="25"/>
        <v>0</v>
      </c>
      <c r="AR12" s="11">
        <f t="shared" si="25"/>
        <v>5</v>
      </c>
      <c r="AS12" s="11">
        <f t="shared" si="25"/>
        <v>0</v>
      </c>
      <c r="AT12" s="11">
        <f t="shared" si="25"/>
        <v>0</v>
      </c>
      <c r="AU12" s="11"/>
      <c r="AV12" s="11"/>
      <c r="AW12" s="8"/>
      <c r="AX12" s="11"/>
      <c r="AY12" s="11"/>
      <c r="AZ12" s="8"/>
      <c r="BA12" s="11"/>
      <c r="BB12" s="11"/>
      <c r="BC12" s="8"/>
      <c r="BD12" s="11">
        <f>SUM(BD6:BD10)</f>
        <v>0</v>
      </c>
      <c r="BE12" s="11">
        <f>SUM(BE6:BE10)</f>
        <v>1</v>
      </c>
      <c r="BF12" s="8"/>
      <c r="BG12" s="11">
        <f>SUM(BG6:BG10)</f>
        <v>0</v>
      </c>
      <c r="BH12" s="11">
        <f>SUM(BH6:BH10)</f>
        <v>1</v>
      </c>
      <c r="BI12" s="8"/>
      <c r="BJ12" s="11">
        <f>SUM(BJ6:BJ10)</f>
        <v>0</v>
      </c>
      <c r="BK12" s="11">
        <f>SUM(BK6:BK10)</f>
        <v>1</v>
      </c>
      <c r="BL12" s="8"/>
      <c r="BM12" s="11">
        <f>SUM(BM6:BM10)</f>
        <v>0</v>
      </c>
      <c r="BN12" s="11">
        <f>SUM(BN6:BN10)</f>
        <v>1</v>
      </c>
      <c r="BO12" s="8"/>
      <c r="BP12" s="11">
        <f>SUM(BP6:BP11)</f>
        <v>98</v>
      </c>
      <c r="BQ12" s="11">
        <f>SUM(BQ6:BQ11)</f>
        <v>0</v>
      </c>
    </row>
    <row r="13" spans="1:69" ht="28.15" customHeight="1" x14ac:dyDescent="0.25">
      <c r="A13" s="1"/>
    </row>
    <row r="14" spans="1:69" ht="58.15" customHeight="1" x14ac:dyDescent="0.25">
      <c r="A14" s="1"/>
    </row>
    <row r="15" spans="1:69" ht="58.15" customHeight="1" x14ac:dyDescent="0.25">
      <c r="A15" s="1"/>
    </row>
    <row r="16" spans="1:69" ht="58.15" customHeight="1" x14ac:dyDescent="0.25">
      <c r="A16" s="1"/>
    </row>
    <row r="17" spans="1:1" ht="58.15" customHeight="1" x14ac:dyDescent="0.25">
      <c r="A17" s="1"/>
    </row>
    <row r="18" spans="1:1" ht="58.15" customHeight="1" x14ac:dyDescent="0.25">
      <c r="A18" s="1"/>
    </row>
    <row r="19" spans="1:1" ht="58.15" customHeight="1" x14ac:dyDescent="0.25">
      <c r="A19" s="1"/>
    </row>
    <row r="20" spans="1:1" ht="58.15" customHeight="1" x14ac:dyDescent="0.25">
      <c r="A20" s="1"/>
    </row>
    <row r="21" spans="1:1" ht="58.15" customHeight="1" x14ac:dyDescent="0.25">
      <c r="A21" s="1"/>
    </row>
    <row r="22" spans="1:1" ht="58.15" customHeight="1" x14ac:dyDescent="0.25">
      <c r="A22" s="1"/>
    </row>
    <row r="23" spans="1:1" ht="58.15" customHeight="1" x14ac:dyDescent="0.2"/>
    <row r="24" spans="1:1" ht="58.15" customHeight="1" x14ac:dyDescent="0.25">
      <c r="A24" s="1"/>
    </row>
    <row r="25" spans="1:1" ht="58.15" customHeight="1" x14ac:dyDescent="0.25">
      <c r="A25" s="1"/>
    </row>
    <row r="26" spans="1:1" ht="58.15" customHeight="1" x14ac:dyDescent="0.25">
      <c r="A26" s="1"/>
    </row>
    <row r="27" spans="1:1" ht="42.75" customHeight="1" x14ac:dyDescent="0.25">
      <c r="A27" s="1"/>
    </row>
    <row r="28" spans="1:1" ht="43.5" customHeight="1" x14ac:dyDescent="0.25">
      <c r="A28" s="1"/>
    </row>
    <row r="29" spans="1:1" ht="43.5" customHeight="1" x14ac:dyDescent="0.25">
      <c r="A29" s="1"/>
    </row>
    <row r="30" spans="1:1" ht="101.25" customHeight="1" x14ac:dyDescent="0.25">
      <c r="A30" s="1"/>
    </row>
    <row r="31" spans="1:1" ht="115.5" customHeight="1" x14ac:dyDescent="0.25">
      <c r="A31" s="1"/>
    </row>
    <row r="32" spans="1:1" ht="27.75" customHeight="1" x14ac:dyDescent="0.25">
      <c r="A32" s="1"/>
    </row>
    <row r="33" ht="15" customHeight="1" x14ac:dyDescent="0.2"/>
    <row r="34" ht="15" customHeight="1" x14ac:dyDescent="0.2"/>
    <row r="36" ht="31.5" customHeight="1" x14ac:dyDescent="0.2"/>
    <row r="37" ht="42.75" customHeight="1" x14ac:dyDescent="0.2"/>
    <row r="38" ht="43.5" customHeight="1" x14ac:dyDescent="0.2"/>
    <row r="39" ht="115.5" customHeight="1" x14ac:dyDescent="0.2"/>
    <row r="40" ht="87" customHeight="1" x14ac:dyDescent="0.2"/>
    <row r="41" ht="101.25" customHeight="1" x14ac:dyDescent="0.2"/>
    <row r="42" ht="27.75" customHeight="1" x14ac:dyDescent="0.2"/>
    <row r="43" ht="15" customHeight="1" x14ac:dyDescent="0.2"/>
    <row r="44" ht="15" customHeight="1" x14ac:dyDescent="0.2"/>
    <row r="46" ht="31.5" customHeight="1" x14ac:dyDescent="0.2"/>
    <row r="47" ht="42.75" customHeight="1" x14ac:dyDescent="0.2"/>
    <row r="48" ht="43.5" customHeight="1" x14ac:dyDescent="0.2"/>
    <row r="49" ht="87" customHeight="1" x14ac:dyDescent="0.2"/>
    <row r="50" ht="101.25" customHeight="1" x14ac:dyDescent="0.2"/>
    <row r="51" ht="115.5" customHeight="1" x14ac:dyDescent="0.2"/>
    <row r="52" ht="27.75" customHeight="1" x14ac:dyDescent="0.2"/>
    <row r="53" ht="15" customHeight="1" x14ac:dyDescent="0.2"/>
    <row r="54" ht="15" customHeight="1" x14ac:dyDescent="0.2"/>
    <row r="56" ht="27.75" customHeight="1" x14ac:dyDescent="0.2"/>
  </sheetData>
  <mergeCells count="23">
    <mergeCell ref="AL4:AM4"/>
    <mergeCell ref="B4:G4"/>
    <mergeCell ref="H4:I4"/>
    <mergeCell ref="K4:L4"/>
    <mergeCell ref="N4:O4"/>
    <mergeCell ref="Q4:R4"/>
    <mergeCell ref="T4:U4"/>
    <mergeCell ref="BG4:BH4"/>
    <mergeCell ref="BJ4:BK4"/>
    <mergeCell ref="BM4:BN4"/>
    <mergeCell ref="BP4:BQ4"/>
    <mergeCell ref="B12:F12"/>
    <mergeCell ref="AO4:AP4"/>
    <mergeCell ref="AR4:AS4"/>
    <mergeCell ref="AU4:AV4"/>
    <mergeCell ref="AX4:AY4"/>
    <mergeCell ref="BA4:BB4"/>
    <mergeCell ref="BD4:BE4"/>
    <mergeCell ref="W4:X4"/>
    <mergeCell ref="Z4:AA4"/>
    <mergeCell ref="AC4:AD4"/>
    <mergeCell ref="AF4:AG4"/>
    <mergeCell ref="AI4:AJ4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18DE-3FE3-4211-8A28-734D4B531708}">
  <dimension ref="A1:BQ54"/>
  <sheetViews>
    <sheetView zoomScaleNormal="100" workbookViewId="0">
      <pane xSplit="4" topLeftCell="E1" activePane="topRight" state="frozen"/>
      <selection pane="topRight" activeCell="B9" sqref="B6:B9"/>
    </sheetView>
  </sheetViews>
  <sheetFormatPr baseColWidth="10" defaultColWidth="8.625" defaultRowHeight="14.25" x14ac:dyDescent="0.2"/>
  <cols>
    <col min="1" max="1" width="1.25" customWidth="1"/>
    <col min="2" max="2" width="14.375" customWidth="1"/>
    <col min="3" max="3" width="17.125" customWidth="1"/>
    <col min="4" max="4" width="18.25" customWidth="1"/>
    <col min="5" max="5" width="9.125" customWidth="1"/>
    <col min="6" max="6" width="10.375" customWidth="1"/>
    <col min="7" max="7" width="13.5" customWidth="1"/>
    <col min="8" max="8" width="5.125" customWidth="1"/>
    <col min="9" max="9" width="4.75" customWidth="1"/>
    <col min="10" max="10" width="2.375" customWidth="1"/>
    <col min="11" max="11" width="5.125" customWidth="1"/>
    <col min="12" max="12" width="4.75" customWidth="1"/>
    <col min="13" max="13" width="2.375" customWidth="1"/>
    <col min="14" max="14" width="5.125" customWidth="1"/>
    <col min="15" max="15" width="4.75" customWidth="1"/>
    <col min="16" max="16" width="2.375" customWidth="1"/>
    <col min="17" max="17" width="5.125" customWidth="1"/>
    <col min="18" max="18" width="4.75" customWidth="1"/>
    <col min="19" max="19" width="2.375" customWidth="1"/>
    <col min="20" max="20" width="5.125" customWidth="1"/>
    <col min="21" max="21" width="4.75" customWidth="1"/>
    <col min="22" max="22" width="2.375" customWidth="1"/>
    <col min="23" max="23" width="5.125" customWidth="1"/>
    <col min="24" max="24" width="4.75" customWidth="1"/>
    <col min="25" max="25" width="2.375" customWidth="1"/>
    <col min="26" max="26" width="5.125" customWidth="1"/>
    <col min="27" max="27" width="4.75" customWidth="1"/>
    <col min="28" max="28" width="2.375" customWidth="1"/>
    <col min="29" max="29" width="5.125" customWidth="1"/>
    <col min="30" max="30" width="4.75" customWidth="1"/>
    <col min="31" max="31" width="2.375" customWidth="1"/>
    <col min="32" max="32" width="5.125" customWidth="1"/>
    <col min="33" max="33" width="4.75" customWidth="1"/>
    <col min="34" max="34" width="2.375" customWidth="1"/>
    <col min="35" max="35" width="5.125" customWidth="1"/>
    <col min="36" max="36" width="4.75" customWidth="1"/>
    <col min="37" max="37" width="2.375" customWidth="1"/>
    <col min="38" max="38" width="5.125" customWidth="1"/>
    <col min="39" max="39" width="4.75" customWidth="1"/>
    <col min="40" max="40" width="2.375" customWidth="1"/>
    <col min="41" max="41" width="5.125" customWidth="1"/>
    <col min="42" max="42" width="4.75" customWidth="1"/>
    <col min="43" max="43" width="2.375" customWidth="1"/>
    <col min="44" max="44" width="5.125" customWidth="1"/>
    <col min="45" max="45" width="4.75" customWidth="1"/>
    <col min="46" max="46" width="2.375" customWidth="1"/>
    <col min="47" max="47" width="5.125" customWidth="1"/>
    <col min="48" max="48" width="4.75" customWidth="1"/>
    <col min="49" max="49" width="2.375" customWidth="1"/>
    <col min="50" max="50" width="5.125" customWidth="1"/>
    <col min="51" max="51" width="4.75" customWidth="1"/>
    <col min="52" max="52" width="2.375" customWidth="1"/>
    <col min="53" max="53" width="5.125" customWidth="1"/>
    <col min="54" max="54" width="4.75" customWidth="1"/>
    <col min="55" max="55" width="2.375" customWidth="1"/>
    <col min="56" max="56" width="5.125" hidden="1" customWidth="1"/>
    <col min="57" max="57" width="4.75" hidden="1" customWidth="1"/>
    <col min="58" max="58" width="2.375" hidden="1" customWidth="1"/>
    <col min="59" max="59" width="5.125" hidden="1" customWidth="1"/>
    <col min="60" max="60" width="4.75" hidden="1" customWidth="1"/>
    <col min="61" max="61" width="2.375" hidden="1" customWidth="1"/>
    <col min="62" max="62" width="5.125" hidden="1" customWidth="1"/>
    <col min="63" max="63" width="4.75" hidden="1" customWidth="1"/>
    <col min="64" max="64" width="2.375" hidden="1" customWidth="1"/>
    <col min="65" max="65" width="5.125" hidden="1" customWidth="1"/>
    <col min="66" max="66" width="4.75" hidden="1" customWidth="1"/>
    <col min="67" max="67" width="2.375" hidden="1" customWidth="1"/>
    <col min="68" max="68" width="5.125" customWidth="1"/>
    <col min="69" max="69" width="4.75" customWidth="1"/>
  </cols>
  <sheetData>
    <row r="1" spans="1:69" ht="28.5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customHeight="1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35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1.5" customHeight="1" x14ac:dyDescent="0.25">
      <c r="A4" s="1"/>
      <c r="B4" s="31" t="s">
        <v>59</v>
      </c>
      <c r="C4" s="32"/>
      <c r="D4" s="32"/>
      <c r="E4" s="32"/>
      <c r="F4" s="32"/>
      <c r="G4" s="32"/>
      <c r="H4" s="26" t="s">
        <v>3</v>
      </c>
      <c r="I4" s="26"/>
      <c r="J4" s="4"/>
      <c r="K4" s="26" t="s">
        <v>4</v>
      </c>
      <c r="L4" s="26"/>
      <c r="M4" s="4"/>
      <c r="N4" s="26" t="s">
        <v>5</v>
      </c>
      <c r="O4" s="26"/>
      <c r="P4" s="4"/>
      <c r="Q4" s="26" t="s">
        <v>6</v>
      </c>
      <c r="R4" s="26"/>
      <c r="S4" s="4"/>
      <c r="T4" s="26" t="s">
        <v>7</v>
      </c>
      <c r="U4" s="26"/>
      <c r="V4" s="4"/>
      <c r="W4" s="26" t="s">
        <v>8</v>
      </c>
      <c r="X4" s="26"/>
      <c r="Y4" s="4"/>
      <c r="Z4" s="26" t="s">
        <v>9</v>
      </c>
      <c r="AA4" s="26"/>
      <c r="AB4" s="4"/>
      <c r="AC4" s="30"/>
      <c r="AD4" s="26"/>
      <c r="AE4" s="4"/>
      <c r="AF4" s="30"/>
      <c r="AG4" s="26"/>
      <c r="AH4" s="4"/>
      <c r="AI4" s="30"/>
      <c r="AJ4" s="26"/>
      <c r="AK4" s="4"/>
      <c r="AL4" s="30"/>
      <c r="AM4" s="26"/>
      <c r="AN4" s="4"/>
      <c r="AO4" s="30"/>
      <c r="AP4" s="26"/>
      <c r="AQ4" s="4"/>
      <c r="AR4" s="30"/>
      <c r="AS4" s="26"/>
      <c r="AT4" s="4"/>
      <c r="AU4" s="33"/>
      <c r="AV4" s="34"/>
      <c r="AW4" s="4"/>
      <c r="AX4" s="33"/>
      <c r="AY4" s="34"/>
      <c r="AZ4" s="4"/>
      <c r="BA4" s="33"/>
      <c r="BB4" s="34"/>
      <c r="BC4" s="4"/>
      <c r="BD4" s="26"/>
      <c r="BE4" s="26"/>
      <c r="BF4" s="4"/>
      <c r="BG4" s="26"/>
      <c r="BH4" s="26"/>
      <c r="BI4" s="4"/>
      <c r="BJ4" s="26"/>
      <c r="BK4" s="26"/>
      <c r="BL4" s="4"/>
      <c r="BM4" s="26"/>
      <c r="BN4" s="26"/>
      <c r="BO4" s="4"/>
      <c r="BP4" s="26" t="s">
        <v>10</v>
      </c>
      <c r="BQ4" s="26"/>
    </row>
    <row r="5" spans="1:69" ht="42.75" customHeight="1" x14ac:dyDescent="0.25">
      <c r="A5" s="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5" t="s">
        <v>17</v>
      </c>
      <c r="I5" s="5" t="s">
        <v>18</v>
      </c>
      <c r="J5" s="5"/>
      <c r="K5" s="5" t="s">
        <v>17</v>
      </c>
      <c r="L5" s="5" t="s">
        <v>18</v>
      </c>
      <c r="M5" s="5"/>
      <c r="N5" s="5" t="s">
        <v>17</v>
      </c>
      <c r="O5" s="5" t="s">
        <v>18</v>
      </c>
      <c r="P5" s="5"/>
      <c r="Q5" s="5" t="s">
        <v>17</v>
      </c>
      <c r="R5" s="5" t="s">
        <v>18</v>
      </c>
      <c r="S5" s="5"/>
      <c r="T5" s="5" t="s">
        <v>17</v>
      </c>
      <c r="U5" s="5" t="s">
        <v>18</v>
      </c>
      <c r="V5" s="5"/>
      <c r="W5" s="5" t="s">
        <v>17</v>
      </c>
      <c r="X5" s="5" t="s">
        <v>18</v>
      </c>
      <c r="Y5" s="5"/>
      <c r="Z5" s="5" t="s">
        <v>17</v>
      </c>
      <c r="AA5" s="5" t="s">
        <v>18</v>
      </c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 t="s">
        <v>17</v>
      </c>
      <c r="BE5" s="5" t="s">
        <v>18</v>
      </c>
      <c r="BF5" s="5"/>
      <c r="BG5" s="5" t="s">
        <v>17</v>
      </c>
      <c r="BH5" s="5" t="s">
        <v>18</v>
      </c>
      <c r="BI5" s="5"/>
      <c r="BJ5" s="5" t="s">
        <v>17</v>
      </c>
      <c r="BK5" s="5" t="s">
        <v>18</v>
      </c>
      <c r="BL5" s="5"/>
      <c r="BM5" s="5" t="s">
        <v>17</v>
      </c>
      <c r="BN5" s="5" t="s">
        <v>18</v>
      </c>
      <c r="BO5" s="5"/>
      <c r="BP5" s="5" t="s">
        <v>17</v>
      </c>
      <c r="BQ5" s="5" t="s">
        <v>18</v>
      </c>
    </row>
    <row r="6" spans="1:69" ht="58.15" customHeight="1" x14ac:dyDescent="0.25">
      <c r="A6" s="1"/>
      <c r="B6" s="35" t="s">
        <v>33</v>
      </c>
      <c r="C6" s="6" t="s">
        <v>58</v>
      </c>
      <c r="D6" s="13" t="s">
        <v>34</v>
      </c>
      <c r="E6" s="23" t="s">
        <v>67</v>
      </c>
      <c r="F6" s="16" t="str">
        <f>IF(BQ6&lt;=0,"Finalizado",IF(BP6&gt;0,"En proceso","Por iniciar"))</f>
        <v>Finalizado</v>
      </c>
      <c r="G6" s="19">
        <v>1</v>
      </c>
      <c r="H6" s="14">
        <v>1</v>
      </c>
      <c r="I6" s="19">
        <f>G6-H6</f>
        <v>0</v>
      </c>
      <c r="J6" s="8"/>
      <c r="K6" s="7"/>
      <c r="L6" s="7">
        <f>I6-K6</f>
        <v>0</v>
      </c>
      <c r="M6" s="8"/>
      <c r="N6" s="18"/>
      <c r="O6" s="7">
        <f>L6-N6</f>
        <v>0</v>
      </c>
      <c r="P6" s="8"/>
      <c r="Q6" s="7"/>
      <c r="R6" s="7">
        <f>O6-Q6</f>
        <v>0</v>
      </c>
      <c r="S6" s="8"/>
      <c r="T6" s="7"/>
      <c r="U6" s="7">
        <f>R6-T6</f>
        <v>0</v>
      </c>
      <c r="V6" s="8"/>
      <c r="W6" s="7"/>
      <c r="X6" s="7">
        <f>U6-W6</f>
        <v>0</v>
      </c>
      <c r="Y6" s="8"/>
      <c r="Z6" s="7"/>
      <c r="AA6" s="7">
        <f>X6-Z6</f>
        <v>0</v>
      </c>
      <c r="AB6" s="8"/>
      <c r="AC6" s="7"/>
      <c r="AD6" s="7">
        <f t="shared" ref="AD6:AD9" si="0">AA6-AC6</f>
        <v>0</v>
      </c>
      <c r="AE6" s="8"/>
      <c r="AF6" s="7"/>
      <c r="AG6" s="7">
        <f t="shared" ref="AG6:AG9" si="1">AD6-AF6</f>
        <v>0</v>
      </c>
      <c r="AH6" s="8"/>
      <c r="AI6" s="7"/>
      <c r="AJ6" s="7">
        <f t="shared" ref="AJ6:AJ9" si="2">AG6-AI6</f>
        <v>0</v>
      </c>
      <c r="AK6" s="8"/>
      <c r="AL6" s="7"/>
      <c r="AM6" s="7">
        <f t="shared" ref="AM6:AM9" si="3">AJ6-AL6</f>
        <v>0</v>
      </c>
      <c r="AN6" s="8"/>
      <c r="AO6" s="7"/>
      <c r="AP6" s="7">
        <f t="shared" ref="AP6:AP9" si="4">AM6-AO6</f>
        <v>0</v>
      </c>
      <c r="AQ6" s="8"/>
      <c r="AR6" s="7"/>
      <c r="AS6" s="7">
        <f t="shared" ref="AS6:AS9" si="5">AP6-AR6</f>
        <v>0</v>
      </c>
      <c r="AT6" s="8"/>
      <c r="AU6" s="7"/>
      <c r="AV6" s="7">
        <f t="shared" ref="AV6:AV9" si="6">AS6-AU6</f>
        <v>0</v>
      </c>
      <c r="AW6" s="8"/>
      <c r="AX6" s="7"/>
      <c r="AY6" s="7">
        <f t="shared" ref="AY6:AY9" si="7">AV6-AX6</f>
        <v>0</v>
      </c>
      <c r="AZ6" s="8"/>
      <c r="BA6" s="7"/>
      <c r="BB6" s="7">
        <f t="shared" ref="BB6:BB9" si="8">AY6-BA6</f>
        <v>0</v>
      </c>
      <c r="BC6" s="8"/>
      <c r="BD6" s="7"/>
      <c r="BE6" s="7">
        <f>BB6-BD6</f>
        <v>0</v>
      </c>
      <c r="BF6" s="8"/>
      <c r="BG6" s="7"/>
      <c r="BH6" s="7">
        <f>BE6-BG6</f>
        <v>0</v>
      </c>
      <c r="BI6" s="8"/>
      <c r="BJ6" s="7"/>
      <c r="BK6" s="7">
        <f>BH6-BJ6</f>
        <v>0</v>
      </c>
      <c r="BL6" s="8"/>
      <c r="BM6" s="7"/>
      <c r="BN6" s="7">
        <f>BK6-BM6</f>
        <v>0</v>
      </c>
      <c r="BO6" s="8"/>
      <c r="BP6" s="9">
        <f>H6+K6+N6+Q6+T6+W6+Z6+AC6+AF6+AI6+AL6+AO6+AR6+AU6+AX6+BA6+BD6+BG6+BJ6+BM6</f>
        <v>1</v>
      </c>
      <c r="BQ6" s="9">
        <f>G6-BP6</f>
        <v>0</v>
      </c>
    </row>
    <row r="7" spans="1:69" ht="58.15" customHeight="1" x14ac:dyDescent="0.25">
      <c r="A7" s="1"/>
      <c r="B7" s="35" t="s">
        <v>33</v>
      </c>
      <c r="C7" s="6" t="s">
        <v>41</v>
      </c>
      <c r="D7" s="13" t="s">
        <v>35</v>
      </c>
      <c r="E7" s="23" t="s">
        <v>66</v>
      </c>
      <c r="F7" s="16" t="str">
        <f>IF(BQ7&lt;=0,"Finalizado",IF(BP7&gt;0,"En proceso","Por iniciar"))</f>
        <v>Finalizado</v>
      </c>
      <c r="G7" s="19">
        <v>10</v>
      </c>
      <c r="H7" s="14">
        <v>5</v>
      </c>
      <c r="I7" s="19">
        <f>G7-H7</f>
        <v>5</v>
      </c>
      <c r="J7" s="8"/>
      <c r="K7" s="7">
        <v>5</v>
      </c>
      <c r="L7" s="7">
        <f t="shared" ref="L7:L9" si="9">I7-K7</f>
        <v>0</v>
      </c>
      <c r="M7" s="8"/>
      <c r="N7" s="18"/>
      <c r="O7" s="7">
        <f>L7-N7</f>
        <v>0</v>
      </c>
      <c r="P7" s="8"/>
      <c r="Q7" s="7"/>
      <c r="R7" s="7">
        <f>O7-Q7</f>
        <v>0</v>
      </c>
      <c r="S7" s="8"/>
      <c r="T7" s="7"/>
      <c r="U7" s="7">
        <f>R7-T7</f>
        <v>0</v>
      </c>
      <c r="V7" s="8"/>
      <c r="W7" s="7"/>
      <c r="X7" s="7">
        <f>U7-W7</f>
        <v>0</v>
      </c>
      <c r="Y7" s="8"/>
      <c r="Z7" s="7"/>
      <c r="AA7" s="7">
        <f>X7-Z7</f>
        <v>0</v>
      </c>
      <c r="AB7" s="8"/>
      <c r="AC7" s="7"/>
      <c r="AD7" s="7">
        <f t="shared" si="0"/>
        <v>0</v>
      </c>
      <c r="AE7" s="8"/>
      <c r="AF7" s="7"/>
      <c r="AG7" s="7">
        <f t="shared" si="1"/>
        <v>0</v>
      </c>
      <c r="AH7" s="8"/>
      <c r="AI7" s="7"/>
      <c r="AJ7" s="7">
        <f t="shared" si="2"/>
        <v>0</v>
      </c>
      <c r="AK7" s="8"/>
      <c r="AL7" s="7"/>
      <c r="AM7" s="7">
        <f t="shared" si="3"/>
        <v>0</v>
      </c>
      <c r="AN7" s="8"/>
      <c r="AO7" s="7"/>
      <c r="AP7" s="7">
        <f t="shared" si="4"/>
        <v>0</v>
      </c>
      <c r="AQ7" s="8"/>
      <c r="AR7" s="7"/>
      <c r="AS7" s="7">
        <f t="shared" si="5"/>
        <v>0</v>
      </c>
      <c r="AT7" s="8"/>
      <c r="AU7" s="7"/>
      <c r="AV7" s="7">
        <f t="shared" si="6"/>
        <v>0</v>
      </c>
      <c r="AW7" s="8"/>
      <c r="AX7" s="7"/>
      <c r="AY7" s="7">
        <f t="shared" si="7"/>
        <v>0</v>
      </c>
      <c r="AZ7" s="8"/>
      <c r="BA7" s="7"/>
      <c r="BB7" s="7">
        <f t="shared" si="8"/>
        <v>0</v>
      </c>
      <c r="BC7" s="8"/>
      <c r="BD7" s="7"/>
      <c r="BE7" s="7">
        <f>BB7-BD7</f>
        <v>0</v>
      </c>
      <c r="BF7" s="8"/>
      <c r="BG7" s="7"/>
      <c r="BH7" s="7">
        <f>BE7-BG7</f>
        <v>0</v>
      </c>
      <c r="BI7" s="8"/>
      <c r="BJ7" s="7"/>
      <c r="BK7" s="7">
        <f>BH7-BJ7</f>
        <v>0</v>
      </c>
      <c r="BL7" s="8"/>
      <c r="BM7" s="7"/>
      <c r="BN7" s="7">
        <f>BK7-BM7</f>
        <v>0</v>
      </c>
      <c r="BO7" s="8"/>
      <c r="BP7" s="9">
        <f>H7+K7+N7+Q7+T7+W7+Z7+AC7+AF7+AI7+AL7+AO7+AR7+AU7+AX7+BA7+BD7+BG7+BJ7+BM7</f>
        <v>10</v>
      </c>
      <c r="BQ7" s="9">
        <f>G7-BP7</f>
        <v>0</v>
      </c>
    </row>
    <row r="8" spans="1:69" ht="58.15" customHeight="1" x14ac:dyDescent="0.25">
      <c r="A8" s="1"/>
      <c r="B8" s="35" t="s">
        <v>26</v>
      </c>
      <c r="C8" s="20" t="s">
        <v>42</v>
      </c>
      <c r="D8" s="13" t="s">
        <v>36</v>
      </c>
      <c r="E8" s="23" t="s">
        <v>67</v>
      </c>
      <c r="F8" s="16" t="str">
        <f>IF(BQ8&lt;=0,"Finalizado",IF(BP8&gt;0,"En proceso","Por iniciar"))</f>
        <v>Finalizado</v>
      </c>
      <c r="G8" s="19">
        <v>19</v>
      </c>
      <c r="H8" s="14"/>
      <c r="I8" s="19">
        <f t="shared" ref="I8:I9" si="10">G8-H8</f>
        <v>19</v>
      </c>
      <c r="J8" s="8"/>
      <c r="K8" s="7"/>
      <c r="L8" s="7">
        <f t="shared" si="9"/>
        <v>19</v>
      </c>
      <c r="M8" s="8"/>
      <c r="N8" s="7">
        <v>7</v>
      </c>
      <c r="O8" s="7">
        <f>L8-N8</f>
        <v>12</v>
      </c>
      <c r="P8" s="8"/>
      <c r="Q8" s="7">
        <v>8</v>
      </c>
      <c r="R8" s="7">
        <f>O8-Q8</f>
        <v>4</v>
      </c>
      <c r="S8" s="8"/>
      <c r="T8" s="7">
        <v>4</v>
      </c>
      <c r="U8" s="7">
        <f>R8-T8</f>
        <v>0</v>
      </c>
      <c r="V8" s="8"/>
      <c r="W8" s="7"/>
      <c r="X8" s="7">
        <f>U8-W8</f>
        <v>0</v>
      </c>
      <c r="Y8" s="8"/>
      <c r="Z8" s="7"/>
      <c r="AA8" s="7">
        <f>X8-Z8</f>
        <v>0</v>
      </c>
      <c r="AB8" s="8"/>
      <c r="AC8" s="7"/>
      <c r="AD8" s="7">
        <f t="shared" si="0"/>
        <v>0</v>
      </c>
      <c r="AE8" s="8"/>
      <c r="AF8" s="7"/>
      <c r="AG8" s="7">
        <f t="shared" si="1"/>
        <v>0</v>
      </c>
      <c r="AH8" s="8"/>
      <c r="AI8" s="7"/>
      <c r="AJ8" s="7">
        <f t="shared" si="2"/>
        <v>0</v>
      </c>
      <c r="AK8" s="8"/>
      <c r="AL8" s="7"/>
      <c r="AM8" s="7">
        <f t="shared" si="3"/>
        <v>0</v>
      </c>
      <c r="AN8" s="8"/>
      <c r="AO8" s="7"/>
      <c r="AP8" s="7">
        <f t="shared" si="4"/>
        <v>0</v>
      </c>
      <c r="AQ8" s="8"/>
      <c r="AR8" s="7"/>
      <c r="AS8" s="7">
        <f t="shared" si="5"/>
        <v>0</v>
      </c>
      <c r="AT8" s="8"/>
      <c r="AU8" s="7"/>
      <c r="AV8" s="7">
        <f t="shared" si="6"/>
        <v>0</v>
      </c>
      <c r="AW8" s="8"/>
      <c r="AX8" s="7"/>
      <c r="AY8" s="7">
        <f t="shared" si="7"/>
        <v>0</v>
      </c>
      <c r="AZ8" s="8"/>
      <c r="BA8" s="7"/>
      <c r="BB8" s="7">
        <f t="shared" si="8"/>
        <v>0</v>
      </c>
      <c r="BC8" s="8"/>
      <c r="BD8" s="7"/>
      <c r="BE8" s="7">
        <f>BB8-BD8</f>
        <v>0</v>
      </c>
      <c r="BF8" s="8"/>
      <c r="BG8" s="7"/>
      <c r="BH8" s="7">
        <f>BE8-BG8</f>
        <v>0</v>
      </c>
      <c r="BI8" s="8"/>
      <c r="BJ8" s="7"/>
      <c r="BK8" s="7">
        <f>BH8-BJ8</f>
        <v>0</v>
      </c>
      <c r="BL8" s="8"/>
      <c r="BM8" s="7"/>
      <c r="BN8" s="7">
        <f>BK8-BM8</f>
        <v>0</v>
      </c>
      <c r="BO8" s="8"/>
      <c r="BP8" s="9">
        <f>H8+K8+N8+Q8+T8+W8+Z8+AC8+AF8+AI8+AL8+AO8+AR8+AU8+AX8+BA8+BD8+BG8+BJ8+BM8</f>
        <v>19</v>
      </c>
      <c r="BQ8" s="9">
        <f>G8-BP8</f>
        <v>0</v>
      </c>
    </row>
    <row r="9" spans="1:69" ht="58.15" customHeight="1" x14ac:dyDescent="0.25">
      <c r="A9" s="1"/>
      <c r="B9" s="35" t="s">
        <v>28</v>
      </c>
      <c r="C9" s="21" t="s">
        <v>43</v>
      </c>
      <c r="D9" s="13" t="s">
        <v>54</v>
      </c>
      <c r="E9" s="23" t="s">
        <v>65</v>
      </c>
      <c r="F9" s="16" t="str">
        <f t="shared" ref="F9" si="11">IF(BQ9&lt;=0,"Finalizado",IF(BP9&gt;0,"En proceso","Por iniciar"))</f>
        <v>Finalizado</v>
      </c>
      <c r="G9" s="19">
        <v>17</v>
      </c>
      <c r="H9" s="14"/>
      <c r="I9" s="19">
        <f t="shared" si="10"/>
        <v>17</v>
      </c>
      <c r="J9" s="8"/>
      <c r="K9" s="7"/>
      <c r="L9" s="7">
        <f t="shared" si="9"/>
        <v>17</v>
      </c>
      <c r="M9" s="8"/>
      <c r="N9" s="7"/>
      <c r="O9" s="7">
        <f t="shared" ref="O9" si="12">L9-N9</f>
        <v>17</v>
      </c>
      <c r="P9" s="8"/>
      <c r="Q9" s="7"/>
      <c r="R9" s="7">
        <f t="shared" ref="R9" si="13">O9-Q9</f>
        <v>17</v>
      </c>
      <c r="S9" s="8"/>
      <c r="T9" s="7">
        <v>2</v>
      </c>
      <c r="U9" s="7">
        <f>R9-T9</f>
        <v>15</v>
      </c>
      <c r="V9" s="8"/>
      <c r="W9" s="7">
        <v>8</v>
      </c>
      <c r="X9" s="7">
        <f t="shared" ref="X9" si="14">U9-W9</f>
        <v>7</v>
      </c>
      <c r="Y9" s="8"/>
      <c r="Z9" s="7">
        <v>7</v>
      </c>
      <c r="AA9" s="7">
        <f t="shared" ref="AA9" si="15">X9-Z9</f>
        <v>0</v>
      </c>
      <c r="AB9" s="8"/>
      <c r="AC9" s="7"/>
      <c r="AD9" s="7">
        <f t="shared" si="0"/>
        <v>0</v>
      </c>
      <c r="AE9" s="8"/>
      <c r="AF9" s="7"/>
      <c r="AG9" s="7">
        <f t="shared" si="1"/>
        <v>0</v>
      </c>
      <c r="AH9" s="8"/>
      <c r="AI9" s="7"/>
      <c r="AJ9" s="7">
        <f t="shared" si="2"/>
        <v>0</v>
      </c>
      <c r="AK9" s="8"/>
      <c r="AL9" s="7"/>
      <c r="AM9" s="7">
        <f t="shared" si="3"/>
        <v>0</v>
      </c>
      <c r="AN9" s="8"/>
      <c r="AO9" s="7"/>
      <c r="AP9" s="7">
        <f t="shared" si="4"/>
        <v>0</v>
      </c>
      <c r="AQ9" s="8"/>
      <c r="AR9" s="7"/>
      <c r="AS9" s="7">
        <f t="shared" si="5"/>
        <v>0</v>
      </c>
      <c r="AT9" s="8"/>
      <c r="AU9" s="7"/>
      <c r="AV9" s="7">
        <f t="shared" si="6"/>
        <v>0</v>
      </c>
      <c r="AW9" s="8"/>
      <c r="AX9" s="7"/>
      <c r="AY9" s="7">
        <f t="shared" si="7"/>
        <v>0</v>
      </c>
      <c r="AZ9" s="8"/>
      <c r="BA9" s="7"/>
      <c r="BB9" s="7">
        <f t="shared" si="8"/>
        <v>0</v>
      </c>
      <c r="BC9" s="8"/>
      <c r="BP9" s="9">
        <f>H9+K9+N9+Q9+T9+W9+Z9+AC9+AF9+AI9+AL9+AO9+AR9+AU9+AX9+BA9+BD9+BG9+BJ9+BM9</f>
        <v>17</v>
      </c>
      <c r="BQ9" s="9">
        <f t="shared" ref="BQ9" si="16">G9-BP9</f>
        <v>0</v>
      </c>
    </row>
    <row r="10" spans="1:69" ht="25.9" customHeight="1" x14ac:dyDescent="0.25">
      <c r="A10" s="1"/>
      <c r="B10" s="27" t="s">
        <v>19</v>
      </c>
      <c r="C10" s="28"/>
      <c r="D10" s="28"/>
      <c r="E10" s="28"/>
      <c r="F10" s="29"/>
      <c r="G10" s="10">
        <f>SUM(G6:G9)</f>
        <v>47</v>
      </c>
      <c r="H10" s="11">
        <f>SUM(H6:H9)</f>
        <v>6</v>
      </c>
      <c r="I10" s="11">
        <f>SUM(I6:I9)</f>
        <v>41</v>
      </c>
      <c r="J10" s="11"/>
      <c r="K10" s="11">
        <f>SUM(K6:K9)</f>
        <v>5</v>
      </c>
      <c r="L10" s="11">
        <f>SUM(L6:L9)</f>
        <v>36</v>
      </c>
      <c r="M10" s="11"/>
      <c r="N10" s="11">
        <f>SUM(N6:N9)</f>
        <v>7</v>
      </c>
      <c r="O10" s="11">
        <f>SUM(O6:O9)</f>
        <v>29</v>
      </c>
      <c r="P10" s="11"/>
      <c r="Q10" s="11">
        <f>SUM(Q6:Q9)</f>
        <v>8</v>
      </c>
      <c r="R10" s="11">
        <f>SUM(R6:R9)</f>
        <v>21</v>
      </c>
      <c r="S10" s="11"/>
      <c r="T10" s="11">
        <f>SUM(T6:T9)</f>
        <v>6</v>
      </c>
      <c r="U10" s="11">
        <f>SUM(U6:U9)</f>
        <v>15</v>
      </c>
      <c r="V10" s="11"/>
      <c r="W10" s="11">
        <f>SUM(W6:W9)</f>
        <v>8</v>
      </c>
      <c r="X10" s="11">
        <f>SUM(X6:X9)</f>
        <v>7</v>
      </c>
      <c r="Y10" s="11"/>
      <c r="Z10" s="11">
        <f>SUM(Z6:Z9)</f>
        <v>7</v>
      </c>
      <c r="AA10" s="11">
        <f>SUM(AA6:AA9)</f>
        <v>0</v>
      </c>
      <c r="AB10" s="11"/>
      <c r="AC10" s="11">
        <f>SUM(AC6:AC9)</f>
        <v>0</v>
      </c>
      <c r="AD10" s="11">
        <f>SUM(AD6:AD9)</f>
        <v>0</v>
      </c>
      <c r="AE10" s="11"/>
      <c r="AF10" s="11">
        <f>SUM(AF6:AF9)</f>
        <v>0</v>
      </c>
      <c r="AG10" s="11">
        <f>SUM(AG6:AG9)</f>
        <v>0</v>
      </c>
      <c r="AH10" s="11"/>
      <c r="AI10" s="11">
        <f>SUM(AI6:AI9)</f>
        <v>0</v>
      </c>
      <c r="AJ10" s="11">
        <f>SUM(AJ6:AJ9)</f>
        <v>0</v>
      </c>
      <c r="AK10" s="11"/>
      <c r="AL10" s="11">
        <f>SUM(AL6:AL9)</f>
        <v>0</v>
      </c>
      <c r="AM10" s="11">
        <f>SUM(AM6:AM9)</f>
        <v>0</v>
      </c>
      <c r="AN10" s="11"/>
      <c r="AO10" s="11">
        <f>SUM(AO6:AO9)</f>
        <v>0</v>
      </c>
      <c r="AP10" s="11">
        <f>SUM(AP6:AP9)</f>
        <v>0</v>
      </c>
      <c r="AQ10" s="11"/>
      <c r="AR10" s="11">
        <f>SUM(AR6:AR9)</f>
        <v>0</v>
      </c>
      <c r="AS10" s="11">
        <f>SUM(AS6:AS9)</f>
        <v>0</v>
      </c>
      <c r="AT10" s="11"/>
      <c r="AU10" s="11"/>
      <c r="AV10" s="11"/>
      <c r="AW10" s="8"/>
      <c r="AX10" s="11"/>
      <c r="AY10" s="11"/>
      <c r="AZ10" s="8"/>
      <c r="BA10" s="11"/>
      <c r="BB10" s="11"/>
      <c r="BC10" s="8"/>
      <c r="BD10" s="11">
        <f>SUM(BD6:BD9)</f>
        <v>0</v>
      </c>
      <c r="BE10" s="11">
        <f>SUM(BE6:BE9)</f>
        <v>0</v>
      </c>
      <c r="BF10" s="8"/>
      <c r="BG10" s="11">
        <f>SUM(BG6:BG9)</f>
        <v>0</v>
      </c>
      <c r="BH10" s="11">
        <f>SUM(BH6:BH9)</f>
        <v>0</v>
      </c>
      <c r="BI10" s="8"/>
      <c r="BJ10" s="11">
        <f>SUM(BJ6:BJ9)</f>
        <v>0</v>
      </c>
      <c r="BK10" s="11">
        <f>SUM(BK6:BK9)</f>
        <v>0</v>
      </c>
      <c r="BL10" s="8"/>
      <c r="BM10" s="11">
        <f>SUM(BM6:BM9)</f>
        <v>0</v>
      </c>
      <c r="BN10" s="11">
        <f>SUM(BN6:BN9)</f>
        <v>0</v>
      </c>
      <c r="BO10" s="8"/>
      <c r="BP10" s="11">
        <f>SUM(BP6:BP9)</f>
        <v>47</v>
      </c>
      <c r="BQ10" s="11">
        <f>SUM(BQ6:BQ9)</f>
        <v>0</v>
      </c>
    </row>
    <row r="11" spans="1:69" ht="28.15" customHeight="1" x14ac:dyDescent="0.25">
      <c r="A11" s="1"/>
    </row>
    <row r="12" spans="1:69" ht="58.15" customHeight="1" x14ac:dyDescent="0.25">
      <c r="A12" s="1"/>
    </row>
    <row r="13" spans="1:69" ht="58.15" customHeight="1" x14ac:dyDescent="0.25">
      <c r="A13" s="1"/>
    </row>
    <row r="14" spans="1:69" ht="58.15" customHeight="1" x14ac:dyDescent="0.25">
      <c r="A14" s="1"/>
    </row>
    <row r="15" spans="1:69" ht="58.15" customHeight="1" x14ac:dyDescent="0.25">
      <c r="A15" s="1"/>
    </row>
    <row r="16" spans="1:69" ht="58.15" customHeight="1" x14ac:dyDescent="0.25">
      <c r="A16" s="1"/>
    </row>
    <row r="17" spans="1:1" ht="58.15" customHeight="1" x14ac:dyDescent="0.25">
      <c r="A17" s="1"/>
    </row>
    <row r="18" spans="1:1" ht="58.15" customHeight="1" x14ac:dyDescent="0.25">
      <c r="A18" s="1"/>
    </row>
    <row r="19" spans="1:1" ht="58.15" customHeight="1" x14ac:dyDescent="0.25">
      <c r="A19" s="1"/>
    </row>
    <row r="20" spans="1:1" ht="58.15" customHeight="1" x14ac:dyDescent="0.25">
      <c r="A20" s="1"/>
    </row>
    <row r="21" spans="1:1" ht="58.15" customHeight="1" x14ac:dyDescent="0.2"/>
    <row r="22" spans="1:1" ht="58.15" customHeight="1" x14ac:dyDescent="0.25">
      <c r="A22" s="1"/>
    </row>
    <row r="23" spans="1:1" ht="58.15" customHeight="1" x14ac:dyDescent="0.25">
      <c r="A23" s="1"/>
    </row>
    <row r="24" spans="1:1" ht="58.15" customHeight="1" x14ac:dyDescent="0.25">
      <c r="A24" s="1"/>
    </row>
    <row r="25" spans="1:1" ht="42.75" customHeight="1" x14ac:dyDescent="0.25">
      <c r="A25" s="1"/>
    </row>
    <row r="26" spans="1:1" ht="43.5" customHeight="1" x14ac:dyDescent="0.25">
      <c r="A26" s="1"/>
    </row>
    <row r="27" spans="1:1" ht="43.5" customHeight="1" x14ac:dyDescent="0.25">
      <c r="A27" s="1"/>
    </row>
    <row r="28" spans="1:1" ht="101.25" customHeight="1" x14ac:dyDescent="0.25">
      <c r="A28" s="1"/>
    </row>
    <row r="29" spans="1:1" ht="115.5" customHeight="1" x14ac:dyDescent="0.25">
      <c r="A29" s="1"/>
    </row>
    <row r="30" spans="1:1" ht="27.75" customHeight="1" x14ac:dyDescent="0.25">
      <c r="A30" s="1"/>
    </row>
    <row r="31" spans="1:1" ht="15" customHeight="1" x14ac:dyDescent="0.2"/>
    <row r="32" spans="1:1" ht="15" customHeight="1" x14ac:dyDescent="0.2"/>
    <row r="34" ht="31.5" customHeight="1" x14ac:dyDescent="0.2"/>
    <row r="35" ht="42.75" customHeight="1" x14ac:dyDescent="0.2"/>
    <row r="36" ht="43.5" customHeight="1" x14ac:dyDescent="0.2"/>
    <row r="37" ht="115.5" customHeight="1" x14ac:dyDescent="0.2"/>
    <row r="38" ht="87" customHeight="1" x14ac:dyDescent="0.2"/>
    <row r="39" ht="101.25" customHeight="1" x14ac:dyDescent="0.2"/>
    <row r="40" ht="27.75" customHeight="1" x14ac:dyDescent="0.2"/>
    <row r="41" ht="15" customHeight="1" x14ac:dyDescent="0.2"/>
    <row r="42" ht="15" customHeight="1" x14ac:dyDescent="0.2"/>
    <row r="44" ht="31.5" customHeight="1" x14ac:dyDescent="0.2"/>
    <row r="45" ht="42.75" customHeight="1" x14ac:dyDescent="0.2"/>
    <row r="46" ht="43.5" customHeight="1" x14ac:dyDescent="0.2"/>
    <row r="47" ht="87" customHeight="1" x14ac:dyDescent="0.2"/>
    <row r="48" ht="101.25" customHeight="1" x14ac:dyDescent="0.2"/>
    <row r="49" ht="115.5" customHeight="1" x14ac:dyDescent="0.2"/>
    <row r="50" ht="27.75" customHeight="1" x14ac:dyDescent="0.2"/>
    <row r="51" ht="15" customHeight="1" x14ac:dyDescent="0.2"/>
    <row r="52" ht="15" customHeight="1" x14ac:dyDescent="0.2"/>
    <row r="54" ht="27.75" customHeight="1" x14ac:dyDescent="0.2"/>
  </sheetData>
  <mergeCells count="23">
    <mergeCell ref="AL4:AM4"/>
    <mergeCell ref="B4:G4"/>
    <mergeCell ref="H4:I4"/>
    <mergeCell ref="K4:L4"/>
    <mergeCell ref="N4:O4"/>
    <mergeCell ref="Q4:R4"/>
    <mergeCell ref="T4:U4"/>
    <mergeCell ref="BG4:BH4"/>
    <mergeCell ref="BJ4:BK4"/>
    <mergeCell ref="BM4:BN4"/>
    <mergeCell ref="BP4:BQ4"/>
    <mergeCell ref="B10:F10"/>
    <mergeCell ref="AO4:AP4"/>
    <mergeCell ref="AR4:AS4"/>
    <mergeCell ref="AU4:AV4"/>
    <mergeCell ref="AX4:AY4"/>
    <mergeCell ref="BA4:BB4"/>
    <mergeCell ref="BD4:BE4"/>
    <mergeCell ref="W4:X4"/>
    <mergeCell ref="Z4:AA4"/>
    <mergeCell ref="AC4:AD4"/>
    <mergeCell ref="AF4:AG4"/>
    <mergeCell ref="AI4:AJ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4D3F-01D1-42E9-A783-4FCB08B20144}">
  <dimension ref="A1:BQ54"/>
  <sheetViews>
    <sheetView zoomScaleNormal="100" workbookViewId="0">
      <pane xSplit="4" topLeftCell="E1" activePane="topRight" state="frozen"/>
      <selection pane="topRight" activeCell="B9" sqref="B6:B9"/>
    </sheetView>
  </sheetViews>
  <sheetFormatPr baseColWidth="10" defaultColWidth="8.625" defaultRowHeight="14.25" x14ac:dyDescent="0.2"/>
  <cols>
    <col min="1" max="1" width="1.25" customWidth="1"/>
    <col min="2" max="2" width="14.375" customWidth="1"/>
    <col min="3" max="3" width="17.125" customWidth="1"/>
    <col min="4" max="4" width="18.25" customWidth="1"/>
    <col min="5" max="5" width="9.125" customWidth="1"/>
    <col min="6" max="6" width="10.375" customWidth="1"/>
    <col min="7" max="7" width="13.5" customWidth="1"/>
    <col min="8" max="8" width="5.125" customWidth="1"/>
    <col min="9" max="9" width="4.75" customWidth="1"/>
    <col min="10" max="10" width="2.375" customWidth="1"/>
    <col min="11" max="11" width="5.125" customWidth="1"/>
    <col min="12" max="12" width="4.75" customWidth="1"/>
    <col min="13" max="13" width="2.375" customWidth="1"/>
    <col min="14" max="14" width="5.125" customWidth="1"/>
    <col min="15" max="15" width="4.75" customWidth="1"/>
    <col min="16" max="16" width="2.375" customWidth="1"/>
    <col min="17" max="17" width="5.125" customWidth="1"/>
    <col min="18" max="18" width="4.75" customWidth="1"/>
    <col min="19" max="19" width="2.375" customWidth="1"/>
    <col min="20" max="20" width="5.125" customWidth="1"/>
    <col min="21" max="21" width="4.75" customWidth="1"/>
    <col min="22" max="22" width="2.375" customWidth="1"/>
    <col min="23" max="23" width="5.125" customWidth="1"/>
    <col min="24" max="24" width="4.75" customWidth="1"/>
    <col min="25" max="25" width="2.375" customWidth="1"/>
    <col min="26" max="26" width="5.125" customWidth="1"/>
    <col min="27" max="27" width="4.75" customWidth="1"/>
    <col min="28" max="28" width="2.375" customWidth="1"/>
    <col min="29" max="29" width="5.125" customWidth="1"/>
    <col min="30" max="30" width="4.75" customWidth="1"/>
    <col min="31" max="31" width="2.375" customWidth="1"/>
    <col min="32" max="32" width="5.125" customWidth="1"/>
    <col min="33" max="33" width="4.75" customWidth="1"/>
    <col min="34" max="34" width="2.375" customWidth="1"/>
    <col min="35" max="35" width="5.125" customWidth="1"/>
    <col min="36" max="36" width="4.75" customWidth="1"/>
    <col min="37" max="37" width="2.375" customWidth="1"/>
    <col min="38" max="38" width="5.125" customWidth="1"/>
    <col min="39" max="39" width="4.75" customWidth="1"/>
    <col min="40" max="40" width="2.375" customWidth="1"/>
    <col min="41" max="41" width="5.125" customWidth="1"/>
    <col min="42" max="42" width="4.75" customWidth="1"/>
    <col min="43" max="43" width="2.375" customWidth="1"/>
    <col min="44" max="44" width="5.125" customWidth="1"/>
    <col min="45" max="45" width="4.75" customWidth="1"/>
    <col min="46" max="46" width="2.375" customWidth="1"/>
    <col min="47" max="47" width="5.125" customWidth="1"/>
    <col min="48" max="48" width="4.75" customWidth="1"/>
    <col min="49" max="49" width="2.375" customWidth="1"/>
    <col min="50" max="50" width="5.125" customWidth="1"/>
    <col min="51" max="51" width="4.75" customWidth="1"/>
    <col min="52" max="52" width="2.375" customWidth="1"/>
    <col min="53" max="53" width="5.125" customWidth="1"/>
    <col min="54" max="54" width="4.75" customWidth="1"/>
    <col min="55" max="55" width="2.375" customWidth="1"/>
    <col min="56" max="56" width="5.125" hidden="1" customWidth="1"/>
    <col min="57" max="57" width="4.75" hidden="1" customWidth="1"/>
    <col min="58" max="58" width="2.375" hidden="1" customWidth="1"/>
    <col min="59" max="59" width="5.125" hidden="1" customWidth="1"/>
    <col min="60" max="60" width="4.75" hidden="1" customWidth="1"/>
    <col min="61" max="61" width="2.375" hidden="1" customWidth="1"/>
    <col min="62" max="62" width="5.125" hidden="1" customWidth="1"/>
    <col min="63" max="63" width="4.75" hidden="1" customWidth="1"/>
    <col min="64" max="64" width="2.375" hidden="1" customWidth="1"/>
    <col min="65" max="65" width="5.125" hidden="1" customWidth="1"/>
    <col min="66" max="66" width="4.75" hidden="1" customWidth="1"/>
    <col min="67" max="67" width="2.375" hidden="1" customWidth="1"/>
    <col min="68" max="68" width="5.125" customWidth="1"/>
    <col min="69" max="69" width="4.75" customWidth="1"/>
  </cols>
  <sheetData>
    <row r="1" spans="1:69" ht="28.5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customHeight="1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35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1.5" customHeight="1" x14ac:dyDescent="0.25">
      <c r="A4" s="1"/>
      <c r="B4" s="31" t="s">
        <v>63</v>
      </c>
      <c r="C4" s="32"/>
      <c r="D4" s="32"/>
      <c r="E4" s="32"/>
      <c r="F4" s="32"/>
      <c r="G4" s="32"/>
      <c r="H4" s="26" t="s">
        <v>3</v>
      </c>
      <c r="I4" s="26"/>
      <c r="J4" s="4"/>
      <c r="K4" s="26" t="s">
        <v>4</v>
      </c>
      <c r="L4" s="26"/>
      <c r="M4" s="4"/>
      <c r="N4" s="26" t="s">
        <v>5</v>
      </c>
      <c r="O4" s="26"/>
      <c r="P4" s="4"/>
      <c r="Q4" s="26" t="s">
        <v>6</v>
      </c>
      <c r="R4" s="26"/>
      <c r="S4" s="4"/>
      <c r="T4" s="26" t="s">
        <v>7</v>
      </c>
      <c r="U4" s="26"/>
      <c r="V4" s="4"/>
      <c r="W4" s="26" t="s">
        <v>8</v>
      </c>
      <c r="X4" s="26"/>
      <c r="Y4" s="4"/>
      <c r="Z4" s="26" t="s">
        <v>9</v>
      </c>
      <c r="AA4" s="26"/>
      <c r="AB4" s="4"/>
      <c r="AC4" s="30" t="s">
        <v>20</v>
      </c>
      <c r="AD4" s="26"/>
      <c r="AE4" s="4"/>
      <c r="AF4" s="30" t="s">
        <v>21</v>
      </c>
      <c r="AG4" s="26"/>
      <c r="AH4" s="4"/>
      <c r="AI4" s="30" t="s">
        <v>22</v>
      </c>
      <c r="AJ4" s="26"/>
      <c r="AK4" s="4"/>
      <c r="AL4" s="30" t="s">
        <v>23</v>
      </c>
      <c r="AM4" s="26"/>
      <c r="AN4" s="4"/>
      <c r="AO4" s="30" t="s">
        <v>24</v>
      </c>
      <c r="AP4" s="26"/>
      <c r="AQ4" s="4"/>
      <c r="AR4" s="30" t="s">
        <v>25</v>
      </c>
      <c r="AS4" s="26"/>
      <c r="AT4" s="4"/>
      <c r="AU4" s="30" t="s">
        <v>29</v>
      </c>
      <c r="AV4" s="26"/>
      <c r="AW4" s="4"/>
      <c r="AX4" s="33"/>
      <c r="AY4" s="34"/>
      <c r="AZ4" s="4"/>
      <c r="BA4" s="33"/>
      <c r="BB4" s="34"/>
      <c r="BC4" s="4"/>
      <c r="BD4" s="26"/>
      <c r="BE4" s="26"/>
      <c r="BF4" s="4"/>
      <c r="BG4" s="26"/>
      <c r="BH4" s="26"/>
      <c r="BI4" s="4"/>
      <c r="BJ4" s="26"/>
      <c r="BK4" s="26"/>
      <c r="BL4" s="4"/>
      <c r="BM4" s="26"/>
      <c r="BN4" s="26"/>
      <c r="BO4" s="4"/>
      <c r="BP4" s="26" t="s">
        <v>10</v>
      </c>
      <c r="BQ4" s="26"/>
    </row>
    <row r="5" spans="1:69" ht="42.75" customHeight="1" x14ac:dyDescent="0.25">
      <c r="A5" s="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5" t="s">
        <v>17</v>
      </c>
      <c r="I5" s="5" t="s">
        <v>18</v>
      </c>
      <c r="J5" s="5"/>
      <c r="K5" s="5" t="s">
        <v>17</v>
      </c>
      <c r="L5" s="5" t="s">
        <v>18</v>
      </c>
      <c r="M5" s="5"/>
      <c r="N5" s="5" t="s">
        <v>17</v>
      </c>
      <c r="O5" s="5" t="s">
        <v>18</v>
      </c>
      <c r="P5" s="5"/>
      <c r="Q5" s="5" t="s">
        <v>17</v>
      </c>
      <c r="R5" s="5" t="s">
        <v>18</v>
      </c>
      <c r="S5" s="5"/>
      <c r="T5" s="5" t="s">
        <v>17</v>
      </c>
      <c r="U5" s="5" t="s">
        <v>18</v>
      </c>
      <c r="V5" s="5"/>
      <c r="W5" s="5" t="s">
        <v>17</v>
      </c>
      <c r="X5" s="5" t="s">
        <v>18</v>
      </c>
      <c r="Y5" s="5"/>
      <c r="Z5" s="5" t="s">
        <v>17</v>
      </c>
      <c r="AA5" s="5" t="s">
        <v>18</v>
      </c>
      <c r="AB5" s="5"/>
      <c r="AC5" s="5" t="s">
        <v>17</v>
      </c>
      <c r="AD5" s="5" t="s">
        <v>18</v>
      </c>
      <c r="AE5" s="5"/>
      <c r="AF5" s="5" t="s">
        <v>17</v>
      </c>
      <c r="AG5" s="5" t="s">
        <v>18</v>
      </c>
      <c r="AH5" s="5"/>
      <c r="AI5" s="5" t="s">
        <v>17</v>
      </c>
      <c r="AJ5" s="5" t="s">
        <v>18</v>
      </c>
      <c r="AK5" s="5"/>
      <c r="AL5" s="5" t="s">
        <v>17</v>
      </c>
      <c r="AM5" s="5" t="s">
        <v>18</v>
      </c>
      <c r="AN5" s="5"/>
      <c r="AO5" s="5" t="s">
        <v>17</v>
      </c>
      <c r="AP5" s="5" t="s">
        <v>18</v>
      </c>
      <c r="AQ5" s="5"/>
      <c r="AR5" s="5" t="s">
        <v>17</v>
      </c>
      <c r="AS5" s="5" t="s">
        <v>18</v>
      </c>
      <c r="AT5" s="5"/>
      <c r="AU5" s="5" t="s">
        <v>17</v>
      </c>
      <c r="AV5" s="5" t="s">
        <v>18</v>
      </c>
      <c r="AW5" s="5"/>
      <c r="AX5" s="5"/>
      <c r="AY5" s="5"/>
      <c r="AZ5" s="5"/>
      <c r="BA5" s="5"/>
      <c r="BB5" s="5"/>
      <c r="BC5" s="5"/>
      <c r="BD5" s="5" t="s">
        <v>17</v>
      </c>
      <c r="BE5" s="5" t="s">
        <v>18</v>
      </c>
      <c r="BF5" s="5"/>
      <c r="BG5" s="5" t="s">
        <v>17</v>
      </c>
      <c r="BH5" s="5" t="s">
        <v>18</v>
      </c>
      <c r="BI5" s="5"/>
      <c r="BJ5" s="5" t="s">
        <v>17</v>
      </c>
      <c r="BK5" s="5" t="s">
        <v>18</v>
      </c>
      <c r="BL5" s="5"/>
      <c r="BM5" s="5" t="s">
        <v>17</v>
      </c>
      <c r="BN5" s="5" t="s">
        <v>18</v>
      </c>
      <c r="BO5" s="5"/>
      <c r="BP5" s="5" t="s">
        <v>17</v>
      </c>
      <c r="BQ5" s="5" t="s">
        <v>18</v>
      </c>
    </row>
    <row r="6" spans="1:69" ht="58.15" customHeight="1" x14ac:dyDescent="0.25">
      <c r="A6" s="1"/>
      <c r="B6" s="35" t="s">
        <v>33</v>
      </c>
      <c r="C6" s="6" t="s">
        <v>62</v>
      </c>
      <c r="D6" s="13" t="s">
        <v>34</v>
      </c>
      <c r="E6" s="23" t="s">
        <v>67</v>
      </c>
      <c r="F6" s="16" t="str">
        <f>IF(BQ6&lt;=0,"Finalizado",IF(BP6&gt;0,"En proceso","Por iniciar"))</f>
        <v>Finalizado</v>
      </c>
      <c r="G6" s="19">
        <v>1</v>
      </c>
      <c r="H6" s="14">
        <v>1</v>
      </c>
      <c r="I6" s="19">
        <f>G6-H6</f>
        <v>0</v>
      </c>
      <c r="J6" s="8"/>
      <c r="K6" s="7"/>
      <c r="L6" s="7">
        <f>I6-K6</f>
        <v>0</v>
      </c>
      <c r="M6" s="8"/>
      <c r="N6" s="18"/>
      <c r="O6" s="7">
        <f>L6-N6</f>
        <v>0</v>
      </c>
      <c r="P6" s="8"/>
      <c r="Q6" s="7"/>
      <c r="R6" s="7">
        <f>O6-Q6</f>
        <v>0</v>
      </c>
      <c r="S6" s="8"/>
      <c r="T6" s="7"/>
      <c r="U6" s="7">
        <f>R6-T6</f>
        <v>0</v>
      </c>
      <c r="V6" s="8"/>
      <c r="W6" s="7"/>
      <c r="X6" s="7">
        <f>U6-W6</f>
        <v>0</v>
      </c>
      <c r="Y6" s="8"/>
      <c r="Z6" s="7"/>
      <c r="AA6" s="7">
        <f>X6-Z6</f>
        <v>0</v>
      </c>
      <c r="AB6" s="8"/>
      <c r="AC6" s="7"/>
      <c r="AD6" s="7">
        <f t="shared" ref="AD6:AD9" si="0">AA6-AC6</f>
        <v>0</v>
      </c>
      <c r="AE6" s="8"/>
      <c r="AF6" s="7"/>
      <c r="AG6" s="7">
        <f t="shared" ref="AG6:AG9" si="1">AD6-AF6</f>
        <v>0</v>
      </c>
      <c r="AH6" s="8"/>
      <c r="AI6" s="7"/>
      <c r="AJ6" s="7">
        <f t="shared" ref="AJ6:AJ9" si="2">AG6-AI6</f>
        <v>0</v>
      </c>
      <c r="AK6" s="8"/>
      <c r="AL6" s="7"/>
      <c r="AM6" s="7">
        <f t="shared" ref="AM6:AM9" si="3">AJ6-AL6</f>
        <v>0</v>
      </c>
      <c r="AN6" s="8"/>
      <c r="AO6" s="7"/>
      <c r="AP6" s="7">
        <f t="shared" ref="AP6:AP9" si="4">AM6-AO6</f>
        <v>0</v>
      </c>
      <c r="AQ6" s="8"/>
      <c r="AR6" s="7"/>
      <c r="AS6" s="7">
        <f t="shared" ref="AS6:AS9" si="5">AP6-AR6</f>
        <v>0</v>
      </c>
      <c r="AT6" s="8"/>
      <c r="AU6" s="7"/>
      <c r="AV6" s="7">
        <f t="shared" ref="AV6:AV9" si="6">AS6-AU6</f>
        <v>0</v>
      </c>
      <c r="AW6" s="8"/>
      <c r="AX6" s="7"/>
      <c r="AY6" s="7">
        <f t="shared" ref="AY6:AY9" si="7">AV6-AX6</f>
        <v>0</v>
      </c>
      <c r="AZ6" s="8"/>
      <c r="BA6" s="7"/>
      <c r="BB6" s="7">
        <f t="shared" ref="BB6:BB9" si="8">AY6-BA6</f>
        <v>0</v>
      </c>
      <c r="BC6" s="8"/>
      <c r="BD6" s="7"/>
      <c r="BE6" s="7">
        <f>BB6-BD6</f>
        <v>0</v>
      </c>
      <c r="BF6" s="8"/>
      <c r="BG6" s="7"/>
      <c r="BH6" s="7">
        <f>BE6-BG6</f>
        <v>0</v>
      </c>
      <c r="BI6" s="8"/>
      <c r="BJ6" s="7"/>
      <c r="BK6" s="7">
        <f>BH6-BJ6</f>
        <v>0</v>
      </c>
      <c r="BL6" s="8"/>
      <c r="BM6" s="7"/>
      <c r="BN6" s="7">
        <f>BK6-BM6</f>
        <v>0</v>
      </c>
      <c r="BO6" s="8"/>
      <c r="BP6" s="9">
        <f>H6+K6+N6+Q6+T6+W6+Z6+AC6+AF6+AI6+AL6+AO6+AR6+AU6+AX6+BA6+BD6+BG6+BJ6+BM6</f>
        <v>1</v>
      </c>
      <c r="BQ6" s="9">
        <f>G6-BP6</f>
        <v>0</v>
      </c>
    </row>
    <row r="7" spans="1:69" ht="58.15" customHeight="1" x14ac:dyDescent="0.25">
      <c r="A7" s="1"/>
      <c r="B7" s="35" t="s">
        <v>28</v>
      </c>
      <c r="C7" s="25" t="s">
        <v>70</v>
      </c>
      <c r="D7" s="13" t="s">
        <v>35</v>
      </c>
      <c r="E7" s="23" t="s">
        <v>68</v>
      </c>
      <c r="F7" s="16" t="str">
        <f>IF(BQ7&lt;=0,"Finalizado",IF(BP7&gt;0,"En proceso","Por iniciar"))</f>
        <v>En proceso</v>
      </c>
      <c r="G7" s="19">
        <v>39</v>
      </c>
      <c r="H7" s="14">
        <v>4</v>
      </c>
      <c r="I7" s="19">
        <f>G7-H7</f>
        <v>35</v>
      </c>
      <c r="J7" s="8"/>
      <c r="K7" s="7">
        <v>5</v>
      </c>
      <c r="L7" s="7">
        <f t="shared" ref="L7:L9" si="9">I7-K7</f>
        <v>30</v>
      </c>
      <c r="M7" s="8"/>
      <c r="N7" s="18">
        <v>5</v>
      </c>
      <c r="O7" s="7">
        <f>L7-N7</f>
        <v>25</v>
      </c>
      <c r="P7" s="8"/>
      <c r="Q7" s="7">
        <v>7</v>
      </c>
      <c r="R7" s="7">
        <f>O7-Q7</f>
        <v>18</v>
      </c>
      <c r="S7" s="8"/>
      <c r="T7" s="7">
        <v>6</v>
      </c>
      <c r="U7" s="7">
        <f>R7-T7</f>
        <v>12</v>
      </c>
      <c r="V7" s="8"/>
      <c r="W7" s="7">
        <v>7</v>
      </c>
      <c r="X7" s="7">
        <f>U7-W7</f>
        <v>5</v>
      </c>
      <c r="Y7" s="8"/>
      <c r="Z7" s="7">
        <v>4</v>
      </c>
      <c r="AA7" s="7">
        <f>X7-Z7</f>
        <v>1</v>
      </c>
      <c r="AB7" s="8"/>
      <c r="AC7" s="7"/>
      <c r="AD7" s="7">
        <f t="shared" si="0"/>
        <v>1</v>
      </c>
      <c r="AE7" s="8"/>
      <c r="AF7" s="7"/>
      <c r="AG7" s="7">
        <f t="shared" si="1"/>
        <v>1</v>
      </c>
      <c r="AH7" s="8"/>
      <c r="AI7" s="7"/>
      <c r="AJ7" s="7">
        <f t="shared" si="2"/>
        <v>1</v>
      </c>
      <c r="AK7" s="8"/>
      <c r="AL7" s="7"/>
      <c r="AM7" s="7">
        <f t="shared" si="3"/>
        <v>1</v>
      </c>
      <c r="AN7" s="8"/>
      <c r="AO7" s="7"/>
      <c r="AP7" s="7">
        <f t="shared" si="4"/>
        <v>1</v>
      </c>
      <c r="AQ7" s="8"/>
      <c r="AR7" s="7"/>
      <c r="AS7" s="7">
        <f t="shared" si="5"/>
        <v>1</v>
      </c>
      <c r="AT7" s="8"/>
      <c r="AU7" s="7"/>
      <c r="AV7" s="7">
        <f t="shared" si="6"/>
        <v>1</v>
      </c>
      <c r="AW7" s="8"/>
      <c r="AX7" s="7"/>
      <c r="AY7" s="7">
        <f t="shared" si="7"/>
        <v>1</v>
      </c>
      <c r="AZ7" s="8"/>
      <c r="BA7" s="7"/>
      <c r="BB7" s="7">
        <f t="shared" si="8"/>
        <v>1</v>
      </c>
      <c r="BC7" s="8"/>
      <c r="BD7" s="7"/>
      <c r="BE7" s="7">
        <f>BB7-BD7</f>
        <v>1</v>
      </c>
      <c r="BF7" s="8"/>
      <c r="BG7" s="7"/>
      <c r="BH7" s="7">
        <f>BE7-BG7</f>
        <v>1</v>
      </c>
      <c r="BI7" s="8"/>
      <c r="BJ7" s="7"/>
      <c r="BK7" s="7">
        <f>BH7-BJ7</f>
        <v>1</v>
      </c>
      <c r="BL7" s="8"/>
      <c r="BM7" s="7"/>
      <c r="BN7" s="7">
        <f>BK7-BM7</f>
        <v>1</v>
      </c>
      <c r="BO7" s="8"/>
      <c r="BP7" s="9">
        <f>H7+K7+N7+Q7+T7+W7+Z7+AC7+AF7+AI7+AL7+AO7+AR7+AU7+AX7+BA7+BD7+BG7+BJ7+BM7</f>
        <v>38</v>
      </c>
      <c r="BQ7" s="9">
        <f>G7-BP7</f>
        <v>1</v>
      </c>
    </row>
    <row r="8" spans="1:69" ht="58.15" customHeight="1" x14ac:dyDescent="0.25">
      <c r="A8" s="1"/>
      <c r="B8" s="35" t="s">
        <v>27</v>
      </c>
      <c r="C8" s="20" t="s">
        <v>44</v>
      </c>
      <c r="D8" s="13" t="s">
        <v>36</v>
      </c>
      <c r="E8" s="23" t="s">
        <v>65</v>
      </c>
      <c r="F8" s="16" t="str">
        <f>IF(BQ8&lt;=0,"Finalizado",IF(BP8&gt;0,"En proceso","Por iniciar"))</f>
        <v>Finalizado</v>
      </c>
      <c r="G8" s="19">
        <v>36</v>
      </c>
      <c r="H8" s="14"/>
      <c r="I8" s="19">
        <f t="shared" ref="I8:I9" si="10">G8-H8</f>
        <v>36</v>
      </c>
      <c r="J8" s="8"/>
      <c r="K8" s="7"/>
      <c r="L8" s="7">
        <f t="shared" si="9"/>
        <v>36</v>
      </c>
      <c r="M8" s="8"/>
      <c r="N8" s="7"/>
      <c r="O8" s="7">
        <f>L8-N8</f>
        <v>36</v>
      </c>
      <c r="P8" s="8"/>
      <c r="Q8" s="7"/>
      <c r="R8" s="7">
        <f>O8-Q8</f>
        <v>36</v>
      </c>
      <c r="S8" s="8"/>
      <c r="T8" s="7"/>
      <c r="U8" s="7">
        <f>R8-T8</f>
        <v>36</v>
      </c>
      <c r="V8" s="8"/>
      <c r="W8" s="7"/>
      <c r="X8" s="7">
        <f>U8-W8</f>
        <v>36</v>
      </c>
      <c r="Y8" s="8"/>
      <c r="Z8" s="7">
        <v>3</v>
      </c>
      <c r="AA8" s="7">
        <f>X8-Z8</f>
        <v>33</v>
      </c>
      <c r="AB8" s="8"/>
      <c r="AC8" s="7">
        <v>7</v>
      </c>
      <c r="AD8" s="7">
        <f t="shared" si="0"/>
        <v>26</v>
      </c>
      <c r="AE8" s="8"/>
      <c r="AF8" s="7">
        <v>6</v>
      </c>
      <c r="AG8" s="7">
        <f t="shared" si="1"/>
        <v>20</v>
      </c>
      <c r="AH8" s="8"/>
      <c r="AI8" s="7">
        <v>8</v>
      </c>
      <c r="AJ8" s="7">
        <f t="shared" si="2"/>
        <v>12</v>
      </c>
      <c r="AK8" s="8"/>
      <c r="AL8" s="7">
        <v>7</v>
      </c>
      <c r="AM8" s="7">
        <f t="shared" si="3"/>
        <v>5</v>
      </c>
      <c r="AN8" s="8"/>
      <c r="AO8" s="7">
        <v>5</v>
      </c>
      <c r="AP8" s="7">
        <f t="shared" si="4"/>
        <v>0</v>
      </c>
      <c r="AQ8" s="8"/>
      <c r="AR8" s="7"/>
      <c r="AS8" s="7">
        <f t="shared" si="5"/>
        <v>0</v>
      </c>
      <c r="AT8" s="8"/>
      <c r="AU8" s="7"/>
      <c r="AV8" s="7">
        <f t="shared" si="6"/>
        <v>0</v>
      </c>
      <c r="AW8" s="8"/>
      <c r="AX8" s="7"/>
      <c r="AY8" s="7">
        <f t="shared" si="7"/>
        <v>0</v>
      </c>
      <c r="AZ8" s="8"/>
      <c r="BA8" s="7"/>
      <c r="BB8" s="7">
        <f t="shared" si="8"/>
        <v>0</v>
      </c>
      <c r="BC8" s="8"/>
      <c r="BD8" s="7"/>
      <c r="BE8" s="7">
        <f>BB8-BD8</f>
        <v>0</v>
      </c>
      <c r="BF8" s="8"/>
      <c r="BG8" s="7"/>
      <c r="BH8" s="7">
        <f>BE8-BG8</f>
        <v>0</v>
      </c>
      <c r="BI8" s="8"/>
      <c r="BJ8" s="7"/>
      <c r="BK8" s="7">
        <f>BH8-BJ8</f>
        <v>0</v>
      </c>
      <c r="BL8" s="8"/>
      <c r="BM8" s="7"/>
      <c r="BN8" s="7">
        <f>BK8-BM8</f>
        <v>0</v>
      </c>
      <c r="BO8" s="8"/>
      <c r="BP8" s="9">
        <f>H8+K8+N8+Q8+T8+W8+Z8+AC8+AF8+AI8+AL8+AO8+AR8+AU8+AX8+BA8+BD8+BG8+BJ8+BM8</f>
        <v>36</v>
      </c>
      <c r="BQ8" s="9">
        <f>G8-BP8</f>
        <v>0</v>
      </c>
    </row>
    <row r="9" spans="1:69" ht="58.15" customHeight="1" x14ac:dyDescent="0.25">
      <c r="A9" s="1"/>
      <c r="B9" s="35" t="s">
        <v>28</v>
      </c>
      <c r="C9" s="21" t="s">
        <v>45</v>
      </c>
      <c r="D9" s="13" t="s">
        <v>54</v>
      </c>
      <c r="E9" s="23" t="s">
        <v>68</v>
      </c>
      <c r="F9" s="16" t="str">
        <f t="shared" ref="F9" si="11">IF(BQ9&lt;=0,"Finalizado",IF(BP9&gt;0,"En proceso","Por iniciar"))</f>
        <v>Finalizado</v>
      </c>
      <c r="G9" s="19">
        <v>15</v>
      </c>
      <c r="H9" s="14"/>
      <c r="I9" s="19">
        <f t="shared" si="10"/>
        <v>15</v>
      </c>
      <c r="J9" s="8"/>
      <c r="K9" s="7"/>
      <c r="L9" s="7">
        <f t="shared" si="9"/>
        <v>15</v>
      </c>
      <c r="M9" s="8"/>
      <c r="N9" s="7"/>
      <c r="O9" s="7">
        <f t="shared" ref="O9" si="12">L9-N9</f>
        <v>15</v>
      </c>
      <c r="P9" s="8"/>
      <c r="Q9" s="7"/>
      <c r="R9" s="7">
        <f t="shared" ref="R9" si="13">O9-Q9</f>
        <v>15</v>
      </c>
      <c r="S9" s="8"/>
      <c r="T9" s="7"/>
      <c r="U9" s="7">
        <f>R9-T9</f>
        <v>15</v>
      </c>
      <c r="V9" s="8"/>
      <c r="W9" s="7"/>
      <c r="X9" s="7">
        <f t="shared" ref="X9" si="14">U9-W9</f>
        <v>15</v>
      </c>
      <c r="Y9" s="8"/>
      <c r="Z9" s="7"/>
      <c r="AA9" s="7">
        <f t="shared" ref="AA9" si="15">X9-Z9</f>
        <v>15</v>
      </c>
      <c r="AB9" s="8"/>
      <c r="AC9" s="7"/>
      <c r="AD9" s="7">
        <f t="shared" si="0"/>
        <v>15</v>
      </c>
      <c r="AE9" s="8"/>
      <c r="AF9" s="7"/>
      <c r="AG9" s="7">
        <f t="shared" si="1"/>
        <v>15</v>
      </c>
      <c r="AH9" s="8"/>
      <c r="AI9" s="7"/>
      <c r="AJ9" s="7">
        <f t="shared" si="2"/>
        <v>15</v>
      </c>
      <c r="AK9" s="8"/>
      <c r="AL9" s="7"/>
      <c r="AM9" s="7">
        <f t="shared" si="3"/>
        <v>15</v>
      </c>
      <c r="AN9" s="8"/>
      <c r="AO9" s="7">
        <v>2</v>
      </c>
      <c r="AP9" s="7">
        <f t="shared" si="4"/>
        <v>13</v>
      </c>
      <c r="AQ9" s="8"/>
      <c r="AR9" s="7">
        <v>7</v>
      </c>
      <c r="AS9" s="7">
        <f t="shared" si="5"/>
        <v>6</v>
      </c>
      <c r="AT9" s="8"/>
      <c r="AU9" s="7">
        <v>7</v>
      </c>
      <c r="AV9" s="7">
        <f t="shared" si="6"/>
        <v>-1</v>
      </c>
      <c r="AW9" s="8"/>
      <c r="AX9" s="7"/>
      <c r="AY9" s="7">
        <f t="shared" si="7"/>
        <v>-1</v>
      </c>
      <c r="AZ9" s="8"/>
      <c r="BA9" s="7"/>
      <c r="BB9" s="7">
        <f t="shared" si="8"/>
        <v>-1</v>
      </c>
      <c r="BC9" s="8"/>
      <c r="BP9" s="9">
        <f>H9+K9+N9+Q9+T9+W9+Z9+AC9+AF9+AI9+AL9+AO9+AR9+AU9+AX9+BA9+BD9+BG9+BJ9+BM9</f>
        <v>16</v>
      </c>
      <c r="BQ9" s="9">
        <f t="shared" ref="BQ9" si="16">G9-BP9</f>
        <v>-1</v>
      </c>
    </row>
    <row r="10" spans="1:69" ht="25.9" customHeight="1" x14ac:dyDescent="0.25">
      <c r="A10" s="1"/>
      <c r="B10" s="27" t="s">
        <v>19</v>
      </c>
      <c r="C10" s="28"/>
      <c r="D10" s="28"/>
      <c r="E10" s="28"/>
      <c r="F10" s="29"/>
      <c r="G10" s="10">
        <f>SUM(G6:G9)</f>
        <v>91</v>
      </c>
      <c r="H10" s="11">
        <f>SUM(H6:H9)</f>
        <v>5</v>
      </c>
      <c r="I10" s="11">
        <f>SUM(I6:I9)</f>
        <v>86</v>
      </c>
      <c r="J10" s="11"/>
      <c r="K10" s="11">
        <f>SUM(K6:K9)</f>
        <v>5</v>
      </c>
      <c r="L10" s="11">
        <f>SUM(L6:L9)</f>
        <v>81</v>
      </c>
      <c r="M10" s="11"/>
      <c r="N10" s="11">
        <f>SUM(N6:N9)</f>
        <v>5</v>
      </c>
      <c r="O10" s="11">
        <f>SUM(O6:O9)</f>
        <v>76</v>
      </c>
      <c r="P10" s="11"/>
      <c r="Q10" s="11">
        <f>SUM(Q6:Q9)</f>
        <v>7</v>
      </c>
      <c r="R10" s="11">
        <f>SUM(R6:R9)</f>
        <v>69</v>
      </c>
      <c r="S10" s="11"/>
      <c r="T10" s="11">
        <f>SUM(T6:T9)</f>
        <v>6</v>
      </c>
      <c r="U10" s="11">
        <f>SUM(U6:U9)</f>
        <v>63</v>
      </c>
      <c r="V10" s="11"/>
      <c r="W10" s="11">
        <f>SUM(W6:W9)</f>
        <v>7</v>
      </c>
      <c r="X10" s="11">
        <f>SUM(X6:X9)</f>
        <v>56</v>
      </c>
      <c r="Y10" s="11"/>
      <c r="Z10" s="11">
        <f>SUM(Z6:Z9)</f>
        <v>7</v>
      </c>
      <c r="AA10" s="11">
        <f>SUM(AA6:AA9)</f>
        <v>49</v>
      </c>
      <c r="AB10" s="11"/>
      <c r="AC10" s="11">
        <f>SUM(AC6:AC9)</f>
        <v>7</v>
      </c>
      <c r="AD10" s="11">
        <f>SUM(AD6:AD9)</f>
        <v>42</v>
      </c>
      <c r="AE10" s="11"/>
      <c r="AF10" s="11">
        <f>SUM(AF6:AF9)</f>
        <v>6</v>
      </c>
      <c r="AG10" s="11">
        <f>SUM(AG6:AG9)</f>
        <v>36</v>
      </c>
      <c r="AH10" s="11"/>
      <c r="AI10" s="11">
        <f>SUM(AI6:AI9)</f>
        <v>8</v>
      </c>
      <c r="AJ10" s="11">
        <f>SUM(AJ6:AJ9)</f>
        <v>28</v>
      </c>
      <c r="AK10" s="11"/>
      <c r="AL10" s="11">
        <f>SUM(AL6:AL9)</f>
        <v>7</v>
      </c>
      <c r="AM10" s="11">
        <f>SUM(AM6:AM9)</f>
        <v>21</v>
      </c>
      <c r="AN10" s="11"/>
      <c r="AO10" s="11">
        <f>SUM(AO6:AO9)</f>
        <v>7</v>
      </c>
      <c r="AP10" s="11">
        <f>SUM(AP6:AP9)</f>
        <v>14</v>
      </c>
      <c r="AQ10" s="11"/>
      <c r="AR10" s="11">
        <f>SUM(AR6:AR9)</f>
        <v>7</v>
      </c>
      <c r="AS10" s="11">
        <f>SUM(AS6:AS9)</f>
        <v>7</v>
      </c>
      <c r="AT10" s="11"/>
      <c r="AU10" s="11"/>
      <c r="AV10" s="11"/>
      <c r="AW10" s="8"/>
      <c r="AX10" s="11"/>
      <c r="AY10" s="11"/>
      <c r="AZ10" s="8"/>
      <c r="BA10" s="11"/>
      <c r="BB10" s="11"/>
      <c r="BC10" s="8"/>
      <c r="BD10" s="11">
        <f>SUM(BD6:BD9)</f>
        <v>0</v>
      </c>
      <c r="BE10" s="11">
        <f>SUM(BE6:BE9)</f>
        <v>1</v>
      </c>
      <c r="BF10" s="8"/>
      <c r="BG10" s="11">
        <f>SUM(BG6:BG9)</f>
        <v>0</v>
      </c>
      <c r="BH10" s="11">
        <f>SUM(BH6:BH9)</f>
        <v>1</v>
      </c>
      <c r="BI10" s="8"/>
      <c r="BJ10" s="11">
        <f>SUM(BJ6:BJ9)</f>
        <v>0</v>
      </c>
      <c r="BK10" s="11">
        <f>SUM(BK6:BK9)</f>
        <v>1</v>
      </c>
      <c r="BL10" s="8"/>
      <c r="BM10" s="11">
        <f>SUM(BM6:BM9)</f>
        <v>0</v>
      </c>
      <c r="BN10" s="11">
        <f>SUM(BN6:BN9)</f>
        <v>1</v>
      </c>
      <c r="BO10" s="8"/>
      <c r="BP10" s="11">
        <f>SUM(BP6:BP9)</f>
        <v>91</v>
      </c>
      <c r="BQ10" s="11">
        <f>SUM(BQ6:BQ9)</f>
        <v>0</v>
      </c>
    </row>
    <row r="11" spans="1:69" ht="28.15" customHeight="1" x14ac:dyDescent="0.25">
      <c r="A11" s="1"/>
    </row>
    <row r="12" spans="1:69" ht="58.15" customHeight="1" x14ac:dyDescent="0.25">
      <c r="A12" s="1"/>
    </row>
    <row r="13" spans="1:69" ht="58.15" customHeight="1" x14ac:dyDescent="0.25">
      <c r="A13" s="1"/>
    </row>
    <row r="14" spans="1:69" ht="58.15" customHeight="1" x14ac:dyDescent="0.25">
      <c r="A14" s="1"/>
    </row>
    <row r="15" spans="1:69" ht="58.15" customHeight="1" x14ac:dyDescent="0.25">
      <c r="A15" s="1"/>
    </row>
    <row r="16" spans="1:69" ht="58.15" customHeight="1" x14ac:dyDescent="0.25">
      <c r="A16" s="1"/>
    </row>
    <row r="17" spans="1:1" ht="58.15" customHeight="1" x14ac:dyDescent="0.25">
      <c r="A17" s="1"/>
    </row>
    <row r="18" spans="1:1" ht="58.15" customHeight="1" x14ac:dyDescent="0.25">
      <c r="A18" s="1"/>
    </row>
    <row r="19" spans="1:1" ht="58.15" customHeight="1" x14ac:dyDescent="0.25">
      <c r="A19" s="1"/>
    </row>
    <row r="20" spans="1:1" ht="58.15" customHeight="1" x14ac:dyDescent="0.25">
      <c r="A20" s="1"/>
    </row>
    <row r="21" spans="1:1" ht="58.15" customHeight="1" x14ac:dyDescent="0.2"/>
    <row r="22" spans="1:1" ht="58.15" customHeight="1" x14ac:dyDescent="0.25">
      <c r="A22" s="1"/>
    </row>
    <row r="23" spans="1:1" ht="58.15" customHeight="1" x14ac:dyDescent="0.25">
      <c r="A23" s="1"/>
    </row>
    <row r="24" spans="1:1" ht="58.15" customHeight="1" x14ac:dyDescent="0.25">
      <c r="A24" s="1"/>
    </row>
    <row r="25" spans="1:1" ht="42.75" customHeight="1" x14ac:dyDescent="0.25">
      <c r="A25" s="1"/>
    </row>
    <row r="26" spans="1:1" ht="43.5" customHeight="1" x14ac:dyDescent="0.25">
      <c r="A26" s="1"/>
    </row>
    <row r="27" spans="1:1" ht="43.5" customHeight="1" x14ac:dyDescent="0.25">
      <c r="A27" s="1"/>
    </row>
    <row r="28" spans="1:1" ht="101.25" customHeight="1" x14ac:dyDescent="0.25">
      <c r="A28" s="1"/>
    </row>
    <row r="29" spans="1:1" ht="115.5" customHeight="1" x14ac:dyDescent="0.25">
      <c r="A29" s="1"/>
    </row>
    <row r="30" spans="1:1" ht="27.75" customHeight="1" x14ac:dyDescent="0.25">
      <c r="A30" s="1"/>
    </row>
    <row r="31" spans="1:1" ht="15" customHeight="1" x14ac:dyDescent="0.2"/>
    <row r="32" spans="1:1" ht="15" customHeight="1" x14ac:dyDescent="0.2"/>
    <row r="34" ht="31.5" customHeight="1" x14ac:dyDescent="0.2"/>
    <row r="35" ht="42.75" customHeight="1" x14ac:dyDescent="0.2"/>
    <row r="36" ht="43.5" customHeight="1" x14ac:dyDescent="0.2"/>
    <row r="37" ht="115.5" customHeight="1" x14ac:dyDescent="0.2"/>
    <row r="38" ht="87" customHeight="1" x14ac:dyDescent="0.2"/>
    <row r="39" ht="101.25" customHeight="1" x14ac:dyDescent="0.2"/>
    <row r="40" ht="27.75" customHeight="1" x14ac:dyDescent="0.2"/>
    <row r="41" ht="15" customHeight="1" x14ac:dyDescent="0.2"/>
    <row r="42" ht="15" customHeight="1" x14ac:dyDescent="0.2"/>
    <row r="44" ht="31.5" customHeight="1" x14ac:dyDescent="0.2"/>
    <row r="45" ht="42.75" customHeight="1" x14ac:dyDescent="0.2"/>
    <row r="46" ht="43.5" customHeight="1" x14ac:dyDescent="0.2"/>
    <row r="47" ht="87" customHeight="1" x14ac:dyDescent="0.2"/>
    <row r="48" ht="101.25" customHeight="1" x14ac:dyDescent="0.2"/>
    <row r="49" ht="115.5" customHeight="1" x14ac:dyDescent="0.2"/>
    <row r="50" ht="27.75" customHeight="1" x14ac:dyDescent="0.2"/>
    <row r="51" ht="15" customHeight="1" x14ac:dyDescent="0.2"/>
    <row r="52" ht="15" customHeight="1" x14ac:dyDescent="0.2"/>
    <row r="54" ht="27.75" customHeight="1" x14ac:dyDescent="0.2"/>
  </sheetData>
  <mergeCells count="23">
    <mergeCell ref="AL4:AM4"/>
    <mergeCell ref="B4:G4"/>
    <mergeCell ref="H4:I4"/>
    <mergeCell ref="K4:L4"/>
    <mergeCell ref="N4:O4"/>
    <mergeCell ref="Q4:R4"/>
    <mergeCell ref="T4:U4"/>
    <mergeCell ref="BG4:BH4"/>
    <mergeCell ref="BJ4:BK4"/>
    <mergeCell ref="BM4:BN4"/>
    <mergeCell ref="BP4:BQ4"/>
    <mergeCell ref="B10:F10"/>
    <mergeCell ref="AO4:AP4"/>
    <mergeCell ref="AR4:AS4"/>
    <mergeCell ref="AU4:AV4"/>
    <mergeCell ref="AX4:AY4"/>
    <mergeCell ref="BA4:BB4"/>
    <mergeCell ref="BD4:BE4"/>
    <mergeCell ref="W4:X4"/>
    <mergeCell ref="Z4:AA4"/>
    <mergeCell ref="AC4:AD4"/>
    <mergeCell ref="AF4:AG4"/>
    <mergeCell ref="AI4:AJ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D6DC-A391-44B8-AB30-A672C33D4FEC}">
  <dimension ref="A1:BQ54"/>
  <sheetViews>
    <sheetView tabSelected="1" zoomScaleNormal="100" workbookViewId="0">
      <pane xSplit="4" topLeftCell="E1" activePane="topRight" state="frozen"/>
      <selection pane="topRight" activeCell="F15" sqref="F15"/>
    </sheetView>
  </sheetViews>
  <sheetFormatPr baseColWidth="10" defaultColWidth="8.625" defaultRowHeight="14.25" x14ac:dyDescent="0.2"/>
  <cols>
    <col min="1" max="1" width="1.25" customWidth="1"/>
    <col min="2" max="2" width="14.375" customWidth="1"/>
    <col min="3" max="3" width="17.125" customWidth="1"/>
    <col min="4" max="4" width="18.25" customWidth="1"/>
    <col min="5" max="5" width="9.125" customWidth="1"/>
    <col min="6" max="6" width="10.375" customWidth="1"/>
    <col min="7" max="7" width="13.5" customWidth="1"/>
    <col min="8" max="8" width="5.125" customWidth="1"/>
    <col min="9" max="9" width="4.75" customWidth="1"/>
    <col min="10" max="10" width="2.375" customWidth="1"/>
    <col min="11" max="11" width="5.125" customWidth="1"/>
    <col min="12" max="12" width="4.75" customWidth="1"/>
    <col min="13" max="13" width="2.375" customWidth="1"/>
    <col min="14" max="14" width="5.125" customWidth="1"/>
    <col min="15" max="15" width="4.75" customWidth="1"/>
    <col min="16" max="16" width="2.375" customWidth="1"/>
    <col min="17" max="17" width="5.125" customWidth="1"/>
    <col min="18" max="18" width="4.75" customWidth="1"/>
    <col min="19" max="19" width="2.375" customWidth="1"/>
    <col min="20" max="20" width="5.125" customWidth="1"/>
    <col min="21" max="21" width="4.75" customWidth="1"/>
    <col min="22" max="22" width="2.375" customWidth="1"/>
    <col min="23" max="23" width="5.125" customWidth="1"/>
    <col min="24" max="24" width="4.75" customWidth="1"/>
    <col min="25" max="25" width="2.375" customWidth="1"/>
    <col min="26" max="26" width="5.125" customWidth="1"/>
    <col min="27" max="27" width="4.75" customWidth="1"/>
    <col min="28" max="28" width="2.375" customWidth="1"/>
    <col min="29" max="29" width="5.125" customWidth="1"/>
    <col min="30" max="30" width="4.75" customWidth="1"/>
    <col min="31" max="31" width="2.375" customWidth="1"/>
    <col min="32" max="32" width="5.125" customWidth="1"/>
    <col min="33" max="33" width="4.75" customWidth="1"/>
    <col min="34" max="34" width="2.375" customWidth="1"/>
    <col min="35" max="35" width="5.125" customWidth="1"/>
    <col min="36" max="36" width="4.75" customWidth="1"/>
    <col min="37" max="37" width="2.375" customWidth="1"/>
    <col min="38" max="38" width="5.125" customWidth="1"/>
    <col min="39" max="39" width="4.75" customWidth="1"/>
    <col min="40" max="40" width="2.375" customWidth="1"/>
    <col min="41" max="41" width="5.125" customWidth="1"/>
    <col min="42" max="42" width="4.75" customWidth="1"/>
    <col min="43" max="43" width="2.375" customWidth="1"/>
    <col min="44" max="44" width="5.125" customWidth="1"/>
    <col min="45" max="45" width="4.75" customWidth="1"/>
    <col min="46" max="46" width="2.375" customWidth="1"/>
    <col min="47" max="47" width="5.125" customWidth="1"/>
    <col min="48" max="48" width="4.75" customWidth="1"/>
    <col min="49" max="49" width="2.375" customWidth="1"/>
    <col min="50" max="50" width="5.125" customWidth="1"/>
    <col min="51" max="51" width="4.75" customWidth="1"/>
    <col min="52" max="52" width="2.375" customWidth="1"/>
    <col min="53" max="53" width="5.125" customWidth="1"/>
    <col min="54" max="54" width="4.75" customWidth="1"/>
    <col min="55" max="55" width="2.375" customWidth="1"/>
    <col min="56" max="56" width="5.125" hidden="1" customWidth="1"/>
    <col min="57" max="57" width="4.75" hidden="1" customWidth="1"/>
    <col min="58" max="58" width="2.375" hidden="1" customWidth="1"/>
    <col min="59" max="59" width="5.125" hidden="1" customWidth="1"/>
    <col min="60" max="60" width="4.75" hidden="1" customWidth="1"/>
    <col min="61" max="61" width="2.375" hidden="1" customWidth="1"/>
    <col min="62" max="62" width="5.125" hidden="1" customWidth="1"/>
    <col min="63" max="63" width="4.75" hidden="1" customWidth="1"/>
    <col min="64" max="64" width="2.375" hidden="1" customWidth="1"/>
    <col min="65" max="65" width="5.125" hidden="1" customWidth="1"/>
    <col min="66" max="66" width="4.75" hidden="1" customWidth="1"/>
    <col min="67" max="67" width="2.375" hidden="1" customWidth="1"/>
    <col min="68" max="68" width="5.125" customWidth="1"/>
    <col min="69" max="69" width="4.75" customWidth="1"/>
  </cols>
  <sheetData>
    <row r="1" spans="1:69" ht="28.5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8.5" customHeight="1" x14ac:dyDescent="0.45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35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31.5" customHeight="1" x14ac:dyDescent="0.25">
      <c r="A4" s="1"/>
      <c r="B4" s="31" t="s">
        <v>59</v>
      </c>
      <c r="C4" s="32"/>
      <c r="D4" s="32"/>
      <c r="E4" s="32"/>
      <c r="F4" s="32"/>
      <c r="G4" s="32"/>
      <c r="H4" s="26" t="s">
        <v>3</v>
      </c>
      <c r="I4" s="26"/>
      <c r="J4" s="4"/>
      <c r="K4" s="26" t="s">
        <v>4</v>
      </c>
      <c r="L4" s="26"/>
      <c r="M4" s="4"/>
      <c r="N4" s="26" t="s">
        <v>5</v>
      </c>
      <c r="O4" s="26"/>
      <c r="P4" s="4"/>
      <c r="Q4" s="26" t="s">
        <v>6</v>
      </c>
      <c r="R4" s="26"/>
      <c r="S4" s="4"/>
      <c r="T4" s="26" t="s">
        <v>7</v>
      </c>
      <c r="U4" s="26"/>
      <c r="V4" s="4"/>
      <c r="W4" s="26" t="s">
        <v>8</v>
      </c>
      <c r="X4" s="26"/>
      <c r="Y4" s="4"/>
      <c r="Z4" s="26" t="s">
        <v>9</v>
      </c>
      <c r="AA4" s="26"/>
      <c r="AB4" s="4"/>
      <c r="AC4" s="30" t="s">
        <v>20</v>
      </c>
      <c r="AD4" s="26"/>
      <c r="AE4" s="4"/>
      <c r="AF4" s="30" t="s">
        <v>21</v>
      </c>
      <c r="AG4" s="26"/>
      <c r="AH4" s="4"/>
      <c r="AI4" s="30" t="s">
        <v>22</v>
      </c>
      <c r="AJ4" s="26"/>
      <c r="AK4" s="4"/>
      <c r="AL4" s="30" t="s">
        <v>23</v>
      </c>
      <c r="AM4" s="26"/>
      <c r="AN4" s="4"/>
      <c r="AO4" s="30" t="s">
        <v>24</v>
      </c>
      <c r="AP4" s="26"/>
      <c r="AQ4" s="4"/>
      <c r="AR4" s="30" t="s">
        <v>25</v>
      </c>
      <c r="AS4" s="26"/>
      <c r="AT4" s="4"/>
      <c r="AU4" s="30" t="s">
        <v>29</v>
      </c>
      <c r="AV4" s="26"/>
      <c r="AW4" s="4"/>
      <c r="AX4" s="30" t="s">
        <v>30</v>
      </c>
      <c r="AY4" s="26"/>
      <c r="AZ4" s="4"/>
      <c r="BA4" s="30" t="s">
        <v>31</v>
      </c>
      <c r="BB4" s="26"/>
      <c r="BC4" s="4"/>
      <c r="BD4" s="26"/>
      <c r="BE4" s="26"/>
      <c r="BF4" s="4"/>
      <c r="BG4" s="26"/>
      <c r="BH4" s="26"/>
      <c r="BI4" s="4"/>
      <c r="BJ4" s="26"/>
      <c r="BK4" s="26"/>
      <c r="BL4" s="4"/>
      <c r="BM4" s="26"/>
      <c r="BN4" s="26"/>
      <c r="BO4" s="4"/>
      <c r="BP4" s="26" t="s">
        <v>10</v>
      </c>
      <c r="BQ4" s="26"/>
    </row>
    <row r="5" spans="1:69" ht="42.75" customHeight="1" x14ac:dyDescent="0.25">
      <c r="A5" s="1"/>
      <c r="B5" s="12" t="s">
        <v>11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5" t="s">
        <v>17</v>
      </c>
      <c r="I5" s="5" t="s">
        <v>18</v>
      </c>
      <c r="J5" s="5"/>
      <c r="K5" s="5" t="s">
        <v>17</v>
      </c>
      <c r="L5" s="5" t="s">
        <v>18</v>
      </c>
      <c r="M5" s="5"/>
      <c r="N5" s="5" t="s">
        <v>17</v>
      </c>
      <c r="O5" s="5" t="s">
        <v>18</v>
      </c>
      <c r="P5" s="5"/>
      <c r="Q5" s="5" t="s">
        <v>17</v>
      </c>
      <c r="R5" s="5" t="s">
        <v>18</v>
      </c>
      <c r="S5" s="5"/>
      <c r="T5" s="5" t="s">
        <v>17</v>
      </c>
      <c r="U5" s="5" t="s">
        <v>18</v>
      </c>
      <c r="V5" s="5"/>
      <c r="W5" s="5" t="s">
        <v>17</v>
      </c>
      <c r="X5" s="5" t="s">
        <v>18</v>
      </c>
      <c r="Y5" s="5"/>
      <c r="Z5" s="5" t="s">
        <v>17</v>
      </c>
      <c r="AA5" s="5" t="s">
        <v>18</v>
      </c>
      <c r="AB5" s="5"/>
      <c r="AC5" s="5" t="s">
        <v>17</v>
      </c>
      <c r="AD5" s="5" t="s">
        <v>18</v>
      </c>
      <c r="AE5" s="5"/>
      <c r="AF5" s="5" t="s">
        <v>17</v>
      </c>
      <c r="AG5" s="5" t="s">
        <v>18</v>
      </c>
      <c r="AH5" s="5"/>
      <c r="AI5" s="5" t="s">
        <v>17</v>
      </c>
      <c r="AJ5" s="5" t="s">
        <v>18</v>
      </c>
      <c r="AK5" s="5"/>
      <c r="AL5" s="5" t="s">
        <v>17</v>
      </c>
      <c r="AM5" s="5" t="s">
        <v>18</v>
      </c>
      <c r="AN5" s="5"/>
      <c r="AO5" s="5" t="s">
        <v>17</v>
      </c>
      <c r="AP5" s="5" t="s">
        <v>18</v>
      </c>
      <c r="AQ5" s="5"/>
      <c r="AR5" s="5" t="s">
        <v>17</v>
      </c>
      <c r="AS5" s="5" t="s">
        <v>18</v>
      </c>
      <c r="AT5" s="5"/>
      <c r="AU5" s="5" t="s">
        <v>17</v>
      </c>
      <c r="AV5" s="5" t="s">
        <v>18</v>
      </c>
      <c r="AW5" s="5"/>
      <c r="AX5" s="5" t="s">
        <v>17</v>
      </c>
      <c r="AY5" s="5" t="s">
        <v>18</v>
      </c>
      <c r="AZ5" s="5"/>
      <c r="BA5" s="5" t="s">
        <v>17</v>
      </c>
      <c r="BB5" s="5" t="s">
        <v>18</v>
      </c>
      <c r="BC5" s="5"/>
      <c r="BD5" s="5" t="s">
        <v>17</v>
      </c>
      <c r="BE5" s="5" t="s">
        <v>18</v>
      </c>
      <c r="BF5" s="5"/>
      <c r="BG5" s="5" t="s">
        <v>17</v>
      </c>
      <c r="BH5" s="5" t="s">
        <v>18</v>
      </c>
      <c r="BI5" s="5"/>
      <c r="BJ5" s="5" t="s">
        <v>17</v>
      </c>
      <c r="BK5" s="5" t="s">
        <v>18</v>
      </c>
      <c r="BL5" s="5"/>
      <c r="BM5" s="5" t="s">
        <v>17</v>
      </c>
      <c r="BN5" s="5" t="s">
        <v>18</v>
      </c>
      <c r="BO5" s="5"/>
      <c r="BP5" s="5" t="s">
        <v>17</v>
      </c>
      <c r="BQ5" s="5" t="s">
        <v>18</v>
      </c>
    </row>
    <row r="6" spans="1:69" ht="58.15" customHeight="1" x14ac:dyDescent="0.25">
      <c r="A6" s="1"/>
      <c r="B6" s="35" t="s">
        <v>33</v>
      </c>
      <c r="C6" s="6" t="s">
        <v>64</v>
      </c>
      <c r="D6" s="13" t="s">
        <v>34</v>
      </c>
      <c r="E6" s="23" t="s">
        <v>67</v>
      </c>
      <c r="F6" s="16" t="str">
        <f>IF(BQ6&lt;=0,"Finalizado",IF(BP6&gt;0,"En proceso","Por iniciar"))</f>
        <v>Finalizado</v>
      </c>
      <c r="G6" s="19">
        <v>1</v>
      </c>
      <c r="H6" s="14">
        <v>1</v>
      </c>
      <c r="I6" s="19">
        <f>G6-H6</f>
        <v>0</v>
      </c>
      <c r="J6" s="8"/>
      <c r="K6" s="7"/>
      <c r="L6" s="7">
        <f>I6-K6</f>
        <v>0</v>
      </c>
      <c r="M6" s="8"/>
      <c r="N6" s="18"/>
      <c r="O6" s="7">
        <f>L6-N6</f>
        <v>0</v>
      </c>
      <c r="P6" s="8"/>
      <c r="Q6" s="7"/>
      <c r="R6" s="7">
        <f>O6-Q6</f>
        <v>0</v>
      </c>
      <c r="S6" s="8"/>
      <c r="T6" s="7"/>
      <c r="U6" s="7">
        <f>R6-T6</f>
        <v>0</v>
      </c>
      <c r="V6" s="8"/>
      <c r="W6" s="7"/>
      <c r="X6" s="7">
        <f>U6-W6</f>
        <v>0</v>
      </c>
      <c r="Y6" s="8"/>
      <c r="Z6" s="7"/>
      <c r="AA6" s="7">
        <f>X6-Z6</f>
        <v>0</v>
      </c>
      <c r="AB6" s="8"/>
      <c r="AC6" s="7"/>
      <c r="AD6" s="7">
        <f t="shared" ref="AD6:AD9" si="0">AA6-AC6</f>
        <v>0</v>
      </c>
      <c r="AE6" s="8"/>
      <c r="AF6" s="7"/>
      <c r="AG6" s="7">
        <f t="shared" ref="AG6:AG9" si="1">AD6-AF6</f>
        <v>0</v>
      </c>
      <c r="AH6" s="8"/>
      <c r="AI6" s="7"/>
      <c r="AJ6" s="7">
        <f t="shared" ref="AJ6:AJ9" si="2">AG6-AI6</f>
        <v>0</v>
      </c>
      <c r="AK6" s="8"/>
      <c r="AL6" s="7"/>
      <c r="AM6" s="7">
        <f t="shared" ref="AM6:AM9" si="3">AJ6-AL6</f>
        <v>0</v>
      </c>
      <c r="AN6" s="8"/>
      <c r="AO6" s="7"/>
      <c r="AP6" s="7">
        <f t="shared" ref="AP6:AP9" si="4">AM6-AO6</f>
        <v>0</v>
      </c>
      <c r="AQ6" s="8"/>
      <c r="AR6" s="7"/>
      <c r="AS6" s="7">
        <f t="shared" ref="AS6:AS9" si="5">AP6-AR6</f>
        <v>0</v>
      </c>
      <c r="AT6" s="8"/>
      <c r="AU6" s="7"/>
      <c r="AV6" s="7">
        <f t="shared" ref="AV6:AV9" si="6">AS6-AU6</f>
        <v>0</v>
      </c>
      <c r="AW6" s="8"/>
      <c r="AX6" s="7"/>
      <c r="AY6" s="7">
        <f t="shared" ref="AY6:AY9" si="7">AV6-AX6</f>
        <v>0</v>
      </c>
      <c r="AZ6" s="8"/>
      <c r="BA6" s="7"/>
      <c r="BB6" s="7">
        <f t="shared" ref="BB6:BB9" si="8">AY6-BA6</f>
        <v>0</v>
      </c>
      <c r="BC6" s="8"/>
      <c r="BD6" s="7"/>
      <c r="BE6" s="7">
        <f>BB6-BD6</f>
        <v>0</v>
      </c>
      <c r="BF6" s="8"/>
      <c r="BG6" s="7"/>
      <c r="BH6" s="7">
        <f>BE6-BG6</f>
        <v>0</v>
      </c>
      <c r="BI6" s="8"/>
      <c r="BJ6" s="7"/>
      <c r="BK6" s="7">
        <f>BH6-BJ6</f>
        <v>0</v>
      </c>
      <c r="BL6" s="8"/>
      <c r="BM6" s="7"/>
      <c r="BN6" s="7">
        <f>BK6-BM6</f>
        <v>0</v>
      </c>
      <c r="BO6" s="8"/>
      <c r="BP6" s="9">
        <f>H6+K6+N6+Q6+T6+W6+Z6+AC6+AF6+AI6+AL6+AO6+AR6+AU6+AX6+BA6+BD6+BG6+BJ6+BM6</f>
        <v>1</v>
      </c>
      <c r="BQ6" s="9">
        <f>G6-BP6</f>
        <v>0</v>
      </c>
    </row>
    <row r="7" spans="1:69" ht="58.15" customHeight="1" x14ac:dyDescent="0.25">
      <c r="A7" s="1"/>
      <c r="B7" s="35" t="s">
        <v>27</v>
      </c>
      <c r="C7" s="6" t="s">
        <v>46</v>
      </c>
      <c r="D7" s="13" t="s">
        <v>35</v>
      </c>
      <c r="E7" s="23" t="s">
        <v>65</v>
      </c>
      <c r="F7" s="16" t="str">
        <f>IF(BQ7&lt;=0,"Finalizado",IF(BP7&gt;0,"En proceso","Por iniciar"))</f>
        <v>Finalizado</v>
      </c>
      <c r="G7" s="19">
        <v>24</v>
      </c>
      <c r="H7" s="14">
        <v>4</v>
      </c>
      <c r="I7" s="19">
        <f>G7-H7</f>
        <v>20</v>
      </c>
      <c r="J7" s="8"/>
      <c r="K7" s="7">
        <v>8</v>
      </c>
      <c r="L7" s="7">
        <f t="shared" ref="L7:L9" si="9">I7-K7</f>
        <v>12</v>
      </c>
      <c r="M7" s="8"/>
      <c r="N7" s="18">
        <v>5</v>
      </c>
      <c r="O7" s="7">
        <f>L7-N7</f>
        <v>7</v>
      </c>
      <c r="P7" s="8"/>
      <c r="Q7" s="7">
        <v>6</v>
      </c>
      <c r="R7" s="7">
        <f>O7-Q7</f>
        <v>1</v>
      </c>
      <c r="S7" s="8"/>
      <c r="T7" s="7">
        <v>1</v>
      </c>
      <c r="U7" s="7">
        <f>R7-T7</f>
        <v>0</v>
      </c>
      <c r="V7" s="8"/>
      <c r="W7" s="7"/>
      <c r="X7" s="7">
        <f>U7-W7</f>
        <v>0</v>
      </c>
      <c r="Y7" s="8"/>
      <c r="Z7" s="7"/>
      <c r="AA7" s="7">
        <f>X7-Z7</f>
        <v>0</v>
      </c>
      <c r="AB7" s="8"/>
      <c r="AC7" s="7"/>
      <c r="AD7" s="7">
        <f t="shared" si="0"/>
        <v>0</v>
      </c>
      <c r="AE7" s="8"/>
      <c r="AF7" s="7"/>
      <c r="AG7" s="7">
        <f t="shared" si="1"/>
        <v>0</v>
      </c>
      <c r="AH7" s="8"/>
      <c r="AI7" s="7"/>
      <c r="AJ7" s="7">
        <f t="shared" si="2"/>
        <v>0</v>
      </c>
      <c r="AK7" s="8"/>
      <c r="AL7" s="7"/>
      <c r="AM7" s="7">
        <f t="shared" si="3"/>
        <v>0</v>
      </c>
      <c r="AN7" s="8"/>
      <c r="AO7" s="7"/>
      <c r="AP7" s="7">
        <f t="shared" si="4"/>
        <v>0</v>
      </c>
      <c r="AQ7" s="8"/>
      <c r="AR7" s="7"/>
      <c r="AS7" s="7">
        <f t="shared" si="5"/>
        <v>0</v>
      </c>
      <c r="AT7" s="8"/>
      <c r="AU7" s="7"/>
      <c r="AV7" s="7">
        <f t="shared" si="6"/>
        <v>0</v>
      </c>
      <c r="AW7" s="8"/>
      <c r="AX7" s="7"/>
      <c r="AY7" s="7">
        <f t="shared" si="7"/>
        <v>0</v>
      </c>
      <c r="AZ7" s="8"/>
      <c r="BA7" s="7"/>
      <c r="BB7" s="7">
        <f t="shared" si="8"/>
        <v>0</v>
      </c>
      <c r="BC7" s="8"/>
      <c r="BD7" s="7"/>
      <c r="BE7" s="7">
        <f>BB7-BD7</f>
        <v>0</v>
      </c>
      <c r="BF7" s="8"/>
      <c r="BG7" s="7"/>
      <c r="BH7" s="7">
        <f>BE7-BG7</f>
        <v>0</v>
      </c>
      <c r="BI7" s="8"/>
      <c r="BJ7" s="7"/>
      <c r="BK7" s="7">
        <f>BH7-BJ7</f>
        <v>0</v>
      </c>
      <c r="BL7" s="8"/>
      <c r="BM7" s="7"/>
      <c r="BN7" s="7">
        <f>BK7-BM7</f>
        <v>0</v>
      </c>
      <c r="BO7" s="8"/>
      <c r="BP7" s="9">
        <f>H7+K7+N7+Q7+T7+W7+Z7+AC7+AF7+AI7+AL7+AO7+AR7+AU7+AX7+BA7+BD7+BG7+BJ7+BM7</f>
        <v>24</v>
      </c>
      <c r="BQ7" s="9">
        <f>G7-BP7</f>
        <v>0</v>
      </c>
    </row>
    <row r="8" spans="1:69" ht="58.15" customHeight="1" x14ac:dyDescent="0.25">
      <c r="A8" s="1"/>
      <c r="B8" s="35" t="s">
        <v>26</v>
      </c>
      <c r="C8" s="20" t="s">
        <v>47</v>
      </c>
      <c r="D8" s="13" t="s">
        <v>36</v>
      </c>
      <c r="E8" s="23" t="s">
        <v>67</v>
      </c>
      <c r="F8" s="16" t="str">
        <f>IF(BQ8&lt;=0,"Finalizado",IF(BP8&gt;0,"En proceso","Por iniciar"))</f>
        <v>En proceso</v>
      </c>
      <c r="G8" s="19">
        <v>49</v>
      </c>
      <c r="H8" s="14"/>
      <c r="I8" s="19">
        <f t="shared" ref="I8:I9" si="10">G8-H8</f>
        <v>49</v>
      </c>
      <c r="J8" s="8"/>
      <c r="K8" s="7"/>
      <c r="L8" s="7">
        <f t="shared" si="9"/>
        <v>49</v>
      </c>
      <c r="M8" s="8"/>
      <c r="N8" s="7"/>
      <c r="O8" s="7">
        <f>L8-N8</f>
        <v>49</v>
      </c>
      <c r="P8" s="8"/>
      <c r="Q8" s="7"/>
      <c r="R8" s="7">
        <f>O8-Q8</f>
        <v>49</v>
      </c>
      <c r="S8" s="8"/>
      <c r="T8" s="7">
        <v>6</v>
      </c>
      <c r="U8" s="7">
        <f>R8-T8</f>
        <v>43</v>
      </c>
      <c r="V8" s="8"/>
      <c r="W8" s="7">
        <v>5</v>
      </c>
      <c r="X8" s="7">
        <f>U8-W8</f>
        <v>38</v>
      </c>
      <c r="Y8" s="8"/>
      <c r="Z8" s="7">
        <v>6</v>
      </c>
      <c r="AA8" s="7">
        <f>X8-Z8</f>
        <v>32</v>
      </c>
      <c r="AB8" s="8"/>
      <c r="AC8" s="7">
        <v>4</v>
      </c>
      <c r="AD8" s="7">
        <f t="shared" si="0"/>
        <v>28</v>
      </c>
      <c r="AE8" s="8"/>
      <c r="AF8" s="7">
        <v>7</v>
      </c>
      <c r="AG8" s="7">
        <f t="shared" si="1"/>
        <v>21</v>
      </c>
      <c r="AH8" s="8"/>
      <c r="AI8" s="7">
        <v>7</v>
      </c>
      <c r="AJ8" s="7">
        <f t="shared" si="2"/>
        <v>14</v>
      </c>
      <c r="AK8" s="8"/>
      <c r="AL8" s="7">
        <v>6</v>
      </c>
      <c r="AM8" s="7">
        <f t="shared" si="3"/>
        <v>8</v>
      </c>
      <c r="AN8" s="8"/>
      <c r="AO8" s="7">
        <v>7</v>
      </c>
      <c r="AP8" s="7">
        <f t="shared" si="4"/>
        <v>1</v>
      </c>
      <c r="AQ8" s="8"/>
      <c r="AR8" s="7"/>
      <c r="AS8" s="7">
        <f t="shared" si="5"/>
        <v>1</v>
      </c>
      <c r="AT8" s="8"/>
      <c r="AU8" s="7"/>
      <c r="AV8" s="7">
        <f t="shared" si="6"/>
        <v>1</v>
      </c>
      <c r="AW8" s="8"/>
      <c r="AX8" s="7"/>
      <c r="AY8" s="7">
        <f t="shared" si="7"/>
        <v>1</v>
      </c>
      <c r="AZ8" s="8"/>
      <c r="BA8" s="7"/>
      <c r="BB8" s="7">
        <f t="shared" si="8"/>
        <v>1</v>
      </c>
      <c r="BC8" s="8"/>
      <c r="BD8" s="7"/>
      <c r="BE8" s="7">
        <f>BB8-BD8</f>
        <v>1</v>
      </c>
      <c r="BF8" s="8"/>
      <c r="BG8" s="7"/>
      <c r="BH8" s="7">
        <f>BE8-BG8</f>
        <v>1</v>
      </c>
      <c r="BI8" s="8"/>
      <c r="BJ8" s="7"/>
      <c r="BK8" s="7">
        <f>BH8-BJ8</f>
        <v>1</v>
      </c>
      <c r="BL8" s="8"/>
      <c r="BM8" s="7"/>
      <c r="BN8" s="7">
        <f>BK8-BM8</f>
        <v>1</v>
      </c>
      <c r="BO8" s="8"/>
      <c r="BP8" s="9">
        <f>H8+K8+N8+Q8+T8+W8+Z8+AC8+AF8+AI8+AL8+AO8+AR8+AU8+AX8+BA8+BD8+BG8+BJ8+BM8</f>
        <v>48</v>
      </c>
      <c r="BQ8" s="9">
        <f>G8-BP8</f>
        <v>1</v>
      </c>
    </row>
    <row r="9" spans="1:69" ht="58.15" customHeight="1" x14ac:dyDescent="0.25">
      <c r="A9" s="1"/>
      <c r="B9" s="35" t="s">
        <v>28</v>
      </c>
      <c r="C9" s="21" t="s">
        <v>48</v>
      </c>
      <c r="D9" s="13" t="s">
        <v>54</v>
      </c>
      <c r="E9" s="23" t="s">
        <v>68</v>
      </c>
      <c r="F9" s="16" t="str">
        <f t="shared" ref="F9" si="11">IF(BQ9&lt;=0,"Finalizado",IF(BP9&gt;0,"En proceso","Por iniciar"))</f>
        <v>Finalizado</v>
      </c>
      <c r="G9" s="19">
        <v>23</v>
      </c>
      <c r="H9" s="14"/>
      <c r="I9" s="19">
        <f t="shared" si="10"/>
        <v>23</v>
      </c>
      <c r="J9" s="8"/>
      <c r="K9" s="7"/>
      <c r="L9" s="7">
        <f t="shared" si="9"/>
        <v>23</v>
      </c>
      <c r="M9" s="8"/>
      <c r="N9" s="7"/>
      <c r="O9" s="7">
        <f t="shared" ref="O9" si="12">L9-N9</f>
        <v>23</v>
      </c>
      <c r="P9" s="8"/>
      <c r="Q9" s="7"/>
      <c r="R9" s="7">
        <f t="shared" ref="R9" si="13">O9-Q9</f>
        <v>23</v>
      </c>
      <c r="S9" s="8"/>
      <c r="T9" s="7"/>
      <c r="U9" s="7">
        <f>R9-T9</f>
        <v>23</v>
      </c>
      <c r="V9" s="8"/>
      <c r="W9" s="7"/>
      <c r="X9" s="7">
        <f t="shared" ref="X9" si="14">U9-W9</f>
        <v>23</v>
      </c>
      <c r="Y9" s="8"/>
      <c r="Z9" s="7"/>
      <c r="AA9" s="7">
        <f t="shared" ref="AA9" si="15">X9-Z9</f>
        <v>23</v>
      </c>
      <c r="AB9" s="8"/>
      <c r="AC9" s="7"/>
      <c r="AD9" s="7">
        <f t="shared" si="0"/>
        <v>23</v>
      </c>
      <c r="AE9" s="8"/>
      <c r="AF9" s="7"/>
      <c r="AG9" s="7">
        <f t="shared" si="1"/>
        <v>23</v>
      </c>
      <c r="AH9" s="8"/>
      <c r="AI9" s="7"/>
      <c r="AJ9" s="7">
        <f t="shared" si="2"/>
        <v>23</v>
      </c>
      <c r="AK9" s="8"/>
      <c r="AL9" s="7"/>
      <c r="AM9" s="7">
        <f t="shared" si="3"/>
        <v>23</v>
      </c>
      <c r="AN9" s="8"/>
      <c r="AO9" s="7"/>
      <c r="AP9" s="7">
        <f t="shared" si="4"/>
        <v>23</v>
      </c>
      <c r="AQ9" s="8"/>
      <c r="AR9" s="7">
        <v>5</v>
      </c>
      <c r="AS9" s="7">
        <f t="shared" si="5"/>
        <v>18</v>
      </c>
      <c r="AT9" s="8"/>
      <c r="AU9" s="7">
        <v>7</v>
      </c>
      <c r="AV9" s="7">
        <f t="shared" si="6"/>
        <v>11</v>
      </c>
      <c r="AW9" s="8"/>
      <c r="AX9" s="7">
        <v>6</v>
      </c>
      <c r="AY9" s="7">
        <f t="shared" si="7"/>
        <v>5</v>
      </c>
      <c r="AZ9" s="8"/>
      <c r="BA9" s="7">
        <v>6</v>
      </c>
      <c r="BB9" s="7">
        <f t="shared" si="8"/>
        <v>-1</v>
      </c>
      <c r="BC9" s="8"/>
      <c r="BP9" s="9">
        <f>H9+K9+N9+Q9+T9+W9+Z9+AC9+AF9+AI9+AL9+AO9+AR9+AU9+AX9+BA9+BD9+BG9+BJ9+BM9</f>
        <v>24</v>
      </c>
      <c r="BQ9" s="9">
        <f t="shared" ref="BQ9" si="16">G9-BP9</f>
        <v>-1</v>
      </c>
    </row>
    <row r="10" spans="1:69" ht="25.9" customHeight="1" x14ac:dyDescent="0.25">
      <c r="A10" s="1"/>
      <c r="B10" s="27" t="s">
        <v>19</v>
      </c>
      <c r="C10" s="28"/>
      <c r="D10" s="28"/>
      <c r="E10" s="28"/>
      <c r="F10" s="29"/>
      <c r="G10" s="10">
        <f>SUM(G6:G9)</f>
        <v>97</v>
      </c>
      <c r="H10" s="11">
        <f>SUM(H6:H9)</f>
        <v>5</v>
      </c>
      <c r="I10" s="11">
        <f>SUM(I6:I9)</f>
        <v>92</v>
      </c>
      <c r="J10" s="11"/>
      <c r="K10" s="11">
        <f>SUM(K6:K9)</f>
        <v>8</v>
      </c>
      <c r="L10" s="11">
        <f>SUM(L6:L9)</f>
        <v>84</v>
      </c>
      <c r="M10" s="11"/>
      <c r="N10" s="11">
        <f>SUM(N6:N9)</f>
        <v>5</v>
      </c>
      <c r="O10" s="11">
        <f>SUM(O6:O9)</f>
        <v>79</v>
      </c>
      <c r="P10" s="11"/>
      <c r="Q10" s="11">
        <f>SUM(Q6:Q9)</f>
        <v>6</v>
      </c>
      <c r="R10" s="11">
        <f>SUM(R6:R9)</f>
        <v>73</v>
      </c>
      <c r="S10" s="11"/>
      <c r="T10" s="11">
        <f>SUM(T6:T9)</f>
        <v>7</v>
      </c>
      <c r="U10" s="11">
        <f>SUM(U6:U9)</f>
        <v>66</v>
      </c>
      <c r="V10" s="11"/>
      <c r="W10" s="11">
        <f>SUM(W6:W9)</f>
        <v>5</v>
      </c>
      <c r="X10" s="11">
        <f>SUM(X6:X9)</f>
        <v>61</v>
      </c>
      <c r="Y10" s="11"/>
      <c r="Z10" s="11">
        <f>SUM(Z6:Z9)</f>
        <v>6</v>
      </c>
      <c r="AA10" s="11">
        <f>SUM(AA6:AA9)</f>
        <v>55</v>
      </c>
      <c r="AB10" s="11"/>
      <c r="AC10" s="11">
        <f>SUM(AC6:AC9)</f>
        <v>4</v>
      </c>
      <c r="AD10" s="11">
        <f>SUM(AD6:AD9)</f>
        <v>51</v>
      </c>
      <c r="AE10" s="11"/>
      <c r="AF10" s="11">
        <f>SUM(AF6:AF9)</f>
        <v>7</v>
      </c>
      <c r="AG10" s="11">
        <f>SUM(AG6:AG9)</f>
        <v>44</v>
      </c>
      <c r="AH10" s="11"/>
      <c r="AI10" s="11">
        <f>SUM(AI6:AI9)</f>
        <v>7</v>
      </c>
      <c r="AJ10" s="11">
        <f>SUM(AJ6:AJ9)</f>
        <v>37</v>
      </c>
      <c r="AK10" s="11"/>
      <c r="AL10" s="11">
        <f>SUM(AL6:AL9)</f>
        <v>6</v>
      </c>
      <c r="AM10" s="11">
        <f>SUM(AM6:AM9)</f>
        <v>31</v>
      </c>
      <c r="AN10" s="11"/>
      <c r="AO10" s="11">
        <f>SUM(AO6:AO9)</f>
        <v>7</v>
      </c>
      <c r="AP10" s="11">
        <f>SUM(AP6:AP9)</f>
        <v>24</v>
      </c>
      <c r="AQ10" s="11"/>
      <c r="AR10" s="11">
        <f>SUM(AR6:AR9)</f>
        <v>5</v>
      </c>
      <c r="AS10" s="11">
        <f t="shared" ref="AS10:BO10" si="17">SUM(AS6:AS9)</f>
        <v>19</v>
      </c>
      <c r="AT10" s="11"/>
      <c r="AU10" s="11">
        <f t="shared" si="17"/>
        <v>7</v>
      </c>
      <c r="AV10" s="11">
        <f t="shared" si="17"/>
        <v>12</v>
      </c>
      <c r="AW10" s="11"/>
      <c r="AX10" s="11">
        <f t="shared" si="17"/>
        <v>6</v>
      </c>
      <c r="AY10" s="11">
        <f t="shared" si="17"/>
        <v>6</v>
      </c>
      <c r="AZ10" s="11"/>
      <c r="BA10" s="11">
        <f t="shared" si="17"/>
        <v>6</v>
      </c>
      <c r="BB10" s="11">
        <f t="shared" si="17"/>
        <v>0</v>
      </c>
      <c r="BC10" s="11"/>
      <c r="BD10" s="11">
        <f t="shared" si="17"/>
        <v>0</v>
      </c>
      <c r="BE10" s="11">
        <f t="shared" si="17"/>
        <v>1</v>
      </c>
      <c r="BF10" s="11">
        <f t="shared" si="17"/>
        <v>0</v>
      </c>
      <c r="BG10" s="11">
        <f t="shared" si="17"/>
        <v>0</v>
      </c>
      <c r="BH10" s="11">
        <f t="shared" si="17"/>
        <v>1</v>
      </c>
      <c r="BI10" s="11">
        <f t="shared" si="17"/>
        <v>0</v>
      </c>
      <c r="BJ10" s="11">
        <f t="shared" si="17"/>
        <v>0</v>
      </c>
      <c r="BK10" s="11">
        <f t="shared" si="17"/>
        <v>1</v>
      </c>
      <c r="BL10" s="11">
        <f t="shared" si="17"/>
        <v>0</v>
      </c>
      <c r="BM10" s="11">
        <f t="shared" si="17"/>
        <v>0</v>
      </c>
      <c r="BN10" s="11">
        <f t="shared" si="17"/>
        <v>1</v>
      </c>
      <c r="BO10" s="11">
        <f t="shared" si="17"/>
        <v>0</v>
      </c>
      <c r="BP10" s="11">
        <f>SUM(BP6:BP9)</f>
        <v>97</v>
      </c>
      <c r="BQ10" s="11">
        <f>SUM(BQ6:BQ9)</f>
        <v>0</v>
      </c>
    </row>
    <row r="11" spans="1:69" ht="28.15" customHeight="1" x14ac:dyDescent="0.25">
      <c r="A11" s="1"/>
    </row>
    <row r="12" spans="1:69" ht="58.15" customHeight="1" x14ac:dyDescent="0.25">
      <c r="A12" s="1"/>
    </row>
    <row r="13" spans="1:69" ht="58.15" customHeight="1" x14ac:dyDescent="0.25">
      <c r="A13" s="1"/>
    </row>
    <row r="14" spans="1:69" ht="58.15" customHeight="1" x14ac:dyDescent="0.25">
      <c r="A14" s="1"/>
    </row>
    <row r="15" spans="1:69" ht="58.15" customHeight="1" x14ac:dyDescent="0.25">
      <c r="A15" s="1"/>
    </row>
    <row r="16" spans="1:69" ht="58.15" customHeight="1" x14ac:dyDescent="0.25">
      <c r="A16" s="1"/>
    </row>
    <row r="17" spans="1:1" ht="58.15" customHeight="1" x14ac:dyDescent="0.25">
      <c r="A17" s="1"/>
    </row>
    <row r="18" spans="1:1" ht="58.15" customHeight="1" x14ac:dyDescent="0.25">
      <c r="A18" s="1"/>
    </row>
    <row r="19" spans="1:1" ht="58.15" customHeight="1" x14ac:dyDescent="0.25">
      <c r="A19" s="1"/>
    </row>
    <row r="20" spans="1:1" ht="58.15" customHeight="1" x14ac:dyDescent="0.25">
      <c r="A20" s="1"/>
    </row>
    <row r="21" spans="1:1" ht="58.15" customHeight="1" x14ac:dyDescent="0.2"/>
    <row r="22" spans="1:1" ht="58.15" customHeight="1" x14ac:dyDescent="0.25">
      <c r="A22" s="1"/>
    </row>
    <row r="23" spans="1:1" ht="58.15" customHeight="1" x14ac:dyDescent="0.25">
      <c r="A23" s="1"/>
    </row>
    <row r="24" spans="1:1" ht="58.15" customHeight="1" x14ac:dyDescent="0.25">
      <c r="A24" s="1"/>
    </row>
    <row r="25" spans="1:1" ht="42.75" customHeight="1" x14ac:dyDescent="0.25">
      <c r="A25" s="1"/>
    </row>
    <row r="26" spans="1:1" ht="43.5" customHeight="1" x14ac:dyDescent="0.25">
      <c r="A26" s="1"/>
    </row>
    <row r="27" spans="1:1" ht="43.5" customHeight="1" x14ac:dyDescent="0.25">
      <c r="A27" s="1"/>
    </row>
    <row r="28" spans="1:1" ht="101.25" customHeight="1" x14ac:dyDescent="0.25">
      <c r="A28" s="1"/>
    </row>
    <row r="29" spans="1:1" ht="115.5" customHeight="1" x14ac:dyDescent="0.25">
      <c r="A29" s="1"/>
    </row>
    <row r="30" spans="1:1" ht="27.75" customHeight="1" x14ac:dyDescent="0.25">
      <c r="A30" s="1"/>
    </row>
    <row r="31" spans="1:1" ht="15" customHeight="1" x14ac:dyDescent="0.2"/>
    <row r="32" spans="1:1" ht="15" customHeight="1" x14ac:dyDescent="0.2"/>
    <row r="34" ht="31.5" customHeight="1" x14ac:dyDescent="0.2"/>
    <row r="35" ht="42.75" customHeight="1" x14ac:dyDescent="0.2"/>
    <row r="36" ht="43.5" customHeight="1" x14ac:dyDescent="0.2"/>
    <row r="37" ht="115.5" customHeight="1" x14ac:dyDescent="0.2"/>
    <row r="38" ht="87" customHeight="1" x14ac:dyDescent="0.2"/>
    <row r="39" ht="101.25" customHeight="1" x14ac:dyDescent="0.2"/>
    <row r="40" ht="27.75" customHeight="1" x14ac:dyDescent="0.2"/>
    <row r="41" ht="15" customHeight="1" x14ac:dyDescent="0.2"/>
    <row r="42" ht="15" customHeight="1" x14ac:dyDescent="0.2"/>
    <row r="44" ht="31.5" customHeight="1" x14ac:dyDescent="0.2"/>
    <row r="45" ht="42.75" customHeight="1" x14ac:dyDescent="0.2"/>
    <row r="46" ht="43.5" customHeight="1" x14ac:dyDescent="0.2"/>
    <row r="47" ht="87" customHeight="1" x14ac:dyDescent="0.2"/>
    <row r="48" ht="101.25" customHeight="1" x14ac:dyDescent="0.2"/>
    <row r="49" ht="115.5" customHeight="1" x14ac:dyDescent="0.2"/>
    <row r="50" ht="27.75" customHeight="1" x14ac:dyDescent="0.2"/>
    <row r="51" ht="15" customHeight="1" x14ac:dyDescent="0.2"/>
    <row r="52" ht="15" customHeight="1" x14ac:dyDescent="0.2"/>
    <row r="54" ht="27.75" customHeight="1" x14ac:dyDescent="0.2"/>
  </sheetData>
  <mergeCells count="23">
    <mergeCell ref="AL4:AM4"/>
    <mergeCell ref="B4:G4"/>
    <mergeCell ref="H4:I4"/>
    <mergeCell ref="K4:L4"/>
    <mergeCell ref="N4:O4"/>
    <mergeCell ref="Q4:R4"/>
    <mergeCell ref="T4:U4"/>
    <mergeCell ref="BG4:BH4"/>
    <mergeCell ref="BJ4:BK4"/>
    <mergeCell ref="BM4:BN4"/>
    <mergeCell ref="BP4:BQ4"/>
    <mergeCell ref="B10:F10"/>
    <mergeCell ref="AO4:AP4"/>
    <mergeCell ref="AR4:AS4"/>
    <mergeCell ref="AU4:AV4"/>
    <mergeCell ref="AX4:AY4"/>
    <mergeCell ref="BA4:BB4"/>
    <mergeCell ref="BD4:BE4"/>
    <mergeCell ref="W4:X4"/>
    <mergeCell ref="Z4:AA4"/>
    <mergeCell ref="AC4:AD4"/>
    <mergeCell ref="AF4:AG4"/>
    <mergeCell ref="AI4:AJ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Sprint 1</vt:lpstr>
      <vt:lpstr>Sprint 2</vt:lpstr>
      <vt:lpstr>Sprint 3</vt:lpstr>
      <vt:lpstr>Sprint 4</vt:lpstr>
      <vt:lpstr>Sprint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BENJAMIN . NUNEZ ARANCIBIA</cp:lastModifiedBy>
  <cp:revision>0</cp:revision>
  <dcterms:created xsi:type="dcterms:W3CDTF">2012-09-02T03:53:17Z</dcterms:created>
  <dcterms:modified xsi:type="dcterms:W3CDTF">2026-10-13T20:57:54Z</dcterms:modified>
  <dc:language>en-US</dc:language>
</cp:coreProperties>
</file>
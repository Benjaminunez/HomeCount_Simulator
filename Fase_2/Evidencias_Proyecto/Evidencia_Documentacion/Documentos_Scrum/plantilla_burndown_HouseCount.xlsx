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N°1" sheetId="1" r:id="rId4"/>
    <sheet state="visible" name="Sprint N°2" sheetId="2" r:id="rId5"/>
    <sheet state="visible" name="Sprint N°3" sheetId="3" r:id="rId6"/>
    <sheet state="visible" name="Sprint N°4" sheetId="4" r:id="rId7"/>
    <sheet state="visible" name="Sprint N°5" sheetId="5" r:id="rId8"/>
    <sheet state="visible" name="Sprint N°6" sheetId="6" r:id="rId9"/>
    <sheet state="hidden" name="Sprint N°7" sheetId="7" r:id="rId10"/>
    <sheet state="hidden" name="Sprint N°8" sheetId="8" r:id="rId11"/>
    <sheet state="visible" name="burndown_Proyecto_HouseCount" sheetId="9" r:id="rId12"/>
    <sheet state="visible" name="Resumen_Sprints" sheetId="10" r:id="rId13"/>
    <sheet state="visible" name="Ejemplo1" sheetId="11" r:id="rId14"/>
  </sheets>
  <definedNames/>
  <calcPr/>
  <extLst>
    <ext uri="GoogleSheetsCustomDataVersion2">
      <go:sheetsCustomData xmlns:go="http://customooxmlschemas.google.com/" r:id="rId15" roundtripDataChecksum="Fbyzlnlbazy6yV8HK9pAyneNts9FF0GG6y6XJ//nUX0="/>
    </ext>
  </extLst>
</workbook>
</file>

<file path=xl/sharedStrings.xml><?xml version="1.0" encoding="utf-8"?>
<sst xmlns="http://schemas.openxmlformats.org/spreadsheetml/2006/main" count="161" uniqueCount="92">
  <si>
    <t>Historias de Usuario o Spike</t>
  </si>
  <si>
    <t>horas estimadas</t>
  </si>
  <si>
    <t>DIA</t>
  </si>
  <si>
    <t>Total</t>
  </si>
  <si>
    <t>Fase Análisis y Planificación</t>
  </si>
  <si>
    <t>Kick Off</t>
  </si>
  <si>
    <t>Documento de Visión y Roles Scrum</t>
  </si>
  <si>
    <t>Aprobación de la Visión con Patrocinadores</t>
  </si>
  <si>
    <t>Definición de Requerimientos Generales (Product Backlog inicial)</t>
  </si>
  <si>
    <t>Organización del Equipo y Herramientas (repositorio, tablero)</t>
  </si>
  <si>
    <t>Día (0 = inicio del sprint)</t>
  </si>
  <si>
    <t>Reales de producto por realizar</t>
  </si>
  <si>
    <t>Estimadas de producto por realizar</t>
  </si>
  <si>
    <t>Fase Diseño</t>
  </si>
  <si>
    <t>Captura de Requerimientos Específicos (Historias de Usuario)</t>
  </si>
  <si>
    <t>Análisis de Requerimientos y Criterios de Aceptación</t>
  </si>
  <si>
    <t>Diseño de la Solución. Modelo de Datos y UML</t>
  </si>
  <si>
    <t>Diseño de Prototipos de Interfaz</t>
  </si>
  <si>
    <t>Diseño del Algoritmo de Cubicación</t>
  </si>
  <si>
    <t>Plan de Proyecto y Product Backlog Priorizado</t>
  </si>
  <si>
    <t>Base de Datos y Catálogo de Materiales</t>
  </si>
  <si>
    <t>Coordinación del Objetivos Sprint 3</t>
  </si>
  <si>
    <t>Implementación del Ambiente de Desarrollo</t>
  </si>
  <si>
    <t>Modelo Relacional de Base de Datos</t>
  </si>
  <si>
    <t>Catálogo de Materiales y Poblamiento Inicial</t>
  </si>
  <si>
    <t>Motor de Simulación y Algoritmo de Cálculo</t>
  </si>
  <si>
    <t>Coordinación delObjetivos Sprint 4</t>
  </si>
  <si>
    <t>Algoritmo de Cubicación (cálculo de materiales)</t>
  </si>
  <si>
    <t>Ajuste a Presupuesto Máximo del Usuario</t>
  </si>
  <si>
    <t>Integración del Motor con el Catálogo de Materiales</t>
  </si>
  <si>
    <t>Interfaz Gráfica Interactiva</t>
  </si>
  <si>
    <t>Coordinación del Objetivos Sprint 5</t>
  </si>
  <si>
    <t>Interfaz Principal y Formulario de Presupuesto</t>
  </si>
  <si>
    <t>Editor Interactivo de Diseño del Hogar</t>
  </si>
  <si>
    <t>Visualización de Resultados en Tiempo Real</t>
  </si>
  <si>
    <t>Proyección Monetaria, Integración y Ceremonias Scrum</t>
  </si>
  <si>
    <t>Coordinación del componente</t>
  </si>
  <si>
    <t>Generación de Proyección Monetaria del Hogar</t>
  </si>
  <si>
    <t>Resumen y Exportación de Cotización</t>
  </si>
  <si>
    <t>Integración del Sistema</t>
  </si>
  <si>
    <t>Ceremonias Scrum (Planning, Review, Retrospectiva; en paralelo)</t>
  </si>
  <si>
    <t>Pruebas y Corrección de Defectos</t>
  </si>
  <si>
    <t>Pruebas Unitarias Base de Datos y Catálogo</t>
  </si>
  <si>
    <t>Pruebas Unitarias Motor de Cálculo</t>
  </si>
  <si>
    <t>Pruebas Unitarias Interfaz Gráfica</t>
  </si>
  <si>
    <t>Pruebas de Integración</t>
  </si>
  <si>
    <t>Corrección de Defectos y Retesteo de Funcionalidades</t>
  </si>
  <si>
    <t>Despliegue, Aceptación y Cierre</t>
  </si>
  <si>
    <t>Despliegue del Sistema a Producción</t>
  </si>
  <si>
    <t>Pruebas de Aceptación con Patrocinadores</t>
  </si>
  <si>
    <t>Marcha Blanca</t>
  </si>
  <si>
    <t>Capacitación y Entrega</t>
  </si>
  <si>
    <t>Cierre de Proyecto</t>
  </si>
  <si>
    <t>Control del Proyecto HouseCount – Burndown acumulado</t>
  </si>
  <si>
    <t>Se alimenta de las hojas de cada sprint (no se ingresa nada aquí).</t>
  </si>
  <si>
    <t>DIA HÁBIL DEL PROYECTO</t>
  </si>
  <si>
    <t>Día (0 = inicio del proyecto)</t>
  </si>
  <si>
    <t>Estimadas de producto por realizar (lineal)</t>
  </si>
  <si>
    <t>Plan según EDT (secuencia de sprints)</t>
  </si>
  <si>
    <t>Resumen de Sprints – Burndown HouseCount</t>
  </si>
  <si>
    <t>Fecha de inicio / término del proyecto</t>
  </si>
  <si>
    <t>Sprint</t>
  </si>
  <si>
    <t>Alcance (bloque de la EDT)</t>
  </si>
  <si>
    <t>Tareas del sprint</t>
  </si>
  <si>
    <t>Días del sprint (columnas)</t>
  </si>
  <si>
    <t>Días previos</t>
  </si>
  <si>
    <t>Inicio</t>
  </si>
  <si>
    <t>Término</t>
  </si>
  <si>
    <t>Días según EDT</t>
  </si>
  <si>
    <t>Horas estimadas (fila gris del sprint)</t>
  </si>
  <si>
    <t>Horas según EDT</t>
  </si>
  <si>
    <t>% de horas</t>
  </si>
  <si>
    <t>Horas reales registradas</t>
  </si>
  <si>
    <t>Control</t>
  </si>
  <si>
    <t>CONTROLES DE CONSISTENCIA</t>
  </si>
  <si>
    <t>Referencia</t>
  </si>
  <si>
    <t>Este burndown</t>
  </si>
  <si>
    <t>Diferencia</t>
  </si>
  <si>
    <t>Estado</t>
  </si>
  <si>
    <t>Horas totales del proyecto (referencia EDT)</t>
  </si>
  <si>
    <t>Días hábiles disponibles vs. días planificados (holgura)</t>
  </si>
  <si>
    <t>Fecha de término del proyecto vs. término del último sprint</t>
  </si>
  <si>
    <t>Horas reales: suma de sprints vs. burndown del proyecto</t>
  </si>
  <si>
    <t>Notas: (1) Formato de cada sprint: fila gris = bloque de la EDT con sus horas estimadas; debajo, las tareas (sin horas) donde se marcan las horas reales por día. (2) "Días del sprint" = N° de columnas de cada hoja de sprint. (3) Las horas se ingresan solo en las hojas de sprint; el burndown del proyecto las replica.</t>
  </si>
  <si>
    <t>Control del Sprint</t>
  </si>
  <si>
    <t>Ejemplo1</t>
  </si>
  <si>
    <t>Autenticación de usuarios</t>
  </si>
  <si>
    <t>Consultar las ofertas de habitaciones.</t>
  </si>
  <si>
    <t>Mantención de datos</t>
  </si>
  <si>
    <t>Publicar las ofertas.</t>
  </si>
  <si>
    <t>Despublicar las ofertas.</t>
  </si>
  <si>
    <t>Crear una cuenta de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</si>
</sst>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;\-0;"/>
    <numFmt numFmtId="165" formatCode="dd\-mm\-yyyy"/>
    <numFmt numFmtId="166" formatCode="0.0"/>
    <numFmt numFmtId="167" formatCode="0.0%"/>
  </numFmts>
  <fonts count="16">
    <font>
      <sz val="11.0"/>
      <color theme="1"/>
      <name val="Calibri"/>
      <scheme val="minor"/>
    </font>
    <font>
      <b/>
      <sz val="16.0"/>
      <color rgb="FF000000"/>
      <name val="Calibri"/>
    </font>
    <font>
      <i/>
      <sz val="9.0"/>
      <color rgb="FF000000"/>
      <name val="Calibri"/>
    </font>
    <font>
      <b/>
      <sz val="11.0"/>
      <color rgb="FF000000"/>
      <name val="Calibri"/>
    </font>
    <font/>
    <font>
      <b/>
      <sz val="10.0"/>
      <color rgb="FF000000"/>
      <name val="Calibri"/>
    </font>
    <font>
      <sz val="11.0"/>
      <color rgb="FF000000"/>
      <name val="Calibri"/>
    </font>
    <font>
      <sz val="9.0"/>
      <color rgb="FF000000"/>
      <name val="Calibri"/>
    </font>
    <font>
      <sz val="11.0"/>
      <color theme="1"/>
      <name val="Calibri"/>
    </font>
    <font>
      <sz val="11.0"/>
      <color rgb="FF0000FF"/>
      <name val="Calibri"/>
    </font>
    <font>
      <i/>
      <sz val="9.0"/>
      <color rgb="FFC00000"/>
      <name val="Calibri"/>
    </font>
    <font>
      <sz val="11.0"/>
      <color rgb="FF008000"/>
      <name val="Calibri"/>
    </font>
    <font>
      <b/>
      <sz val="11.0"/>
      <color rgb="FF008000"/>
      <name val="Calibri"/>
    </font>
    <font>
      <b/>
      <sz val="12.0"/>
      <color rgb="FF000000"/>
      <name val="Calibri"/>
    </font>
    <font>
      <b/>
      <sz val="16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center" vertical="center"/>
    </xf>
    <xf borderId="6" fillId="2" fontId="6" numFmtId="0" xfId="0" applyAlignment="1" applyBorder="1" applyFill="1" applyFont="1">
      <alignment vertical="center"/>
    </xf>
    <xf borderId="6" fillId="2" fontId="6" numFmtId="1" xfId="0" applyAlignment="1" applyBorder="1" applyFill="1" applyFont="1" applyNumberFormat="1">
      <alignment horizontal="center" vertical="center"/>
    </xf>
    <xf borderId="6" fillId="0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5" fillId="0" fontId="6" numFmtId="0" xfId="0" applyAlignment="1" applyBorder="1" applyFont="1">
      <alignment vertical="center"/>
    </xf>
    <xf borderId="7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1" xfId="0" applyAlignment="1" applyFont="1" applyNumberFormat="1">
      <alignment horizontal="center" vertical="center"/>
    </xf>
    <xf borderId="2" fillId="3" fontId="8" numFmtId="0" xfId="0" applyAlignment="1" applyBorder="1" applyFill="1" applyFont="1">
      <alignment horizontal="center"/>
    </xf>
    <xf borderId="5" fillId="0" fontId="6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vertical="center"/>
    </xf>
    <xf borderId="8" fillId="0" fontId="8" numFmtId="0" xfId="0" applyBorder="1" applyFont="1"/>
    <xf borderId="9" fillId="0" fontId="8" numFmtId="0" xfId="0" applyBorder="1" applyFont="1"/>
    <xf borderId="6" fillId="0" fontId="8" numFmtId="0" xfId="0" applyBorder="1" applyFont="1"/>
    <xf borderId="7" fillId="0" fontId="6" numFmtId="164" xfId="0" applyAlignment="1" applyBorder="1" applyFont="1" applyNumberFormat="1">
      <alignment horizontal="center"/>
    </xf>
    <xf borderId="6" fillId="0" fontId="3" numFmtId="0" xfId="0" applyAlignment="1" applyBorder="1" applyFont="1">
      <alignment horizontal="right" vertical="center"/>
    </xf>
    <xf borderId="6" fillId="0" fontId="9" numFmtId="165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6" fillId="2" fontId="3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center"/>
    </xf>
    <xf borderId="6" fillId="0" fontId="11" numFmtId="0" xfId="0" applyAlignment="1" applyBorder="1" applyFont="1">
      <alignment horizontal="center" vertical="center"/>
    </xf>
    <xf borderId="6" fillId="0" fontId="6" numFmtId="165" xfId="0" applyAlignment="1" applyBorder="1" applyFont="1" applyNumberFormat="1">
      <alignment horizontal="center" vertical="center"/>
    </xf>
    <xf borderId="6" fillId="0" fontId="9" numFmtId="166" xfId="0" applyAlignment="1" applyBorder="1" applyFont="1" applyNumberFormat="1">
      <alignment horizontal="center" vertical="center"/>
    </xf>
    <xf borderId="6" fillId="0" fontId="12" numFmtId="166" xfId="0" applyAlignment="1" applyBorder="1" applyFont="1" applyNumberFormat="1">
      <alignment horizontal="center" vertical="center"/>
    </xf>
    <xf borderId="6" fillId="0" fontId="6" numFmtId="167" xfId="0" applyAlignment="1" applyBorder="1" applyFont="1" applyNumberFormat="1">
      <alignment horizontal="center" vertical="center"/>
    </xf>
    <xf borderId="6" fillId="0" fontId="11" numFmtId="166" xfId="0" applyAlignment="1" applyBorder="1" applyFont="1" applyNumberFormat="1">
      <alignment horizontal="center" vertical="center"/>
    </xf>
    <xf borderId="6" fillId="2" fontId="3" numFmtId="0" xfId="0" applyAlignment="1" applyBorder="1" applyFill="1" applyFont="1">
      <alignment vertical="center"/>
    </xf>
    <xf borderId="6" fillId="2" fontId="3" numFmtId="0" xfId="0" applyAlignment="1" applyBorder="1" applyFill="1" applyFont="1">
      <alignment horizontal="center" vertical="center"/>
    </xf>
    <xf borderId="6" fillId="2" fontId="3" numFmtId="166" xfId="0" applyAlignment="1" applyBorder="1" applyFill="1" applyFont="1" applyNumberFormat="1">
      <alignment horizontal="center" vertical="center"/>
    </xf>
    <xf borderId="6" fillId="2" fontId="3" numFmtId="167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vertical="center"/>
    </xf>
    <xf borderId="6" fillId="0" fontId="6" numFmtId="166" xfId="0" applyAlignment="1" applyBorder="1" applyFont="1" applyNumberFormat="1">
      <alignment horizontal="center" vertical="center"/>
    </xf>
    <xf borderId="6" fillId="0" fontId="6" numFmtId="1" xfId="0" applyAlignment="1" applyBorder="1" applyFont="1" applyNumberFormat="1">
      <alignment horizontal="center" vertical="center"/>
    </xf>
    <xf borderId="0" fillId="0" fontId="2" numFmtId="0" xfId="0" applyAlignment="1" applyFont="1">
      <alignment shrinkToFit="0" vertical="top" wrapText="1"/>
    </xf>
    <xf borderId="0" fillId="0" fontId="14" numFmtId="0" xfId="0" applyFont="1"/>
    <xf borderId="0" fillId="0" fontId="15" numFmtId="0" xfId="0" applyFont="1"/>
    <xf borderId="1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1" fillId="0" fontId="8" numFmtId="0" xfId="0" applyBorder="1" applyFont="1"/>
    <xf borderId="10" fillId="0" fontId="4" numFmtId="0" xfId="0" applyBorder="1" applyFont="1"/>
    <xf borderId="11" fillId="2" fontId="8" numFmtId="0" xfId="0" applyBorder="1" applyFill="1" applyFont="1"/>
    <xf borderId="12" fillId="2" fontId="8" numFmtId="0" xfId="0" applyAlignment="1" applyBorder="1" applyFill="1" applyFont="1">
      <alignment horizontal="center" shrinkToFit="0" wrapText="1"/>
    </xf>
    <xf borderId="13" fillId="0" fontId="8" numFmtId="0" xfId="0" applyBorder="1" applyFont="1"/>
    <xf borderId="14" fillId="0" fontId="8" numFmtId="0" xfId="0" applyBorder="1" applyFont="1"/>
    <xf borderId="2" fillId="0" fontId="8" numFmtId="0" xfId="0" applyAlignment="1" applyBorder="1" applyFont="1">
      <alignment horizontal="center" shrinkToFit="0" wrapText="1"/>
    </xf>
    <xf borderId="10" fillId="0" fontId="8" numFmtId="0" xfId="0" applyBorder="1" applyFont="1"/>
    <xf borderId="15" fillId="2" fontId="8" numFmtId="0" xfId="0" applyBorder="1" applyFill="1" applyFont="1"/>
    <xf borderId="16" fillId="2" fontId="8" numFmtId="0" xfId="0" applyAlignment="1" applyBorder="1" applyFill="1" applyFont="1">
      <alignment horizontal="center" shrinkToFit="0" wrapText="1"/>
    </xf>
    <xf borderId="17" fillId="0" fontId="8" numFmtId="0" xfId="0" applyBorder="1" applyFont="1"/>
    <xf borderId="7" fillId="0" fontId="8" numFmtId="0" xfId="0" applyBorder="1" applyFont="1"/>
    <xf borderId="5" fillId="0" fontId="8" numFmtId="0" xfId="0" applyBorder="1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2">
    <dxf>
      <font>
        <b/>
        <color rgb="FF006100"/>
        <name val="Calibri"/>
      </font>
      <fill>
        <patternFill patternType="none"/>
      </fill>
      <border/>
    </dxf>
    <dxf>
      <font>
        <b/>
        <color rgb="FFC00000"/>
        <name val="Calibri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N°1'!$B$13:$I$13</c:f>
            </c:strRef>
          </c:cat>
          <c:val>
            <c:numRef>
              <c:f>'Sprint N°1'!$B$14:$I$14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N°1'!$B$13:$I$13</c:f>
            </c:strRef>
          </c:cat>
          <c:val>
            <c:numRef>
              <c:f>'Sprint N°1'!$B$16:$I$16</c:f>
              <c:numCache/>
            </c:numRef>
          </c:val>
          <c:smooth val="0"/>
        </c:ser>
        <c:axId val="1636760464"/>
        <c:axId val="752979686"/>
      </c:lineChart>
      <c:catAx>
        <c:axId val="163676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2979686"/>
      </c:catAx>
      <c:valAx>
        <c:axId val="75297968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676046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N°2'!$B$14:$O$14</c:f>
            </c:strRef>
          </c:cat>
          <c:val>
            <c:numRef>
              <c:f>'Sprint N°2'!$B$15:$O$15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N°2'!$B$14:$O$14</c:f>
            </c:strRef>
          </c:cat>
          <c:val>
            <c:numRef>
              <c:f>'Sprint N°2'!$B$17:$O$17</c:f>
              <c:numCache/>
            </c:numRef>
          </c:val>
          <c:smooth val="0"/>
        </c:ser>
        <c:axId val="1029189013"/>
        <c:axId val="499005216"/>
      </c:lineChart>
      <c:catAx>
        <c:axId val="1029189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9005216"/>
      </c:catAx>
      <c:valAx>
        <c:axId val="49900521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918901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N°3'!$B$12:$I$12</c:f>
            </c:strRef>
          </c:cat>
          <c:val>
            <c:numRef>
              <c:f>'Sprint N°3'!$B$13:$I$13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N°3'!$B$12:$I$12</c:f>
            </c:strRef>
          </c:cat>
          <c:val>
            <c:numRef>
              <c:f>'Sprint N°3'!$B$15:$I$15</c:f>
              <c:numCache/>
            </c:numRef>
          </c:val>
          <c:smooth val="0"/>
        </c:ser>
        <c:axId val="1035199990"/>
        <c:axId val="237924011"/>
      </c:lineChart>
      <c:catAx>
        <c:axId val="1035199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37924011"/>
      </c:catAx>
      <c:valAx>
        <c:axId val="23792401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519999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4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N°4'!$B$12:$P$12</c:f>
            </c:strRef>
          </c:cat>
          <c:val>
            <c:numRef>
              <c:f>'Sprint N°4'!$B$13:$P$13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N°4'!$B$12:$P$12</c:f>
            </c:strRef>
          </c:cat>
          <c:val>
            <c:numRef>
              <c:f>'Sprint N°4'!$B$15:$P$15</c:f>
              <c:numCache/>
            </c:numRef>
          </c:val>
          <c:smooth val="0"/>
        </c:ser>
        <c:axId val="833252767"/>
        <c:axId val="392329290"/>
      </c:lineChart>
      <c:catAx>
        <c:axId val="833252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2329290"/>
      </c:catAx>
      <c:valAx>
        <c:axId val="39232929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325276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5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N°5'!$B$12:$R$12</c:f>
            </c:strRef>
          </c:cat>
          <c:val>
            <c:numRef>
              <c:f>'Sprint N°5'!$B$13:$R$13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N°5'!$B$12:$R$12</c:f>
            </c:strRef>
          </c:cat>
          <c:val>
            <c:numRef>
              <c:f>'Sprint N°5'!$B$15:$R$15</c:f>
              <c:numCache/>
            </c:numRef>
          </c:val>
          <c:smooth val="0"/>
        </c:ser>
        <c:axId val="2093186077"/>
        <c:axId val="2082981054"/>
      </c:lineChart>
      <c:catAx>
        <c:axId val="2093186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2981054"/>
      </c:catAx>
      <c:valAx>
        <c:axId val="208298105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9318607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6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N°6'!$B$13:$N$13</c:f>
            </c:strRef>
          </c:cat>
          <c:val>
            <c:numRef>
              <c:f>'Sprint N°6'!$B$14:$N$14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N°6'!$B$13:$N$13</c:f>
            </c:strRef>
          </c:cat>
          <c:val>
            <c:numRef>
              <c:f>'Sprint N°6'!$B$16:$N$16</c:f>
              <c:numCache/>
            </c:numRef>
          </c:val>
          <c:smooth val="0"/>
        </c:ser>
        <c:axId val="319709417"/>
        <c:axId val="515689267"/>
      </c:lineChart>
      <c:catAx>
        <c:axId val="319709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5689267"/>
      </c:catAx>
      <c:valAx>
        <c:axId val="51568926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1970941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7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N°7'!$B$13:$P$13</c:f>
            </c:strRef>
          </c:cat>
          <c:val>
            <c:numRef>
              <c:f>'Sprint N°7'!$B$14:$P$14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N°7'!$B$13:$P$13</c:f>
            </c:strRef>
          </c:cat>
          <c:val>
            <c:numRef>
              <c:f>'Sprint N°7'!$B$16:$P$16</c:f>
              <c:numCache/>
            </c:numRef>
          </c:val>
          <c:smooth val="0"/>
        </c:ser>
        <c:axId val="1423327635"/>
        <c:axId val="707386794"/>
      </c:lineChart>
      <c:catAx>
        <c:axId val="1423327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7386794"/>
      </c:catAx>
      <c:valAx>
        <c:axId val="70738679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33276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Sprint 8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N°8'!$B$13:$M$13</c:f>
            </c:strRef>
          </c:cat>
          <c:val>
            <c:numRef>
              <c:f>'Sprint N°8'!$B$14:$M$14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N°8'!$B$13:$M$13</c:f>
            </c:strRef>
          </c:cat>
          <c:val>
            <c:numRef>
              <c:f>'Sprint N°8'!$B$16:$M$16</c:f>
              <c:numCache/>
            </c:numRef>
          </c:val>
          <c:smooth val="0"/>
        </c:ser>
        <c:axId val="1398368569"/>
        <c:axId val="1149131663"/>
      </c:lineChart>
      <c:catAx>
        <c:axId val="1398368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49131663"/>
      </c:catAx>
      <c:valAx>
        <c:axId val="114913166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836856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Proyecto HouseCount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C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burndown_Proyecto_HouseCount!$B$53:$CT$53</c:f>
            </c:strRef>
          </c:cat>
          <c:val>
            <c:numRef>
              <c:f>burndown_Proyecto_HouseCount!$B$54:$CT$54</c:f>
              <c:numCache/>
            </c:numRef>
          </c:val>
          <c:smooth val="0"/>
        </c:ser>
        <c:ser>
          <c:idx val="1"/>
          <c:order val="1"/>
          <c:tx>
            <c:v>Estimadas de producto por realizar (lineal)</c:v>
          </c:tx>
          <c:spPr>
            <a:ln cmpd="sng" w="19050">
              <a:solidFill>
                <a:srgbClr val="2E75B6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burndown_Proyecto_HouseCount!$B$53:$CT$53</c:f>
            </c:strRef>
          </c:cat>
          <c:val>
            <c:numRef>
              <c:f>burndown_Proyecto_HouseCount!$B$56:$CT$56</c:f>
              <c:numCache/>
            </c:numRef>
          </c:val>
          <c:smooth val="0"/>
        </c:ser>
        <c:ser>
          <c:idx val="2"/>
          <c:order val="2"/>
          <c:tx>
            <c:v>Plan según EDT (secuencia de sprints)</c:v>
          </c:tx>
          <c:spPr>
            <a:ln cmpd="sng" w="19050">
              <a:solidFill>
                <a:srgbClr val="70AD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burndown_Proyecto_HouseCount!$B$53:$CT$53</c:f>
            </c:strRef>
          </c:cat>
          <c:val>
            <c:numRef>
              <c:f>burndown_Proyecto_HouseCount!$B$58:$CT$58</c:f>
              <c:numCache/>
            </c:numRef>
          </c:val>
          <c:smooth val="0"/>
        </c:ser>
        <c:axId val="1907924848"/>
        <c:axId val="336785436"/>
      </c:lineChart>
      <c:catAx>
        <c:axId val="190792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36785436"/>
      </c:catAx>
      <c:valAx>
        <c:axId val="33678543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0792484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Ejemplo1!$B$12:$V$12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Ejemplo1!$B$14:$V$14</c:f>
              <c:numCache/>
            </c:numRef>
          </c:val>
          <c:smooth val="0"/>
        </c:ser>
        <c:axId val="354574857"/>
        <c:axId val="1123465041"/>
      </c:lineChart>
      <c:catAx>
        <c:axId val="354574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1123465041"/>
      </c:catAx>
      <c:valAx>
        <c:axId val="1123465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35457485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19050">
              <a:solidFill>
                <a:srgbClr val="5B9BD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Ejemplo1!$B$12:$V$12</c:f>
              <c:numCache/>
            </c:numRef>
          </c:val>
          <c:smooth val="1"/>
        </c:ser>
        <c:ser>
          <c:idx val="1"/>
          <c:order val="1"/>
          <c:tx>
            <c:v>Estimadas de producto por realizar</c:v>
          </c:tx>
          <c:spPr>
            <a:ln cmpd="sng" w="19050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Ejemplo1!$C$4:$V$4</c:f>
            </c:strRef>
          </c:cat>
          <c:val>
            <c:numRef>
              <c:f>Ejemplo1!$B$14:$V$14</c:f>
              <c:numCache/>
            </c:numRef>
          </c:val>
          <c:smooth val="1"/>
        </c:ser>
        <c:axId val="861282218"/>
        <c:axId val="306538942"/>
      </c:lineChart>
      <c:catAx>
        <c:axId val="861282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6538942"/>
      </c:catAx>
      <c:valAx>
        <c:axId val="306538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6128221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123825</xdr:rowOff>
    </xdr:from>
    <xdr:ext cx="9525000" cy="3419475"/>
    <xdr:graphicFrame>
      <xdr:nvGraphicFramePr>
        <xdr:cNvPr id="106700214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123825</xdr:rowOff>
    </xdr:from>
    <xdr:ext cx="9486900" cy="3419475"/>
    <xdr:graphicFrame>
      <xdr:nvGraphicFramePr>
        <xdr:cNvPr id="113208930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123825</xdr:rowOff>
    </xdr:from>
    <xdr:ext cx="9515475" cy="3419475"/>
    <xdr:graphicFrame>
      <xdr:nvGraphicFramePr>
        <xdr:cNvPr id="5691290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123825</xdr:rowOff>
    </xdr:from>
    <xdr:ext cx="9448800" cy="3419475"/>
    <xdr:graphicFrame>
      <xdr:nvGraphicFramePr>
        <xdr:cNvPr id="3514411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123825</xdr:rowOff>
    </xdr:from>
    <xdr:ext cx="9448800" cy="3419475"/>
    <xdr:graphicFrame>
      <xdr:nvGraphicFramePr>
        <xdr:cNvPr id="83224535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123825</xdr:rowOff>
    </xdr:from>
    <xdr:ext cx="9477375" cy="3419475"/>
    <xdr:graphicFrame>
      <xdr:nvGraphicFramePr>
        <xdr:cNvPr id="92109850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123825</xdr:rowOff>
    </xdr:from>
    <xdr:ext cx="9458325" cy="3419475"/>
    <xdr:graphicFrame>
      <xdr:nvGraphicFramePr>
        <xdr:cNvPr id="200301825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123825</xdr:rowOff>
    </xdr:from>
    <xdr:ext cx="9496425" cy="3419475"/>
    <xdr:graphicFrame>
      <xdr:nvGraphicFramePr>
        <xdr:cNvPr id="62171862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123825</xdr:rowOff>
    </xdr:from>
    <xdr:ext cx="9458325" cy="3419475"/>
    <xdr:graphicFrame>
      <xdr:nvGraphicFramePr>
        <xdr:cNvPr id="1091648833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76200</xdr:rowOff>
    </xdr:from>
    <xdr:ext cx="4343400" cy="3086100"/>
    <xdr:graphicFrame>
      <xdr:nvGraphicFramePr>
        <xdr:cNvPr id="1257017364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123825</xdr:rowOff>
    </xdr:from>
    <xdr:ext cx="6124575" cy="3200400"/>
    <xdr:graphicFrame>
      <xdr:nvGraphicFramePr>
        <xdr:cNvPr id="191284207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9" width="4.43"/>
    <col customWidth="1" min="10" max="10" width="10.0"/>
    <col customWidth="1" min="11" max="26" width="8.71"/>
  </cols>
  <sheetData>
    <row r="1" ht="14.25" customHeight="1">
      <c r="A1" s="1" t="str">
        <f>"Control del Sprint N°1 – "&amp;Resumen_Sprints!B6</f>
        <v>Control del Sprint N°1 – Fase Análisis y Planificación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6"/>
      <c r="J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7"/>
    </row>
    <row r="5" ht="14.25" customHeight="1">
      <c r="A5" s="9" t="s">
        <v>4</v>
      </c>
      <c r="B5" s="10">
        <f>SUM(B6:B10)</f>
        <v>43</v>
      </c>
    </row>
    <row r="6" ht="14.25" customHeight="1">
      <c r="A6" s="11" t="s">
        <v>5</v>
      </c>
      <c r="B6" s="12">
        <v>8.0</v>
      </c>
      <c r="C6" s="13">
        <v>7.0</v>
      </c>
      <c r="D6" s="13">
        <v>1.0</v>
      </c>
      <c r="E6" s="13"/>
      <c r="F6" s="13"/>
      <c r="G6" s="13"/>
      <c r="H6" s="13"/>
      <c r="I6" s="13"/>
      <c r="J6" s="14">
        <f t="shared" ref="J6:J10" si="1">SUM(C6:I6)</f>
        <v>8</v>
      </c>
    </row>
    <row r="7" ht="14.25" customHeight="1">
      <c r="A7" s="11" t="s">
        <v>6</v>
      </c>
      <c r="B7" s="12">
        <v>8.0</v>
      </c>
      <c r="C7" s="13"/>
      <c r="D7" s="13">
        <v>5.0</v>
      </c>
      <c r="E7" s="13">
        <v>3.0</v>
      </c>
      <c r="F7" s="13"/>
      <c r="G7" s="13"/>
      <c r="H7" s="13"/>
      <c r="I7" s="13"/>
      <c r="J7" s="14">
        <f t="shared" si="1"/>
        <v>8</v>
      </c>
    </row>
    <row r="8" ht="14.25" customHeight="1">
      <c r="A8" s="11" t="s">
        <v>7</v>
      </c>
      <c r="B8" s="12">
        <v>1.0</v>
      </c>
      <c r="C8" s="13"/>
      <c r="D8" s="13"/>
      <c r="E8" s="13">
        <v>3.0</v>
      </c>
      <c r="F8" s="13"/>
      <c r="G8" s="13"/>
      <c r="H8" s="13"/>
      <c r="I8" s="13"/>
      <c r="J8" s="14">
        <f t="shared" si="1"/>
        <v>3</v>
      </c>
    </row>
    <row r="9" ht="14.25" customHeight="1">
      <c r="A9" s="11" t="s">
        <v>8</v>
      </c>
      <c r="B9" s="12">
        <v>18.0</v>
      </c>
      <c r="C9" s="13"/>
      <c r="D9" s="13"/>
      <c r="E9" s="13">
        <v>1.0</v>
      </c>
      <c r="F9" s="13">
        <v>5.0</v>
      </c>
      <c r="G9" s="13">
        <v>7.0</v>
      </c>
      <c r="H9" s="13">
        <v>3.0</v>
      </c>
      <c r="I9" s="13"/>
      <c r="J9" s="14">
        <f t="shared" si="1"/>
        <v>16</v>
      </c>
    </row>
    <row r="10" ht="14.25" customHeight="1">
      <c r="A10" s="15" t="s">
        <v>9</v>
      </c>
      <c r="B10" s="12">
        <v>8.0</v>
      </c>
      <c r="C10" s="16"/>
      <c r="D10" s="16"/>
      <c r="E10" s="16"/>
      <c r="F10" s="16"/>
      <c r="G10" s="16"/>
      <c r="H10" s="16">
        <v>3.0</v>
      </c>
      <c r="I10" s="16">
        <v>5.0</v>
      </c>
      <c r="J10" s="17">
        <f t="shared" si="1"/>
        <v>8</v>
      </c>
    </row>
    <row r="11" ht="14.25" customHeight="1"/>
    <row r="12" ht="14.25" customHeight="1"/>
    <row r="13" ht="14.25" customHeight="1">
      <c r="A13" s="2" t="s">
        <v>10</v>
      </c>
      <c r="B13" s="18">
        <v>0.0</v>
      </c>
      <c r="C13" s="18">
        <f t="shared" ref="C13:I13" si="2">C$4</f>
        <v>1</v>
      </c>
      <c r="D13" s="18">
        <f t="shared" si="2"/>
        <v>2</v>
      </c>
      <c r="E13" s="18">
        <f t="shared" si="2"/>
        <v>3</v>
      </c>
      <c r="F13" s="18">
        <f t="shared" si="2"/>
        <v>4</v>
      </c>
      <c r="G13" s="18">
        <f t="shared" si="2"/>
        <v>5</v>
      </c>
      <c r="H13" s="18">
        <f t="shared" si="2"/>
        <v>6</v>
      </c>
      <c r="I13" s="18">
        <f t="shared" si="2"/>
        <v>7</v>
      </c>
    </row>
    <row r="14" ht="14.25" customHeight="1">
      <c r="A14" s="19" t="s">
        <v>11</v>
      </c>
      <c r="B14" s="14">
        <f>SUM(B6:B10)</f>
        <v>43</v>
      </c>
      <c r="C14" s="20">
        <f t="shared" ref="C14:I14" si="3">B14-SUM(C6:C10)</f>
        <v>36</v>
      </c>
      <c r="D14" s="20">
        <f t="shared" si="3"/>
        <v>30</v>
      </c>
      <c r="E14" s="20">
        <f t="shared" si="3"/>
        <v>23</v>
      </c>
      <c r="F14" s="20">
        <f t="shared" si="3"/>
        <v>18</v>
      </c>
      <c r="G14" s="20">
        <f t="shared" si="3"/>
        <v>11</v>
      </c>
      <c r="H14" s="20">
        <f t="shared" si="3"/>
        <v>5</v>
      </c>
      <c r="I14" s="20">
        <f t="shared" si="3"/>
        <v>0</v>
      </c>
    </row>
    <row r="15" ht="14.25" customHeight="1"/>
    <row r="16" ht="14.25" customHeight="1">
      <c r="A16" s="19" t="s">
        <v>12</v>
      </c>
      <c r="B16" s="14">
        <f>SUM(B6:B10)</f>
        <v>43</v>
      </c>
      <c r="C16" s="20">
        <f t="shared" ref="C16:I16" si="4">$B$16*(1-C$4/COUNT($C$4:$I$4))</f>
        <v>36.85714286</v>
      </c>
      <c r="D16" s="20">
        <f t="shared" si="4"/>
        <v>30.71428571</v>
      </c>
      <c r="E16" s="20">
        <f t="shared" si="4"/>
        <v>24.57142857</v>
      </c>
      <c r="F16" s="20">
        <f t="shared" si="4"/>
        <v>18.42857143</v>
      </c>
      <c r="G16" s="20">
        <f t="shared" si="4"/>
        <v>12.28571429</v>
      </c>
      <c r="H16" s="20">
        <f t="shared" si="4"/>
        <v>6.142857143</v>
      </c>
      <c r="I16" s="20">
        <f t="shared" si="4"/>
        <v>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I3"/>
    <mergeCell ref="J3:J4"/>
  </mergeCells>
  <dataValidations>
    <dataValidation type="decimal" operator="greaterThanOrEqual" allowBlank="1" showInputMessage="1" showErrorMessage="1" prompt="Horas - Ingrese horas reales (número ≥ 0)" sqref="C6:I10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15" width="4.43"/>
    <col customWidth="1" min="16" max="16" width="10.0"/>
    <col customWidth="1" min="17" max="26" width="8.71"/>
  </cols>
  <sheetData>
    <row r="1" ht="14.25" customHeight="1">
      <c r="A1" s="1" t="str">
        <f>"Control del Sprint N°2 – "&amp;Resumen_Sprints!B7</f>
        <v>Control del Sprint N°2 – Fase Diseño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7"/>
    </row>
    <row r="5" ht="14.25" customHeight="1">
      <c r="A5" s="9" t="s">
        <v>13</v>
      </c>
      <c r="B5" s="10">
        <f>SUM(B6:B11)</f>
        <v>98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ht="14.25" customHeight="1">
      <c r="A6" s="11" t="s">
        <v>14</v>
      </c>
      <c r="B6" s="12">
        <v>16.0</v>
      </c>
      <c r="C6" s="13">
        <v>7.0</v>
      </c>
      <c r="D6" s="13">
        <v>6.0</v>
      </c>
      <c r="E6" s="13">
        <v>3.0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2">
        <f t="shared" ref="P6:P11" si="1">SUM(C6:O6)</f>
        <v>16</v>
      </c>
    </row>
    <row r="7" ht="14.25" customHeight="1">
      <c r="A7" s="11" t="s">
        <v>15</v>
      </c>
      <c r="B7" s="12">
        <v>14.0</v>
      </c>
      <c r="C7" s="13"/>
      <c r="D7" s="13"/>
      <c r="E7" s="13">
        <v>4.0</v>
      </c>
      <c r="F7" s="13">
        <v>7.0</v>
      </c>
      <c r="G7" s="13">
        <v>3.0</v>
      </c>
      <c r="H7" s="13"/>
      <c r="I7" s="13"/>
      <c r="J7" s="13"/>
      <c r="K7" s="13"/>
      <c r="L7" s="13"/>
      <c r="M7" s="13"/>
      <c r="N7" s="13"/>
      <c r="O7" s="13"/>
      <c r="P7" s="12">
        <f t="shared" si="1"/>
        <v>14</v>
      </c>
    </row>
    <row r="8" ht="14.25" customHeight="1">
      <c r="A8" s="11" t="s">
        <v>16</v>
      </c>
      <c r="B8" s="12">
        <v>23.0</v>
      </c>
      <c r="C8" s="13"/>
      <c r="D8" s="13"/>
      <c r="E8" s="13"/>
      <c r="F8" s="13"/>
      <c r="G8" s="13">
        <v>7.0</v>
      </c>
      <c r="H8" s="13">
        <v>6.0</v>
      </c>
      <c r="I8" s="13">
        <v>7.0</v>
      </c>
      <c r="J8" s="13">
        <v>2.0</v>
      </c>
      <c r="K8" s="13"/>
      <c r="L8" s="13"/>
      <c r="M8" s="13"/>
      <c r="N8" s="13"/>
      <c r="O8" s="13"/>
      <c r="P8" s="12">
        <f t="shared" si="1"/>
        <v>22</v>
      </c>
    </row>
    <row r="9" ht="14.25" customHeight="1">
      <c r="A9" s="11" t="s">
        <v>17</v>
      </c>
      <c r="B9" s="12">
        <v>18.0</v>
      </c>
      <c r="C9" s="13"/>
      <c r="D9" s="13"/>
      <c r="E9" s="13"/>
      <c r="F9" s="13"/>
      <c r="G9" s="13"/>
      <c r="H9" s="13"/>
      <c r="I9" s="13"/>
      <c r="J9" s="13">
        <v>6.0</v>
      </c>
      <c r="K9" s="13">
        <v>10.0</v>
      </c>
      <c r="L9" s="13">
        <v>2.0</v>
      </c>
      <c r="M9" s="13"/>
      <c r="N9" s="13"/>
      <c r="O9" s="13"/>
      <c r="P9" s="12">
        <f t="shared" si="1"/>
        <v>18</v>
      </c>
    </row>
    <row r="10" ht="14.25" customHeight="1">
      <c r="A10" s="11" t="s">
        <v>18</v>
      </c>
      <c r="B10" s="12">
        <v>11.0</v>
      </c>
      <c r="C10" s="13"/>
      <c r="D10" s="13"/>
      <c r="E10" s="13"/>
      <c r="F10" s="13"/>
      <c r="G10" s="13"/>
      <c r="H10" s="13"/>
      <c r="I10" s="13"/>
      <c r="J10" s="13"/>
      <c r="K10" s="13"/>
      <c r="L10" s="13">
        <v>6.0</v>
      </c>
      <c r="M10" s="13">
        <v>6.0</v>
      </c>
      <c r="N10" s="13"/>
      <c r="O10" s="13"/>
      <c r="P10" s="12">
        <f t="shared" si="1"/>
        <v>12</v>
      </c>
    </row>
    <row r="11" ht="14.25" customHeight="1">
      <c r="A11" s="15" t="s">
        <v>19</v>
      </c>
      <c r="B11" s="12">
        <v>16.0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>
        <v>1.0</v>
      </c>
      <c r="N11" s="16">
        <v>10.0</v>
      </c>
      <c r="O11" s="16">
        <v>5.0</v>
      </c>
      <c r="P11" s="12">
        <f t="shared" si="1"/>
        <v>16</v>
      </c>
    </row>
    <row r="12" ht="14.25" customHeight="1"/>
    <row r="13" ht="14.25" customHeight="1"/>
    <row r="14" ht="14.25" customHeight="1">
      <c r="A14" s="2" t="s">
        <v>10</v>
      </c>
      <c r="B14" s="18">
        <v>0.0</v>
      </c>
      <c r="C14" s="18">
        <f t="shared" ref="C14:O14" si="2">C$4</f>
        <v>1</v>
      </c>
      <c r="D14" s="18">
        <f t="shared" si="2"/>
        <v>2</v>
      </c>
      <c r="E14" s="18">
        <f t="shared" si="2"/>
        <v>3</v>
      </c>
      <c r="F14" s="18">
        <f t="shared" si="2"/>
        <v>4</v>
      </c>
      <c r="G14" s="18">
        <f t="shared" si="2"/>
        <v>5</v>
      </c>
      <c r="H14" s="18">
        <f t="shared" si="2"/>
        <v>6</v>
      </c>
      <c r="I14" s="18">
        <f t="shared" si="2"/>
        <v>7</v>
      </c>
      <c r="J14" s="18">
        <f t="shared" si="2"/>
        <v>8</v>
      </c>
      <c r="K14" s="18">
        <f t="shared" si="2"/>
        <v>9</v>
      </c>
      <c r="L14" s="18">
        <f t="shared" si="2"/>
        <v>10</v>
      </c>
      <c r="M14" s="18">
        <f t="shared" si="2"/>
        <v>11</v>
      </c>
      <c r="N14" s="18">
        <f t="shared" si="2"/>
        <v>12</v>
      </c>
      <c r="O14" s="18">
        <f t="shared" si="2"/>
        <v>13</v>
      </c>
    </row>
    <row r="15" ht="14.25" customHeight="1">
      <c r="A15" s="19" t="s">
        <v>11</v>
      </c>
      <c r="B15" s="14">
        <f>SUM(B6:B11)</f>
        <v>98</v>
      </c>
      <c r="C15" s="20">
        <f t="shared" ref="C15:O15" si="3">B15-SUM(C6:C11)</f>
        <v>91</v>
      </c>
      <c r="D15" s="20">
        <f t="shared" si="3"/>
        <v>85</v>
      </c>
      <c r="E15" s="20">
        <f t="shared" si="3"/>
        <v>78</v>
      </c>
      <c r="F15" s="20">
        <f t="shared" si="3"/>
        <v>71</v>
      </c>
      <c r="G15" s="20">
        <f t="shared" si="3"/>
        <v>61</v>
      </c>
      <c r="H15" s="20">
        <f t="shared" si="3"/>
        <v>55</v>
      </c>
      <c r="I15" s="20">
        <f t="shared" si="3"/>
        <v>48</v>
      </c>
      <c r="J15" s="20">
        <f t="shared" si="3"/>
        <v>40</v>
      </c>
      <c r="K15" s="20">
        <f t="shared" si="3"/>
        <v>30</v>
      </c>
      <c r="L15" s="20">
        <f t="shared" si="3"/>
        <v>22</v>
      </c>
      <c r="M15" s="20">
        <f t="shared" si="3"/>
        <v>15</v>
      </c>
      <c r="N15" s="20">
        <f t="shared" si="3"/>
        <v>5</v>
      </c>
      <c r="O15" s="20">
        <f t="shared" si="3"/>
        <v>0</v>
      </c>
    </row>
    <row r="16" ht="14.25" customHeight="1"/>
    <row r="17" ht="14.25" customHeight="1">
      <c r="A17" s="19" t="s">
        <v>12</v>
      </c>
      <c r="B17" s="14">
        <f>SUM(B6:B11)</f>
        <v>98</v>
      </c>
      <c r="C17" s="20">
        <f t="shared" ref="C17:O17" si="4">$B$17*(1-C$4/COUNT($C$4:$O$4))</f>
        <v>90.46153846</v>
      </c>
      <c r="D17" s="20">
        <f t="shared" si="4"/>
        <v>82.92307692</v>
      </c>
      <c r="E17" s="20">
        <f t="shared" si="4"/>
        <v>75.38461538</v>
      </c>
      <c r="F17" s="20">
        <f t="shared" si="4"/>
        <v>67.84615385</v>
      </c>
      <c r="G17" s="20">
        <f t="shared" si="4"/>
        <v>60.30769231</v>
      </c>
      <c r="H17" s="20">
        <f t="shared" si="4"/>
        <v>52.76923077</v>
      </c>
      <c r="I17" s="20">
        <f t="shared" si="4"/>
        <v>45.23076923</v>
      </c>
      <c r="J17" s="20">
        <f t="shared" si="4"/>
        <v>37.69230769</v>
      </c>
      <c r="K17" s="20">
        <f t="shared" si="4"/>
        <v>30.15384615</v>
      </c>
      <c r="L17" s="20">
        <f t="shared" si="4"/>
        <v>22.61538462</v>
      </c>
      <c r="M17" s="20">
        <f t="shared" si="4"/>
        <v>15.07692308</v>
      </c>
      <c r="N17" s="20">
        <f t="shared" si="4"/>
        <v>7.538461538</v>
      </c>
      <c r="O17" s="20">
        <f t="shared" si="4"/>
        <v>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A4"/>
    <mergeCell ref="B3:B4"/>
    <mergeCell ref="C3:O3"/>
    <mergeCell ref="P3:P4"/>
    <mergeCell ref="C5:P5"/>
  </mergeCells>
  <dataValidations>
    <dataValidation type="decimal" operator="greaterThanOrEqual" allowBlank="1" showInputMessage="1" showErrorMessage="1" prompt="Horas - Ingrese horas reales (número ≥ 0)" sqref="C6:O11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9" width="4.43"/>
    <col customWidth="1" min="10" max="10" width="10.0"/>
    <col customWidth="1" min="11" max="26" width="8.71"/>
  </cols>
  <sheetData>
    <row r="1" ht="14.25" customHeight="1">
      <c r="A1" s="1" t="str">
        <f>"Control del Sprint N°3 – "&amp;Resumen_Sprints!B8</f>
        <v>Control del Sprint N°3 – Base de Datos y Catálogo de Materiales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6"/>
      <c r="J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7"/>
    </row>
    <row r="5" ht="14.25" customHeight="1">
      <c r="A5" s="9" t="s">
        <v>20</v>
      </c>
      <c r="B5" s="10">
        <f>SUM(B6:B9)</f>
        <v>47</v>
      </c>
      <c r="C5" s="21"/>
      <c r="D5" s="5"/>
      <c r="E5" s="5"/>
      <c r="F5" s="5"/>
      <c r="G5" s="5"/>
      <c r="H5" s="5"/>
      <c r="I5" s="5"/>
      <c r="J5" s="6"/>
    </row>
    <row r="6" ht="14.25" customHeight="1">
      <c r="A6" s="11" t="s">
        <v>21</v>
      </c>
      <c r="B6" s="13">
        <v>1.0</v>
      </c>
      <c r="C6" s="13">
        <v>1.0</v>
      </c>
      <c r="D6" s="13"/>
      <c r="E6" s="13"/>
      <c r="F6" s="13"/>
      <c r="G6" s="13"/>
      <c r="H6" s="13"/>
      <c r="I6" s="13"/>
      <c r="J6" s="22">
        <f t="shared" ref="J6:J9" si="1">SUM(C6:I6)</f>
        <v>1</v>
      </c>
    </row>
    <row r="7" ht="14.25" customHeight="1">
      <c r="A7" s="11" t="s">
        <v>22</v>
      </c>
      <c r="B7" s="12">
        <v>10.0</v>
      </c>
      <c r="C7" s="13">
        <v>5.0</v>
      </c>
      <c r="D7" s="13">
        <v>5.0</v>
      </c>
      <c r="E7" s="13"/>
      <c r="F7" s="13"/>
      <c r="G7" s="13"/>
      <c r="H7" s="13"/>
      <c r="I7" s="13"/>
      <c r="J7" s="12">
        <f t="shared" si="1"/>
        <v>10</v>
      </c>
    </row>
    <row r="8" ht="14.25" customHeight="1">
      <c r="A8" s="11" t="s">
        <v>23</v>
      </c>
      <c r="B8" s="12">
        <v>19.0</v>
      </c>
      <c r="C8" s="13"/>
      <c r="D8" s="13"/>
      <c r="E8" s="13">
        <v>7.0</v>
      </c>
      <c r="F8" s="13">
        <v>8.0</v>
      </c>
      <c r="G8" s="13">
        <v>4.0</v>
      </c>
      <c r="H8" s="13"/>
      <c r="I8" s="13"/>
      <c r="J8" s="12">
        <f t="shared" si="1"/>
        <v>19</v>
      </c>
    </row>
    <row r="9" ht="14.25" customHeight="1">
      <c r="A9" s="15" t="s">
        <v>24</v>
      </c>
      <c r="B9" s="12">
        <v>17.0</v>
      </c>
      <c r="C9" s="16"/>
      <c r="D9" s="16"/>
      <c r="E9" s="16"/>
      <c r="F9" s="16"/>
      <c r="G9" s="16">
        <v>2.0</v>
      </c>
      <c r="H9" s="16">
        <v>8.0</v>
      </c>
      <c r="I9" s="16">
        <v>7.0</v>
      </c>
      <c r="J9" s="12">
        <f t="shared" si="1"/>
        <v>17</v>
      </c>
    </row>
    <row r="10" ht="14.25" customHeight="1"/>
    <row r="11" ht="14.25" customHeight="1"/>
    <row r="12" ht="14.25" customHeight="1">
      <c r="A12" s="2" t="s">
        <v>10</v>
      </c>
      <c r="B12" s="18">
        <v>0.0</v>
      </c>
      <c r="C12" s="18">
        <f t="shared" ref="C12:I12" si="2">C$4</f>
        <v>1</v>
      </c>
      <c r="D12" s="18">
        <f t="shared" si="2"/>
        <v>2</v>
      </c>
      <c r="E12" s="18">
        <f t="shared" si="2"/>
        <v>3</v>
      </c>
      <c r="F12" s="18">
        <f t="shared" si="2"/>
        <v>4</v>
      </c>
      <c r="G12" s="18">
        <f t="shared" si="2"/>
        <v>5</v>
      </c>
      <c r="H12" s="18">
        <f t="shared" si="2"/>
        <v>6</v>
      </c>
      <c r="I12" s="18">
        <f t="shared" si="2"/>
        <v>7</v>
      </c>
    </row>
    <row r="13" ht="14.25" customHeight="1">
      <c r="A13" s="19" t="s">
        <v>11</v>
      </c>
      <c r="B13" s="14">
        <f>SUM(B6:B9)</f>
        <v>47</v>
      </c>
      <c r="C13" s="20">
        <f t="shared" ref="C13:I13" si="3">B13-SUM(C6:C9)</f>
        <v>41</v>
      </c>
      <c r="D13" s="20">
        <f t="shared" si="3"/>
        <v>36</v>
      </c>
      <c r="E13" s="20">
        <f t="shared" si="3"/>
        <v>29</v>
      </c>
      <c r="F13" s="20">
        <f t="shared" si="3"/>
        <v>21</v>
      </c>
      <c r="G13" s="20">
        <f t="shared" si="3"/>
        <v>15</v>
      </c>
      <c r="H13" s="20">
        <f t="shared" si="3"/>
        <v>7</v>
      </c>
      <c r="I13" s="20">
        <f t="shared" si="3"/>
        <v>0</v>
      </c>
    </row>
    <row r="14" ht="14.25" customHeight="1"/>
    <row r="15" ht="14.25" customHeight="1">
      <c r="A15" s="19" t="s">
        <v>12</v>
      </c>
      <c r="B15" s="14">
        <f>SUM(B6:B9)</f>
        <v>47</v>
      </c>
      <c r="C15" s="20">
        <f t="shared" ref="C15:I15" si="4">$B$15*(1-C$4/COUNT($C$4:$I$4))</f>
        <v>40.28571429</v>
      </c>
      <c r="D15" s="20">
        <f t="shared" si="4"/>
        <v>33.57142857</v>
      </c>
      <c r="E15" s="20">
        <f t="shared" si="4"/>
        <v>26.85714286</v>
      </c>
      <c r="F15" s="20">
        <f t="shared" si="4"/>
        <v>20.14285714</v>
      </c>
      <c r="G15" s="20">
        <f t="shared" si="4"/>
        <v>13.42857143</v>
      </c>
      <c r="H15" s="20">
        <f t="shared" si="4"/>
        <v>6.714285714</v>
      </c>
      <c r="I15" s="20">
        <f t="shared" si="4"/>
        <v>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A4"/>
    <mergeCell ref="B3:B4"/>
    <mergeCell ref="C3:I3"/>
    <mergeCell ref="J3:J4"/>
    <mergeCell ref="C5:J5"/>
  </mergeCells>
  <dataValidations>
    <dataValidation type="decimal" operator="greaterThanOrEqual" allowBlank="1" showInputMessage="1" showErrorMessage="1" prompt="Horas - Ingrese horas reales (número ≥ 0)" sqref="B6:I6 C7:I9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16" width="4.43"/>
    <col customWidth="1" min="17" max="17" width="10.0"/>
    <col customWidth="1" min="18" max="26" width="8.71"/>
  </cols>
  <sheetData>
    <row r="1" ht="14.25" customHeight="1">
      <c r="A1" s="1" t="str">
        <f>"Control del Sprint N°4 – "&amp;Resumen_Sprints!B9</f>
        <v>Control del Sprint N°4 – Motor de Simulación y Algoritmo de Cálculo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7"/>
    </row>
    <row r="5" ht="14.25" customHeight="1">
      <c r="A5" s="9" t="s">
        <v>25</v>
      </c>
      <c r="B5" s="10">
        <f>SUM(B6:B9)</f>
        <v>91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ht="14.25" customHeight="1">
      <c r="A6" s="11" t="s">
        <v>26</v>
      </c>
      <c r="B6" s="13">
        <v>1.0</v>
      </c>
      <c r="C6" s="13">
        <v>1.0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2">
        <f t="shared" ref="Q6:Q9" si="1">SUM(C6:P6)</f>
        <v>1</v>
      </c>
    </row>
    <row r="7" ht="14.25" customHeight="1">
      <c r="A7" s="11" t="s">
        <v>27</v>
      </c>
      <c r="B7" s="12">
        <v>39.0</v>
      </c>
      <c r="C7" s="13">
        <v>4.0</v>
      </c>
      <c r="D7" s="13">
        <v>5.0</v>
      </c>
      <c r="E7" s="13">
        <v>5.0</v>
      </c>
      <c r="F7" s="13">
        <v>7.0</v>
      </c>
      <c r="G7" s="13">
        <v>6.0</v>
      </c>
      <c r="H7" s="13">
        <v>7.0</v>
      </c>
      <c r="I7" s="13">
        <v>4.0</v>
      </c>
      <c r="J7" s="13"/>
      <c r="K7" s="13"/>
      <c r="L7" s="13"/>
      <c r="M7" s="13"/>
      <c r="N7" s="13"/>
      <c r="O7" s="13"/>
      <c r="P7" s="13"/>
      <c r="Q7" s="12">
        <f t="shared" si="1"/>
        <v>38</v>
      </c>
    </row>
    <row r="8" ht="14.25" customHeight="1">
      <c r="A8" s="11" t="s">
        <v>28</v>
      </c>
      <c r="B8" s="12">
        <v>36.0</v>
      </c>
      <c r="C8" s="13"/>
      <c r="D8" s="13"/>
      <c r="E8" s="13"/>
      <c r="F8" s="13"/>
      <c r="G8" s="13"/>
      <c r="H8" s="13"/>
      <c r="I8" s="13">
        <v>3.0</v>
      </c>
      <c r="J8" s="13">
        <v>7.0</v>
      </c>
      <c r="K8" s="13">
        <v>6.0</v>
      </c>
      <c r="L8" s="13">
        <v>8.0</v>
      </c>
      <c r="M8" s="13">
        <v>7.0</v>
      </c>
      <c r="N8" s="13">
        <v>5.0</v>
      </c>
      <c r="O8" s="13"/>
      <c r="P8" s="13"/>
      <c r="Q8" s="12">
        <f t="shared" si="1"/>
        <v>36</v>
      </c>
    </row>
    <row r="9" ht="14.25" customHeight="1">
      <c r="A9" s="15" t="s">
        <v>29</v>
      </c>
      <c r="B9" s="12">
        <v>15.0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>
        <v>2.0</v>
      </c>
      <c r="O9" s="16">
        <v>7.0</v>
      </c>
      <c r="P9" s="16">
        <v>7.0</v>
      </c>
      <c r="Q9" s="12">
        <f t="shared" si="1"/>
        <v>16</v>
      </c>
    </row>
    <row r="10" ht="14.25" customHeight="1"/>
    <row r="11" ht="14.25" customHeight="1"/>
    <row r="12" ht="14.25" customHeight="1">
      <c r="A12" s="2" t="s">
        <v>10</v>
      </c>
      <c r="B12" s="18">
        <v>0.0</v>
      </c>
      <c r="C12" s="18">
        <f t="shared" ref="C12:P12" si="2">C$4</f>
        <v>1</v>
      </c>
      <c r="D12" s="18">
        <f t="shared" si="2"/>
        <v>2</v>
      </c>
      <c r="E12" s="18">
        <f t="shared" si="2"/>
        <v>3</v>
      </c>
      <c r="F12" s="18">
        <f t="shared" si="2"/>
        <v>4</v>
      </c>
      <c r="G12" s="18">
        <f t="shared" si="2"/>
        <v>5</v>
      </c>
      <c r="H12" s="18">
        <f t="shared" si="2"/>
        <v>6</v>
      </c>
      <c r="I12" s="18">
        <f t="shared" si="2"/>
        <v>7</v>
      </c>
      <c r="J12" s="18">
        <f t="shared" si="2"/>
        <v>8</v>
      </c>
      <c r="K12" s="18">
        <f t="shared" si="2"/>
        <v>9</v>
      </c>
      <c r="L12" s="18">
        <f t="shared" si="2"/>
        <v>10</v>
      </c>
      <c r="M12" s="18">
        <f t="shared" si="2"/>
        <v>11</v>
      </c>
      <c r="N12" s="18">
        <f t="shared" si="2"/>
        <v>12</v>
      </c>
      <c r="O12" s="18">
        <f t="shared" si="2"/>
        <v>13</v>
      </c>
      <c r="P12" s="18">
        <f t="shared" si="2"/>
        <v>14</v>
      </c>
    </row>
    <row r="13" ht="14.25" customHeight="1">
      <c r="A13" s="19" t="s">
        <v>11</v>
      </c>
      <c r="B13" s="14">
        <f>SUM(B6:B9)</f>
        <v>91</v>
      </c>
      <c r="C13" s="20">
        <f t="shared" ref="C13:P13" si="3">B13-SUM(C6:C9)</f>
        <v>86</v>
      </c>
      <c r="D13" s="20">
        <f t="shared" si="3"/>
        <v>81</v>
      </c>
      <c r="E13" s="20">
        <f t="shared" si="3"/>
        <v>76</v>
      </c>
      <c r="F13" s="20">
        <f t="shared" si="3"/>
        <v>69</v>
      </c>
      <c r="G13" s="20">
        <f t="shared" si="3"/>
        <v>63</v>
      </c>
      <c r="H13" s="20">
        <f t="shared" si="3"/>
        <v>56</v>
      </c>
      <c r="I13" s="20">
        <f t="shared" si="3"/>
        <v>49</v>
      </c>
      <c r="J13" s="20">
        <f t="shared" si="3"/>
        <v>42</v>
      </c>
      <c r="K13" s="20">
        <f t="shared" si="3"/>
        <v>36</v>
      </c>
      <c r="L13" s="20">
        <f t="shared" si="3"/>
        <v>28</v>
      </c>
      <c r="M13" s="20">
        <f t="shared" si="3"/>
        <v>21</v>
      </c>
      <c r="N13" s="20">
        <f t="shared" si="3"/>
        <v>14</v>
      </c>
      <c r="O13" s="20">
        <f t="shared" si="3"/>
        <v>7</v>
      </c>
      <c r="P13" s="20">
        <f t="shared" si="3"/>
        <v>0</v>
      </c>
    </row>
    <row r="14" ht="14.25" customHeight="1"/>
    <row r="15" ht="14.25" customHeight="1">
      <c r="A15" s="19" t="s">
        <v>12</v>
      </c>
      <c r="B15" s="14">
        <f>SUM(B6:B9)</f>
        <v>91</v>
      </c>
      <c r="C15" s="20">
        <f t="shared" ref="C15:P15" si="4">$B$15*(1-C$4/COUNT($C$4:$P$4))</f>
        <v>84.5</v>
      </c>
      <c r="D15" s="20">
        <f t="shared" si="4"/>
        <v>78</v>
      </c>
      <c r="E15" s="20">
        <f t="shared" si="4"/>
        <v>71.5</v>
      </c>
      <c r="F15" s="20">
        <f t="shared" si="4"/>
        <v>65</v>
      </c>
      <c r="G15" s="20">
        <f t="shared" si="4"/>
        <v>58.5</v>
      </c>
      <c r="H15" s="20">
        <f t="shared" si="4"/>
        <v>52</v>
      </c>
      <c r="I15" s="20">
        <f t="shared" si="4"/>
        <v>45.5</v>
      </c>
      <c r="J15" s="20">
        <f t="shared" si="4"/>
        <v>39</v>
      </c>
      <c r="K15" s="20">
        <f t="shared" si="4"/>
        <v>32.5</v>
      </c>
      <c r="L15" s="20">
        <f t="shared" si="4"/>
        <v>26</v>
      </c>
      <c r="M15" s="20">
        <f t="shared" si="4"/>
        <v>19.5</v>
      </c>
      <c r="N15" s="20">
        <f t="shared" si="4"/>
        <v>13</v>
      </c>
      <c r="O15" s="20">
        <f t="shared" si="4"/>
        <v>6.5</v>
      </c>
      <c r="P15" s="20">
        <f t="shared" si="4"/>
        <v>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A4"/>
    <mergeCell ref="B3:B4"/>
    <mergeCell ref="C3:P3"/>
    <mergeCell ref="Q3:Q4"/>
    <mergeCell ref="C5:Q5"/>
  </mergeCells>
  <dataValidations>
    <dataValidation type="decimal" operator="greaterThanOrEqual" allowBlank="1" showInputMessage="1" showErrorMessage="1" prompt="Horas - Ingrese horas reales (número ≥ 0)" sqref="B6:P6 C7:P9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18" width="4.43"/>
    <col customWidth="1" min="19" max="19" width="10.0"/>
    <col customWidth="1" min="20" max="26" width="8.71"/>
  </cols>
  <sheetData>
    <row r="1" ht="14.25" customHeight="1">
      <c r="A1" s="1" t="str">
        <f>"Control del Sprint N°5 – "&amp;Resumen_Sprints!B10</f>
        <v>Control del Sprint N°5 – Interfaz Gráfica Interactiva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7"/>
    </row>
    <row r="5" ht="14.25" customHeight="1">
      <c r="A5" s="9" t="s">
        <v>30</v>
      </c>
      <c r="B5" s="10">
        <f>SUM(B6:B9)</f>
        <v>97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ht="14.25" customHeight="1">
      <c r="A6" s="11" t="s">
        <v>31</v>
      </c>
      <c r="B6" s="13">
        <v>1.0</v>
      </c>
      <c r="C6" s="13">
        <v>1.0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2">
        <f t="shared" ref="S6:S9" si="1">SUM(C6:R6)</f>
        <v>1</v>
      </c>
    </row>
    <row r="7" ht="14.25" customHeight="1">
      <c r="A7" s="11" t="s">
        <v>32</v>
      </c>
      <c r="B7" s="12">
        <v>24.0</v>
      </c>
      <c r="C7" s="13">
        <v>4.0</v>
      </c>
      <c r="D7" s="13">
        <v>8.0</v>
      </c>
      <c r="E7" s="13">
        <v>5.0</v>
      </c>
      <c r="F7" s="13">
        <v>6.0</v>
      </c>
      <c r="G7" s="13">
        <v>1.0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2">
        <f t="shared" si="1"/>
        <v>24</v>
      </c>
    </row>
    <row r="8" ht="14.25" customHeight="1">
      <c r="A8" s="11" t="s">
        <v>33</v>
      </c>
      <c r="B8" s="12">
        <v>49.0</v>
      </c>
      <c r="C8" s="13"/>
      <c r="D8" s="13"/>
      <c r="E8" s="13"/>
      <c r="F8" s="13"/>
      <c r="G8" s="13">
        <v>6.0</v>
      </c>
      <c r="H8" s="13">
        <v>5.0</v>
      </c>
      <c r="I8" s="13">
        <v>6.0</v>
      </c>
      <c r="J8" s="13">
        <v>4.0</v>
      </c>
      <c r="K8" s="13">
        <v>7.0</v>
      </c>
      <c r="L8" s="13">
        <v>7.0</v>
      </c>
      <c r="M8" s="13">
        <v>6.0</v>
      </c>
      <c r="N8" s="13">
        <v>7.0</v>
      </c>
      <c r="O8" s="13"/>
      <c r="P8" s="13"/>
      <c r="Q8" s="13"/>
      <c r="R8" s="13"/>
      <c r="S8" s="12">
        <f t="shared" si="1"/>
        <v>48</v>
      </c>
    </row>
    <row r="9" ht="14.25" customHeight="1">
      <c r="A9" s="15" t="s">
        <v>34</v>
      </c>
      <c r="B9" s="12">
        <v>23.0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>
        <v>5.0</v>
      </c>
      <c r="P9" s="16">
        <v>7.0</v>
      </c>
      <c r="Q9" s="16">
        <v>6.0</v>
      </c>
      <c r="R9" s="16">
        <v>6.0</v>
      </c>
      <c r="S9" s="12">
        <f t="shared" si="1"/>
        <v>24</v>
      </c>
    </row>
    <row r="10" ht="14.25" customHeight="1"/>
    <row r="11" ht="14.25" customHeight="1"/>
    <row r="12" ht="14.25" customHeight="1">
      <c r="A12" s="2" t="s">
        <v>10</v>
      </c>
      <c r="B12" s="18">
        <v>0.0</v>
      </c>
      <c r="C12" s="18">
        <f t="shared" ref="C12:R12" si="2">C$4</f>
        <v>1</v>
      </c>
      <c r="D12" s="18">
        <f t="shared" si="2"/>
        <v>2</v>
      </c>
      <c r="E12" s="18">
        <f t="shared" si="2"/>
        <v>3</v>
      </c>
      <c r="F12" s="18">
        <f t="shared" si="2"/>
        <v>4</v>
      </c>
      <c r="G12" s="18">
        <f t="shared" si="2"/>
        <v>5</v>
      </c>
      <c r="H12" s="18">
        <f t="shared" si="2"/>
        <v>6</v>
      </c>
      <c r="I12" s="18">
        <f t="shared" si="2"/>
        <v>7</v>
      </c>
      <c r="J12" s="18">
        <f t="shared" si="2"/>
        <v>8</v>
      </c>
      <c r="K12" s="18">
        <f t="shared" si="2"/>
        <v>9</v>
      </c>
      <c r="L12" s="18">
        <f t="shared" si="2"/>
        <v>10</v>
      </c>
      <c r="M12" s="18">
        <f t="shared" si="2"/>
        <v>11</v>
      </c>
      <c r="N12" s="18">
        <f t="shared" si="2"/>
        <v>12</v>
      </c>
      <c r="O12" s="18">
        <f t="shared" si="2"/>
        <v>13</v>
      </c>
      <c r="P12" s="18">
        <f t="shared" si="2"/>
        <v>14</v>
      </c>
      <c r="Q12" s="18">
        <f t="shared" si="2"/>
        <v>15</v>
      </c>
      <c r="R12" s="18">
        <f t="shared" si="2"/>
        <v>16</v>
      </c>
    </row>
    <row r="13" ht="14.25" customHeight="1">
      <c r="A13" s="19" t="s">
        <v>11</v>
      </c>
      <c r="B13" s="14">
        <f>SUM(B6:B9)</f>
        <v>97</v>
      </c>
      <c r="C13" s="20">
        <f t="shared" ref="C13:R13" si="3">B13-SUM(C6:C9)</f>
        <v>92</v>
      </c>
      <c r="D13" s="20">
        <f t="shared" si="3"/>
        <v>84</v>
      </c>
      <c r="E13" s="20">
        <f t="shared" si="3"/>
        <v>79</v>
      </c>
      <c r="F13" s="20">
        <f t="shared" si="3"/>
        <v>73</v>
      </c>
      <c r="G13" s="20">
        <f t="shared" si="3"/>
        <v>66</v>
      </c>
      <c r="H13" s="20">
        <f t="shared" si="3"/>
        <v>61</v>
      </c>
      <c r="I13" s="20">
        <f t="shared" si="3"/>
        <v>55</v>
      </c>
      <c r="J13" s="20">
        <f t="shared" si="3"/>
        <v>51</v>
      </c>
      <c r="K13" s="20">
        <f t="shared" si="3"/>
        <v>44</v>
      </c>
      <c r="L13" s="20">
        <f t="shared" si="3"/>
        <v>37</v>
      </c>
      <c r="M13" s="20">
        <f t="shared" si="3"/>
        <v>31</v>
      </c>
      <c r="N13" s="20">
        <f t="shared" si="3"/>
        <v>24</v>
      </c>
      <c r="O13" s="20">
        <f t="shared" si="3"/>
        <v>19</v>
      </c>
      <c r="P13" s="20">
        <f t="shared" si="3"/>
        <v>12</v>
      </c>
      <c r="Q13" s="20">
        <f t="shared" si="3"/>
        <v>6</v>
      </c>
      <c r="R13" s="20">
        <f t="shared" si="3"/>
        <v>0</v>
      </c>
    </row>
    <row r="14" ht="14.25" customHeight="1"/>
    <row r="15" ht="14.25" customHeight="1">
      <c r="A15" s="19" t="s">
        <v>12</v>
      </c>
      <c r="B15" s="14">
        <f>SUM(B6:B9)</f>
        <v>97</v>
      </c>
      <c r="C15" s="20">
        <f t="shared" ref="C15:R15" si="4">$B$15*(1-C$4/COUNT($C$4:$R$4))</f>
        <v>90.9375</v>
      </c>
      <c r="D15" s="20">
        <f t="shared" si="4"/>
        <v>84.875</v>
      </c>
      <c r="E15" s="20">
        <f t="shared" si="4"/>
        <v>78.8125</v>
      </c>
      <c r="F15" s="20">
        <f t="shared" si="4"/>
        <v>72.75</v>
      </c>
      <c r="G15" s="20">
        <f t="shared" si="4"/>
        <v>66.6875</v>
      </c>
      <c r="H15" s="20">
        <f t="shared" si="4"/>
        <v>60.625</v>
      </c>
      <c r="I15" s="20">
        <f t="shared" si="4"/>
        <v>54.5625</v>
      </c>
      <c r="J15" s="20">
        <f t="shared" si="4"/>
        <v>48.5</v>
      </c>
      <c r="K15" s="20">
        <f t="shared" si="4"/>
        <v>42.4375</v>
      </c>
      <c r="L15" s="20">
        <f t="shared" si="4"/>
        <v>36.375</v>
      </c>
      <c r="M15" s="20">
        <f t="shared" si="4"/>
        <v>30.3125</v>
      </c>
      <c r="N15" s="20">
        <f t="shared" si="4"/>
        <v>24.25</v>
      </c>
      <c r="O15" s="20">
        <f t="shared" si="4"/>
        <v>18.1875</v>
      </c>
      <c r="P15" s="20">
        <f t="shared" si="4"/>
        <v>12.125</v>
      </c>
      <c r="Q15" s="20">
        <f t="shared" si="4"/>
        <v>6.0625</v>
      </c>
      <c r="R15" s="20">
        <f t="shared" si="4"/>
        <v>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A4"/>
    <mergeCell ref="B3:B4"/>
    <mergeCell ref="C3:R3"/>
    <mergeCell ref="S3:S4"/>
    <mergeCell ref="C5:S5"/>
  </mergeCells>
  <dataValidations>
    <dataValidation type="decimal" operator="greaterThanOrEqual" allowBlank="1" showInputMessage="1" showErrorMessage="1" prompt="Horas - Ingrese horas reales (número ≥ 0)" sqref="B6:R6 C7:R9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14" width="4.43"/>
    <col customWidth="1" min="15" max="15" width="10.0"/>
    <col customWidth="1" min="16" max="26" width="8.71"/>
  </cols>
  <sheetData>
    <row r="1" ht="14.25" customHeight="1">
      <c r="A1" s="1" t="str">
        <f>"Control del Sprint N°6 – "&amp;Resumen_Sprints!B11</f>
        <v>Control del Sprint N°6 – Proyección Monetaria, Integración y Ceremonias Scrum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7"/>
    </row>
    <row r="5" ht="14.25" customHeight="1">
      <c r="A5" s="9" t="s">
        <v>35</v>
      </c>
      <c r="B5" s="10">
        <f>SUM(B6:B10)</f>
        <v>135</v>
      </c>
    </row>
    <row r="6" ht="14.25" customHeight="1">
      <c r="A6" s="11" t="s">
        <v>36</v>
      </c>
      <c r="B6" s="13">
        <v>2.0</v>
      </c>
      <c r="C6" s="13">
        <v>1.0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2">
        <f t="shared" ref="O6:O10" si="1">SUM(C6:N6)</f>
        <v>1</v>
      </c>
    </row>
    <row r="7" ht="14.25" customHeight="1">
      <c r="A7" s="11" t="s">
        <v>37</v>
      </c>
      <c r="B7" s="12">
        <v>27.0</v>
      </c>
      <c r="C7" s="13">
        <v>9.0</v>
      </c>
      <c r="D7" s="13">
        <v>13.0</v>
      </c>
      <c r="E7" s="13">
        <v>1.0</v>
      </c>
      <c r="F7" s="13"/>
      <c r="G7" s="13"/>
      <c r="H7" s="13"/>
      <c r="I7" s="13"/>
      <c r="J7" s="13"/>
      <c r="K7" s="13"/>
      <c r="L7" s="13"/>
      <c r="M7" s="13"/>
      <c r="N7" s="13"/>
      <c r="O7" s="12">
        <f t="shared" si="1"/>
        <v>23</v>
      </c>
    </row>
    <row r="8" ht="14.25" customHeight="1">
      <c r="A8" s="11" t="s">
        <v>38</v>
      </c>
      <c r="B8" s="12">
        <v>15.0</v>
      </c>
      <c r="C8" s="13"/>
      <c r="D8" s="13"/>
      <c r="E8" s="13">
        <v>12.0</v>
      </c>
      <c r="F8" s="13">
        <v>1.0</v>
      </c>
      <c r="G8" s="13"/>
      <c r="H8" s="13"/>
      <c r="I8" s="13"/>
      <c r="J8" s="13"/>
      <c r="K8" s="13"/>
      <c r="L8" s="13"/>
      <c r="M8" s="13"/>
      <c r="N8" s="13"/>
      <c r="O8" s="12">
        <f t="shared" si="1"/>
        <v>13</v>
      </c>
    </row>
    <row r="9" ht="14.25" customHeight="1">
      <c r="A9" s="11" t="s">
        <v>39</v>
      </c>
      <c r="B9" s="12">
        <v>30.0</v>
      </c>
      <c r="C9" s="13"/>
      <c r="D9" s="13"/>
      <c r="E9" s="13"/>
      <c r="F9" s="13">
        <v>10.0</v>
      </c>
      <c r="G9" s="13">
        <v>12.0</v>
      </c>
      <c r="H9" s="13">
        <v>6.0</v>
      </c>
      <c r="I9" s="13">
        <v>10.0</v>
      </c>
      <c r="J9" s="13"/>
      <c r="K9" s="13"/>
      <c r="L9" s="13"/>
      <c r="M9" s="13"/>
      <c r="N9" s="13"/>
      <c r="O9" s="12">
        <f t="shared" si="1"/>
        <v>38</v>
      </c>
    </row>
    <row r="10" ht="14.25" customHeight="1">
      <c r="A10" s="15" t="s">
        <v>40</v>
      </c>
      <c r="B10" s="12">
        <v>61.0</v>
      </c>
      <c r="C10" s="16"/>
      <c r="D10" s="16"/>
      <c r="E10" s="16"/>
      <c r="F10" s="16"/>
      <c r="G10" s="16"/>
      <c r="H10" s="16"/>
      <c r="I10" s="16">
        <v>3.0</v>
      </c>
      <c r="J10" s="16">
        <v>11.0</v>
      </c>
      <c r="K10" s="16">
        <v>15.0</v>
      </c>
      <c r="L10" s="16">
        <v>12.0</v>
      </c>
      <c r="M10" s="16">
        <v>9.0</v>
      </c>
      <c r="N10" s="16">
        <v>10.0</v>
      </c>
      <c r="O10" s="12">
        <f t="shared" si="1"/>
        <v>60</v>
      </c>
    </row>
    <row r="11" ht="14.25" customHeight="1"/>
    <row r="12" ht="14.25" customHeight="1"/>
    <row r="13" ht="14.25" customHeight="1">
      <c r="A13" s="2" t="s">
        <v>10</v>
      </c>
      <c r="B13" s="18">
        <v>0.0</v>
      </c>
      <c r="C13" s="18">
        <f t="shared" ref="C13:N13" si="2">C$4</f>
        <v>1</v>
      </c>
      <c r="D13" s="18">
        <f t="shared" si="2"/>
        <v>2</v>
      </c>
      <c r="E13" s="18">
        <f t="shared" si="2"/>
        <v>3</v>
      </c>
      <c r="F13" s="18">
        <f t="shared" si="2"/>
        <v>4</v>
      </c>
      <c r="G13" s="18">
        <f t="shared" si="2"/>
        <v>5</v>
      </c>
      <c r="H13" s="18">
        <f t="shared" si="2"/>
        <v>6</v>
      </c>
      <c r="I13" s="18">
        <f t="shared" si="2"/>
        <v>7</v>
      </c>
      <c r="J13" s="18">
        <f t="shared" si="2"/>
        <v>8</v>
      </c>
      <c r="K13" s="18">
        <f t="shared" si="2"/>
        <v>9</v>
      </c>
      <c r="L13" s="18">
        <f t="shared" si="2"/>
        <v>10</v>
      </c>
      <c r="M13" s="18">
        <f t="shared" si="2"/>
        <v>11</v>
      </c>
      <c r="N13" s="18">
        <f t="shared" si="2"/>
        <v>12</v>
      </c>
    </row>
    <row r="14" ht="14.25" customHeight="1">
      <c r="A14" s="19" t="s">
        <v>11</v>
      </c>
      <c r="B14" s="14">
        <f>SUM(B6:B10)</f>
        <v>135</v>
      </c>
      <c r="C14" s="20">
        <f t="shared" ref="C14:N14" si="3">B14-SUM(C6:C10)</f>
        <v>125</v>
      </c>
      <c r="D14" s="20">
        <f t="shared" si="3"/>
        <v>112</v>
      </c>
      <c r="E14" s="20">
        <f t="shared" si="3"/>
        <v>99</v>
      </c>
      <c r="F14" s="20">
        <f t="shared" si="3"/>
        <v>88</v>
      </c>
      <c r="G14" s="20">
        <f t="shared" si="3"/>
        <v>76</v>
      </c>
      <c r="H14" s="20">
        <f t="shared" si="3"/>
        <v>70</v>
      </c>
      <c r="I14" s="20">
        <f t="shared" si="3"/>
        <v>57</v>
      </c>
      <c r="J14" s="20">
        <f t="shared" si="3"/>
        <v>46</v>
      </c>
      <c r="K14" s="20">
        <f t="shared" si="3"/>
        <v>31</v>
      </c>
      <c r="L14" s="20">
        <f t="shared" si="3"/>
        <v>19</v>
      </c>
      <c r="M14" s="20">
        <f t="shared" si="3"/>
        <v>10</v>
      </c>
      <c r="N14" s="20">
        <f t="shared" si="3"/>
        <v>0</v>
      </c>
    </row>
    <row r="15" ht="14.25" customHeight="1"/>
    <row r="16" ht="14.25" customHeight="1">
      <c r="A16" s="19" t="s">
        <v>12</v>
      </c>
      <c r="B16" s="14">
        <f>SUM(B6:B10)</f>
        <v>135</v>
      </c>
      <c r="C16" s="20">
        <f t="shared" ref="C16:N16" si="4">$B$16*(1-C$4/COUNT($C$4:$N$4))</f>
        <v>123.75</v>
      </c>
      <c r="D16" s="20">
        <f t="shared" si="4"/>
        <v>112.5</v>
      </c>
      <c r="E16" s="20">
        <f t="shared" si="4"/>
        <v>101.25</v>
      </c>
      <c r="F16" s="20">
        <f t="shared" si="4"/>
        <v>90</v>
      </c>
      <c r="G16" s="20">
        <f t="shared" si="4"/>
        <v>78.75</v>
      </c>
      <c r="H16" s="20">
        <f t="shared" si="4"/>
        <v>67.5</v>
      </c>
      <c r="I16" s="20">
        <f t="shared" si="4"/>
        <v>56.25</v>
      </c>
      <c r="J16" s="20">
        <f t="shared" si="4"/>
        <v>45</v>
      </c>
      <c r="K16" s="20">
        <f t="shared" si="4"/>
        <v>33.75</v>
      </c>
      <c r="L16" s="20">
        <f t="shared" si="4"/>
        <v>22.5</v>
      </c>
      <c r="M16" s="20">
        <f t="shared" si="4"/>
        <v>11.25</v>
      </c>
      <c r="N16" s="20">
        <f t="shared" si="4"/>
        <v>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N3"/>
    <mergeCell ref="O3:O4"/>
  </mergeCells>
  <dataValidations>
    <dataValidation type="decimal" operator="greaterThanOrEqual" allowBlank="1" showInputMessage="1" showErrorMessage="1" prompt="Horas - Ingrese horas reales (número ≥ 0)" sqref="B6:N6 C7:N10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16" width="4.43"/>
    <col customWidth="1" min="17" max="17" width="10.0"/>
    <col customWidth="1" min="18" max="26" width="8.71"/>
  </cols>
  <sheetData>
    <row r="1" ht="14.25" customHeight="1">
      <c r="A1" s="1" t="str">
        <f>"Control del Sprint N°7 – "&amp;Resumen_Sprints!B12</f>
        <v>Control del Sprint N°7 – Pruebas y Corrección de Defectos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7"/>
    </row>
    <row r="5" ht="14.25" customHeight="1">
      <c r="A5" s="9" t="s">
        <v>41</v>
      </c>
      <c r="B5" s="10">
        <f>SUM(B6:B10)</f>
        <v>114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ht="14.25" customHeight="1">
      <c r="A6" s="11" t="s">
        <v>42</v>
      </c>
      <c r="B6" s="12">
        <v>16.0</v>
      </c>
      <c r="C6" s="13">
        <v>8.0</v>
      </c>
      <c r="D6" s="13">
        <v>7.0</v>
      </c>
      <c r="E6" s="13">
        <v>1.0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22">
        <f t="shared" ref="Q6:Q10" si="1">SUM(C6:P6)</f>
        <v>16</v>
      </c>
    </row>
    <row r="7" ht="14.25" customHeight="1">
      <c r="A7" s="11" t="s">
        <v>43</v>
      </c>
      <c r="B7" s="12">
        <v>30.0</v>
      </c>
      <c r="C7" s="13"/>
      <c r="D7" s="13"/>
      <c r="E7" s="13">
        <v>6.0</v>
      </c>
      <c r="F7" s="13">
        <v>10.0</v>
      </c>
      <c r="G7" s="13">
        <v>8.0</v>
      </c>
      <c r="H7" s="13">
        <v>6.0</v>
      </c>
      <c r="I7" s="13"/>
      <c r="J7" s="13"/>
      <c r="K7" s="13"/>
      <c r="L7" s="13"/>
      <c r="M7" s="13"/>
      <c r="N7" s="13"/>
      <c r="O7" s="13"/>
      <c r="P7" s="13"/>
      <c r="Q7" s="12">
        <f t="shared" si="1"/>
        <v>30</v>
      </c>
    </row>
    <row r="8" ht="14.25" customHeight="1">
      <c r="A8" s="11" t="s">
        <v>44</v>
      </c>
      <c r="B8" s="12">
        <v>14.0</v>
      </c>
      <c r="C8" s="13"/>
      <c r="D8" s="13"/>
      <c r="E8" s="13"/>
      <c r="F8" s="13"/>
      <c r="G8" s="13"/>
      <c r="H8" s="13">
        <v>5.0</v>
      </c>
      <c r="I8" s="13">
        <v>9.0</v>
      </c>
      <c r="J8" s="13"/>
      <c r="K8" s="13"/>
      <c r="L8" s="13"/>
      <c r="M8" s="13"/>
      <c r="N8" s="13"/>
      <c r="O8" s="13"/>
      <c r="P8" s="13"/>
      <c r="Q8" s="12">
        <f t="shared" si="1"/>
        <v>14</v>
      </c>
    </row>
    <row r="9" ht="14.25" customHeight="1">
      <c r="A9" s="11" t="s">
        <v>45</v>
      </c>
      <c r="B9" s="12">
        <v>24.0</v>
      </c>
      <c r="C9" s="13"/>
      <c r="D9" s="13"/>
      <c r="E9" s="13"/>
      <c r="F9" s="13"/>
      <c r="G9" s="13"/>
      <c r="H9" s="13"/>
      <c r="I9" s="13"/>
      <c r="J9" s="13">
        <v>7.0</v>
      </c>
      <c r="K9" s="13">
        <v>8.0</v>
      </c>
      <c r="L9" s="13">
        <v>7.0</v>
      </c>
      <c r="M9" s="13">
        <v>2.0</v>
      </c>
      <c r="N9" s="13"/>
      <c r="O9" s="13"/>
      <c r="P9" s="13"/>
      <c r="Q9" s="12">
        <f t="shared" si="1"/>
        <v>24</v>
      </c>
    </row>
    <row r="10" ht="14.25" customHeight="1">
      <c r="A10" s="15" t="s">
        <v>46</v>
      </c>
      <c r="B10" s="12">
        <v>30.0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>
        <v>5.0</v>
      </c>
      <c r="N10" s="16">
        <v>8.0</v>
      </c>
      <c r="O10" s="16">
        <v>8.0</v>
      </c>
      <c r="P10" s="16">
        <v>9.0</v>
      </c>
      <c r="Q10" s="12">
        <f t="shared" si="1"/>
        <v>30</v>
      </c>
    </row>
    <row r="11" ht="14.25" customHeight="1"/>
    <row r="12" ht="14.25" customHeight="1"/>
    <row r="13" ht="14.25" customHeight="1">
      <c r="A13" s="2" t="s">
        <v>10</v>
      </c>
      <c r="B13" s="18">
        <v>0.0</v>
      </c>
      <c r="C13" s="18">
        <f t="shared" ref="C13:P13" si="2">C$4</f>
        <v>1</v>
      </c>
      <c r="D13" s="18">
        <f t="shared" si="2"/>
        <v>2</v>
      </c>
      <c r="E13" s="18">
        <f t="shared" si="2"/>
        <v>3</v>
      </c>
      <c r="F13" s="18">
        <f t="shared" si="2"/>
        <v>4</v>
      </c>
      <c r="G13" s="18">
        <f t="shared" si="2"/>
        <v>5</v>
      </c>
      <c r="H13" s="18">
        <f t="shared" si="2"/>
        <v>6</v>
      </c>
      <c r="I13" s="18">
        <f t="shared" si="2"/>
        <v>7</v>
      </c>
      <c r="J13" s="18">
        <f t="shared" si="2"/>
        <v>8</v>
      </c>
      <c r="K13" s="18">
        <f t="shared" si="2"/>
        <v>9</v>
      </c>
      <c r="L13" s="18">
        <f t="shared" si="2"/>
        <v>10</v>
      </c>
      <c r="M13" s="18">
        <f t="shared" si="2"/>
        <v>11</v>
      </c>
      <c r="N13" s="18">
        <f t="shared" si="2"/>
        <v>12</v>
      </c>
      <c r="O13" s="18">
        <f t="shared" si="2"/>
        <v>13</v>
      </c>
      <c r="P13" s="18">
        <f t="shared" si="2"/>
        <v>14</v>
      </c>
    </row>
    <row r="14" ht="14.25" customHeight="1">
      <c r="A14" s="19" t="s">
        <v>11</v>
      </c>
      <c r="B14" s="14">
        <f>SUM(B6:B10)</f>
        <v>114</v>
      </c>
      <c r="C14" s="20">
        <f t="shared" ref="C14:P14" si="3">B14-SUM(C6:C10)</f>
        <v>106</v>
      </c>
      <c r="D14" s="20">
        <f t="shared" si="3"/>
        <v>99</v>
      </c>
      <c r="E14" s="20">
        <f t="shared" si="3"/>
        <v>92</v>
      </c>
      <c r="F14" s="20">
        <f t="shared" si="3"/>
        <v>82</v>
      </c>
      <c r="G14" s="20">
        <f t="shared" si="3"/>
        <v>74</v>
      </c>
      <c r="H14" s="20">
        <f t="shared" si="3"/>
        <v>63</v>
      </c>
      <c r="I14" s="20">
        <f t="shared" si="3"/>
        <v>54</v>
      </c>
      <c r="J14" s="20">
        <f t="shared" si="3"/>
        <v>47</v>
      </c>
      <c r="K14" s="20">
        <f t="shared" si="3"/>
        <v>39</v>
      </c>
      <c r="L14" s="20">
        <f t="shared" si="3"/>
        <v>32</v>
      </c>
      <c r="M14" s="20">
        <f t="shared" si="3"/>
        <v>25</v>
      </c>
      <c r="N14" s="20">
        <f t="shared" si="3"/>
        <v>17</v>
      </c>
      <c r="O14" s="20">
        <f t="shared" si="3"/>
        <v>9</v>
      </c>
      <c r="P14" s="20">
        <f t="shared" si="3"/>
        <v>0</v>
      </c>
    </row>
    <row r="15" ht="14.25" customHeight="1"/>
    <row r="16" ht="14.25" customHeight="1">
      <c r="A16" s="19" t="s">
        <v>12</v>
      </c>
      <c r="B16" s="14">
        <f>SUM(B6:B10)</f>
        <v>114</v>
      </c>
      <c r="C16" s="20">
        <f t="shared" ref="C16:P16" si="4">$B$16*(1-C$4/COUNT($C$4:$P$4))</f>
        <v>105.8571429</v>
      </c>
      <c r="D16" s="20">
        <f t="shared" si="4"/>
        <v>97.71428571</v>
      </c>
      <c r="E16" s="20">
        <f t="shared" si="4"/>
        <v>89.57142857</v>
      </c>
      <c r="F16" s="20">
        <f t="shared" si="4"/>
        <v>81.42857143</v>
      </c>
      <c r="G16" s="20">
        <f t="shared" si="4"/>
        <v>73.28571429</v>
      </c>
      <c r="H16" s="20">
        <f t="shared" si="4"/>
        <v>65.14285714</v>
      </c>
      <c r="I16" s="20">
        <f t="shared" si="4"/>
        <v>57</v>
      </c>
      <c r="J16" s="20">
        <f t="shared" si="4"/>
        <v>48.85714286</v>
      </c>
      <c r="K16" s="20">
        <f t="shared" si="4"/>
        <v>40.71428571</v>
      </c>
      <c r="L16" s="20">
        <f t="shared" si="4"/>
        <v>32.57142857</v>
      </c>
      <c r="M16" s="20">
        <f t="shared" si="4"/>
        <v>24.42857143</v>
      </c>
      <c r="N16" s="20">
        <f t="shared" si="4"/>
        <v>16.28571429</v>
      </c>
      <c r="O16" s="20">
        <f t="shared" si="4"/>
        <v>8.142857143</v>
      </c>
      <c r="P16" s="20">
        <f t="shared" si="4"/>
        <v>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3:A4"/>
    <mergeCell ref="B3:B4"/>
    <mergeCell ref="C3:P3"/>
    <mergeCell ref="Q3:Q4"/>
    <mergeCell ref="C5:Q5"/>
  </mergeCells>
  <dataValidations>
    <dataValidation type="decimal" operator="greaterThanOrEqual" allowBlank="1" showInputMessage="1" showErrorMessage="1" prompt="Horas - Ingrese horas reales (número ≥ 0)" sqref="C6:P10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13" width="4.43"/>
    <col customWidth="1" min="14" max="14" width="10.0"/>
    <col customWidth="1" min="15" max="26" width="8.71"/>
  </cols>
  <sheetData>
    <row r="1" ht="14.25" customHeight="1">
      <c r="A1" s="1" t="str">
        <f>"Control del Sprint N°8 – "&amp;Resumen_Sprints!B13</f>
        <v>Control del Sprint N°8 – Despliegue, Aceptación y Cierre</v>
      </c>
    </row>
    <row r="2" ht="14.25" customHeight="1">
      <c r="A2" s="2"/>
    </row>
    <row r="3" ht="14.25" customHeight="1">
      <c r="A3" s="3" t="s">
        <v>0</v>
      </c>
      <c r="B3" s="3" t="s">
        <v>1</v>
      </c>
      <c r="C3" s="4" t="s">
        <v>2</v>
      </c>
      <c r="D3" s="5"/>
      <c r="E3" s="5"/>
      <c r="F3" s="5"/>
      <c r="G3" s="5"/>
      <c r="H3" s="5"/>
      <c r="I3" s="5"/>
      <c r="J3" s="5"/>
      <c r="K3" s="5"/>
      <c r="L3" s="5"/>
      <c r="M3" s="6"/>
      <c r="N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7"/>
    </row>
    <row r="5" ht="14.25" customHeight="1">
      <c r="A5" s="9" t="s">
        <v>47</v>
      </c>
      <c r="B5" s="10">
        <f>SUM(B6:B10)</f>
        <v>86</v>
      </c>
    </row>
    <row r="6" ht="14.25" customHeight="1">
      <c r="A6" s="11" t="s">
        <v>48</v>
      </c>
      <c r="B6" s="12">
        <v>20.0</v>
      </c>
      <c r="C6" s="13">
        <v>7.0</v>
      </c>
      <c r="D6" s="13">
        <v>6.0</v>
      </c>
      <c r="E6" s="13">
        <v>2.0</v>
      </c>
      <c r="F6" s="13"/>
      <c r="G6" s="13"/>
      <c r="H6" s="13"/>
      <c r="I6" s="13"/>
      <c r="J6" s="13"/>
      <c r="K6" s="13"/>
      <c r="L6" s="13"/>
      <c r="M6" s="13"/>
      <c r="N6" s="14">
        <f t="shared" ref="N6:N10" si="1">SUM(C6:M6)</f>
        <v>15</v>
      </c>
    </row>
    <row r="7" ht="14.25" customHeight="1">
      <c r="A7" s="11" t="s">
        <v>49</v>
      </c>
      <c r="B7" s="12">
        <v>24.0</v>
      </c>
      <c r="C7" s="13"/>
      <c r="D7" s="13"/>
      <c r="E7" s="13">
        <v>6.0</v>
      </c>
      <c r="F7" s="13">
        <v>7.0</v>
      </c>
      <c r="G7" s="13">
        <v>5.0</v>
      </c>
      <c r="H7" s="13"/>
      <c r="I7" s="13"/>
      <c r="J7" s="13"/>
      <c r="K7" s="13"/>
      <c r="L7" s="13"/>
      <c r="M7" s="13"/>
      <c r="N7" s="14">
        <f t="shared" si="1"/>
        <v>18</v>
      </c>
    </row>
    <row r="8" ht="14.25" customHeight="1">
      <c r="A8" s="11" t="s">
        <v>50</v>
      </c>
      <c r="B8" s="12">
        <v>29.0</v>
      </c>
      <c r="C8" s="13"/>
      <c r="D8" s="13"/>
      <c r="E8" s="13"/>
      <c r="F8" s="13"/>
      <c r="G8" s="13">
        <v>3.0</v>
      </c>
      <c r="H8" s="13">
        <v>8.0</v>
      </c>
      <c r="I8" s="13">
        <v>8.0</v>
      </c>
      <c r="J8" s="13">
        <v>6.0</v>
      </c>
      <c r="K8" s="13">
        <v>5.0</v>
      </c>
      <c r="L8" s="13"/>
      <c r="M8" s="13"/>
      <c r="N8" s="14">
        <f t="shared" si="1"/>
        <v>30</v>
      </c>
    </row>
    <row r="9" ht="14.25" customHeight="1">
      <c r="A9" s="11" t="s">
        <v>51</v>
      </c>
      <c r="B9" s="12">
        <v>7.0</v>
      </c>
      <c r="C9" s="13"/>
      <c r="D9" s="13"/>
      <c r="E9" s="13"/>
      <c r="F9" s="13"/>
      <c r="G9" s="13"/>
      <c r="H9" s="13"/>
      <c r="I9" s="13"/>
      <c r="J9" s="13"/>
      <c r="K9" s="13">
        <v>4.0</v>
      </c>
      <c r="L9" s="13">
        <v>7.0</v>
      </c>
      <c r="M9" s="13"/>
      <c r="N9" s="14">
        <f t="shared" si="1"/>
        <v>11</v>
      </c>
    </row>
    <row r="10" ht="14.25" customHeight="1">
      <c r="A10" s="15" t="s">
        <v>52</v>
      </c>
      <c r="B10" s="12">
        <v>6.0</v>
      </c>
      <c r="C10" s="16"/>
      <c r="D10" s="16"/>
      <c r="E10" s="16"/>
      <c r="F10" s="16"/>
      <c r="G10" s="16"/>
      <c r="H10" s="16"/>
      <c r="I10" s="16"/>
      <c r="J10" s="16"/>
      <c r="K10" s="16"/>
      <c r="L10" s="16">
        <v>1.0</v>
      </c>
      <c r="M10" s="16">
        <v>11.0</v>
      </c>
      <c r="N10" s="17">
        <f t="shared" si="1"/>
        <v>12</v>
      </c>
    </row>
    <row r="11" ht="14.25" customHeight="1"/>
    <row r="12" ht="14.25" customHeight="1"/>
    <row r="13" ht="14.25" customHeight="1">
      <c r="A13" s="2" t="s">
        <v>10</v>
      </c>
      <c r="B13" s="18">
        <v>0.0</v>
      </c>
      <c r="C13" s="18">
        <f t="shared" ref="C13:M13" si="2">C$4</f>
        <v>1</v>
      </c>
      <c r="D13" s="18">
        <f t="shared" si="2"/>
        <v>2</v>
      </c>
      <c r="E13" s="18">
        <f t="shared" si="2"/>
        <v>3</v>
      </c>
      <c r="F13" s="18">
        <f t="shared" si="2"/>
        <v>4</v>
      </c>
      <c r="G13" s="18">
        <f t="shared" si="2"/>
        <v>5</v>
      </c>
      <c r="H13" s="18">
        <f t="shared" si="2"/>
        <v>6</v>
      </c>
      <c r="I13" s="18">
        <f t="shared" si="2"/>
        <v>7</v>
      </c>
      <c r="J13" s="18">
        <f t="shared" si="2"/>
        <v>8</v>
      </c>
      <c r="K13" s="18">
        <f t="shared" si="2"/>
        <v>9</v>
      </c>
      <c r="L13" s="18">
        <f t="shared" si="2"/>
        <v>10</v>
      </c>
      <c r="M13" s="18">
        <f t="shared" si="2"/>
        <v>11</v>
      </c>
    </row>
    <row r="14" ht="14.25" customHeight="1">
      <c r="A14" s="19" t="s">
        <v>11</v>
      </c>
      <c r="B14" s="14">
        <f>SUM(B6:B10)</f>
        <v>86</v>
      </c>
      <c r="C14" s="20">
        <f t="shared" ref="C14:M14" si="3">B14-SUM(C6:C10)</f>
        <v>79</v>
      </c>
      <c r="D14" s="20">
        <f t="shared" si="3"/>
        <v>73</v>
      </c>
      <c r="E14" s="20">
        <f t="shared" si="3"/>
        <v>65</v>
      </c>
      <c r="F14" s="20">
        <f t="shared" si="3"/>
        <v>58</v>
      </c>
      <c r="G14" s="20">
        <f t="shared" si="3"/>
        <v>50</v>
      </c>
      <c r="H14" s="20">
        <f t="shared" si="3"/>
        <v>42</v>
      </c>
      <c r="I14" s="20">
        <f t="shared" si="3"/>
        <v>34</v>
      </c>
      <c r="J14" s="20">
        <f t="shared" si="3"/>
        <v>28</v>
      </c>
      <c r="K14" s="20">
        <f t="shared" si="3"/>
        <v>19</v>
      </c>
      <c r="L14" s="20">
        <f t="shared" si="3"/>
        <v>11</v>
      </c>
      <c r="M14" s="20">
        <f t="shared" si="3"/>
        <v>0</v>
      </c>
    </row>
    <row r="15" ht="14.25" customHeight="1"/>
    <row r="16" ht="14.25" customHeight="1">
      <c r="A16" s="19" t="s">
        <v>12</v>
      </c>
      <c r="B16" s="14">
        <f>SUM(B6:B10)</f>
        <v>86</v>
      </c>
      <c r="C16" s="20">
        <f t="shared" ref="C16:M16" si="4">$B$16*(1-C$4/COUNT($C$4:$M$4))</f>
        <v>78.18181818</v>
      </c>
      <c r="D16" s="20">
        <f t="shared" si="4"/>
        <v>70.36363636</v>
      </c>
      <c r="E16" s="20">
        <f t="shared" si="4"/>
        <v>62.54545455</v>
      </c>
      <c r="F16" s="20">
        <f t="shared" si="4"/>
        <v>54.72727273</v>
      </c>
      <c r="G16" s="20">
        <f t="shared" si="4"/>
        <v>46.90909091</v>
      </c>
      <c r="H16" s="20">
        <f t="shared" si="4"/>
        <v>39.09090909</v>
      </c>
      <c r="I16" s="20">
        <f t="shared" si="4"/>
        <v>31.27272727</v>
      </c>
      <c r="J16" s="20">
        <f t="shared" si="4"/>
        <v>23.45454545</v>
      </c>
      <c r="K16" s="20">
        <f t="shared" si="4"/>
        <v>15.63636364</v>
      </c>
      <c r="L16" s="20">
        <f t="shared" si="4"/>
        <v>7.818181818</v>
      </c>
      <c r="M16" s="20">
        <f t="shared" si="4"/>
        <v>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M3"/>
    <mergeCell ref="N3:N4"/>
  </mergeCells>
  <dataValidations>
    <dataValidation type="decimal" operator="greaterThanOrEqual" allowBlank="1" showInputMessage="1" showErrorMessage="1" prompt="Horas - Ingrese horas reales (número ≥ 0)" sqref="C6:M10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2.0"/>
    <col customWidth="1" min="2" max="2" width="17.0"/>
    <col customWidth="1" min="3" max="98" width="4.43"/>
    <col customWidth="1" min="99" max="99" width="10.0"/>
  </cols>
  <sheetData>
    <row r="1" ht="14.25" customHeight="1">
      <c r="A1" s="1" t="s">
        <v>53</v>
      </c>
    </row>
    <row r="2" ht="14.25" customHeight="1">
      <c r="A2" s="2" t="s">
        <v>54</v>
      </c>
    </row>
    <row r="3" ht="14.25" customHeight="1">
      <c r="A3" s="3" t="s">
        <v>0</v>
      </c>
      <c r="B3" s="3" t="s">
        <v>1</v>
      </c>
      <c r="C3" s="4" t="s">
        <v>55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6"/>
      <c r="CU3" s="3" t="s">
        <v>3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8">
        <v>21.0</v>
      </c>
      <c r="X4" s="8">
        <v>22.0</v>
      </c>
      <c r="Y4" s="8">
        <v>23.0</v>
      </c>
      <c r="Z4" s="8">
        <v>24.0</v>
      </c>
      <c r="AA4" s="8">
        <v>25.0</v>
      </c>
      <c r="AB4" s="8">
        <v>26.0</v>
      </c>
      <c r="AC4" s="8">
        <v>27.0</v>
      </c>
      <c r="AD4" s="8">
        <v>28.0</v>
      </c>
      <c r="AE4" s="8">
        <v>29.0</v>
      </c>
      <c r="AF4" s="8">
        <v>30.0</v>
      </c>
      <c r="AG4" s="8">
        <v>31.0</v>
      </c>
      <c r="AH4" s="8">
        <v>32.0</v>
      </c>
      <c r="AI4" s="8">
        <v>33.0</v>
      </c>
      <c r="AJ4" s="8">
        <v>34.0</v>
      </c>
      <c r="AK4" s="8">
        <v>35.0</v>
      </c>
      <c r="AL4" s="8">
        <v>36.0</v>
      </c>
      <c r="AM4" s="8">
        <v>37.0</v>
      </c>
      <c r="AN4" s="8">
        <v>38.0</v>
      </c>
      <c r="AO4" s="8">
        <v>39.0</v>
      </c>
      <c r="AP4" s="8">
        <v>40.0</v>
      </c>
      <c r="AQ4" s="8">
        <v>41.0</v>
      </c>
      <c r="AR4" s="8">
        <v>42.0</v>
      </c>
      <c r="AS4" s="8">
        <v>43.0</v>
      </c>
      <c r="AT4" s="8">
        <v>44.0</v>
      </c>
      <c r="AU4" s="8">
        <v>45.0</v>
      </c>
      <c r="AV4" s="8">
        <v>46.0</v>
      </c>
      <c r="AW4" s="8">
        <v>47.0</v>
      </c>
      <c r="AX4" s="8">
        <v>48.0</v>
      </c>
      <c r="AY4" s="8">
        <v>49.0</v>
      </c>
      <c r="AZ4" s="8">
        <v>50.0</v>
      </c>
      <c r="BA4" s="8">
        <v>51.0</v>
      </c>
      <c r="BB4" s="8">
        <v>52.0</v>
      </c>
      <c r="BC4" s="8">
        <v>53.0</v>
      </c>
      <c r="BD4" s="8">
        <v>54.0</v>
      </c>
      <c r="BE4" s="8">
        <v>55.0</v>
      </c>
      <c r="BF4" s="8">
        <v>56.0</v>
      </c>
      <c r="BG4" s="8">
        <v>57.0</v>
      </c>
      <c r="BH4" s="8">
        <v>58.0</v>
      </c>
      <c r="BI4" s="8">
        <v>59.0</v>
      </c>
      <c r="BJ4" s="8">
        <v>60.0</v>
      </c>
      <c r="BK4" s="8">
        <v>61.0</v>
      </c>
      <c r="BL4" s="8">
        <v>62.0</v>
      </c>
      <c r="BM4" s="8">
        <v>63.0</v>
      </c>
      <c r="BN4" s="8">
        <v>64.0</v>
      </c>
      <c r="BO4" s="8">
        <v>65.0</v>
      </c>
      <c r="BP4" s="8">
        <v>66.0</v>
      </c>
      <c r="BQ4" s="8">
        <v>67.0</v>
      </c>
      <c r="BR4" s="8">
        <v>68.0</v>
      </c>
      <c r="BS4" s="8">
        <v>69.0</v>
      </c>
      <c r="BT4" s="8">
        <v>70.0</v>
      </c>
      <c r="BU4" s="8">
        <v>71.0</v>
      </c>
      <c r="BV4" s="8">
        <v>72.0</v>
      </c>
      <c r="BW4" s="8">
        <v>73.0</v>
      </c>
      <c r="BX4" s="8">
        <v>74.0</v>
      </c>
      <c r="BY4" s="8">
        <v>75.0</v>
      </c>
      <c r="BZ4" s="8">
        <v>76.0</v>
      </c>
      <c r="CA4" s="8">
        <v>77.0</v>
      </c>
      <c r="CB4" s="8">
        <v>78.0</v>
      </c>
      <c r="CC4" s="8">
        <v>79.0</v>
      </c>
      <c r="CD4" s="8">
        <v>80.0</v>
      </c>
      <c r="CE4" s="8">
        <v>81.0</v>
      </c>
      <c r="CF4" s="8">
        <v>82.0</v>
      </c>
      <c r="CG4" s="8">
        <v>83.0</v>
      </c>
      <c r="CH4" s="8">
        <v>84.0</v>
      </c>
      <c r="CI4" s="8">
        <v>85.0</v>
      </c>
      <c r="CJ4" s="8">
        <v>86.0</v>
      </c>
      <c r="CK4" s="8">
        <v>87.0</v>
      </c>
      <c r="CL4" s="8">
        <v>88.0</v>
      </c>
      <c r="CM4" s="8">
        <v>89.0</v>
      </c>
      <c r="CN4" s="8">
        <v>90.0</v>
      </c>
      <c r="CO4" s="8">
        <v>91.0</v>
      </c>
      <c r="CP4" s="8">
        <v>92.0</v>
      </c>
      <c r="CQ4" s="8">
        <v>93.0</v>
      </c>
      <c r="CR4" s="8">
        <v>94.0</v>
      </c>
      <c r="CS4" s="8">
        <v>95.0</v>
      </c>
      <c r="CT4" s="8">
        <v>96.0</v>
      </c>
      <c r="CU4" s="7"/>
    </row>
    <row r="5" ht="14.25" customHeight="1">
      <c r="A5" s="9" t="str">
        <f>"Sprint N°"&amp;Resumen_Sprints!A6&amp;" – "&amp;Resumen_Sprints!B6</f>
        <v>Sprint N°1 – Fase Análisis y Planificación</v>
      </c>
      <c r="B5" s="10">
        <f>SUM(B6:B10)</f>
        <v>43</v>
      </c>
    </row>
    <row r="6" ht="14.25" customHeight="1">
      <c r="A6" s="11" t="str">
        <f>'Sprint N°1'!A6</f>
        <v>Kick Off</v>
      </c>
      <c r="B6" s="11">
        <f>'Sprint N°1'!B6</f>
        <v>8</v>
      </c>
      <c r="C6" s="23">
        <f t="array" ref="C6">IF(AND(C$4&gt;Resumen_Sprints!$E$6,C$4&lt;=Resumen_Sprints!$E$6+Resumen_Sprints!$D$6),INDEX('Sprint N°1'!$C$6:$I$6,C$4-Resumen_Sprints!$E$6),0)</f>
        <v>7</v>
      </c>
      <c r="D6" s="23">
        <f t="array" ref="D6">IF(AND(D$4&gt;Resumen_Sprints!$E$6,D$4&lt;=Resumen_Sprints!$E$6+Resumen_Sprints!$D$6),INDEX('Sprint N°1'!$C$6:$I$6,D$4-Resumen_Sprints!$E$6),0)</f>
        <v>1</v>
      </c>
      <c r="E6" s="23" t="str">
        <f t="array" ref="E6">IF(AND(E$4&gt;Resumen_Sprints!$E$6,E$4&lt;=Resumen_Sprints!$E$6+Resumen_Sprints!$D$6),INDEX('Sprint N°1'!$C$6:$I$6,E$4-Resumen_Sprints!$E$6),0)</f>
        <v/>
      </c>
      <c r="F6" s="23" t="str">
        <f t="array" ref="F6">IF(AND(F$4&gt;Resumen_Sprints!$E$6,F$4&lt;=Resumen_Sprints!$E$6+Resumen_Sprints!$D$6),INDEX('Sprint N°1'!$C$6:$I$6,F$4-Resumen_Sprints!$E$6),0)</f>
        <v/>
      </c>
      <c r="G6" s="23" t="str">
        <f t="array" ref="G6">IF(AND(G$4&gt;Resumen_Sprints!$E$6,G$4&lt;=Resumen_Sprints!$E$6+Resumen_Sprints!$D$6),INDEX('Sprint N°1'!$C$6:$I$6,G$4-Resumen_Sprints!$E$6),0)</f>
        <v/>
      </c>
      <c r="H6" s="23" t="str">
        <f t="array" ref="H6">IF(AND(H$4&gt;Resumen_Sprints!$E$6,H$4&lt;=Resumen_Sprints!$E$6+Resumen_Sprints!$D$6),INDEX('Sprint N°1'!$C$6:$I$6,H$4-Resumen_Sprints!$E$6),0)</f>
        <v/>
      </c>
      <c r="I6" s="23" t="str">
        <f t="array" ref="I6">IF(AND(I$4&gt;Resumen_Sprints!$E$6,I$4&lt;=Resumen_Sprints!$E$6+Resumen_Sprints!$D$6),INDEX('Sprint N°1'!$C$6:$I$6,I$4-Resumen_Sprints!$E$6),0)</f>
        <v/>
      </c>
      <c r="J6" s="23">
        <f t="array" ref="J6">IF(AND(J$4&gt;Resumen_Sprints!$E$6,J$4&lt;=Resumen_Sprints!$E$6+Resumen_Sprints!$D$6),INDEX('Sprint N°1'!$C$6:$I$6,J$4-Resumen_Sprints!$E$6),0)</f>
        <v>0</v>
      </c>
      <c r="K6" s="23">
        <f t="array" ref="K6">IF(AND(K$4&gt;Resumen_Sprints!$E$6,K$4&lt;=Resumen_Sprints!$E$6+Resumen_Sprints!$D$6),INDEX('Sprint N°1'!$C$6:$I$6,K$4-Resumen_Sprints!$E$6),0)</f>
        <v>0</v>
      </c>
      <c r="L6" s="23">
        <f t="array" ref="L6">IF(AND(L$4&gt;Resumen_Sprints!$E$6,L$4&lt;=Resumen_Sprints!$E$6+Resumen_Sprints!$D$6),INDEX('Sprint N°1'!$C$6:$I$6,L$4-Resumen_Sprints!$E$6),0)</f>
        <v>0</v>
      </c>
      <c r="M6" s="23">
        <f t="array" ref="M6">IF(AND(M$4&gt;Resumen_Sprints!$E$6,M$4&lt;=Resumen_Sprints!$E$6+Resumen_Sprints!$D$6),INDEX('Sprint N°1'!$C$6:$I$6,M$4-Resumen_Sprints!$E$6),0)</f>
        <v>0</v>
      </c>
      <c r="N6" s="23">
        <f t="array" ref="N6">IF(AND(N$4&gt;Resumen_Sprints!$E$6,N$4&lt;=Resumen_Sprints!$E$6+Resumen_Sprints!$D$6),INDEX('Sprint N°1'!$C$6:$I$6,N$4-Resumen_Sprints!$E$6),0)</f>
        <v>0</v>
      </c>
      <c r="O6" s="23">
        <f t="array" ref="O6">IF(AND(O$4&gt;Resumen_Sprints!$E$6,O$4&lt;=Resumen_Sprints!$E$6+Resumen_Sprints!$D$6),INDEX('Sprint N°1'!$C$6:$I$6,O$4-Resumen_Sprints!$E$6),0)</f>
        <v>0</v>
      </c>
      <c r="P6" s="23">
        <f t="array" ref="P6">IF(AND(P$4&gt;Resumen_Sprints!$E$6,P$4&lt;=Resumen_Sprints!$E$6+Resumen_Sprints!$D$6),INDEX('Sprint N°1'!$C$6:$I$6,P$4-Resumen_Sprints!$E$6),0)</f>
        <v>0</v>
      </c>
      <c r="Q6" s="23">
        <f t="array" ref="Q6">IF(AND(Q$4&gt;Resumen_Sprints!$E$6,Q$4&lt;=Resumen_Sprints!$E$6+Resumen_Sprints!$D$6),INDEX('Sprint N°1'!$C$6:$I$6,Q$4-Resumen_Sprints!$E$6),0)</f>
        <v>0</v>
      </c>
      <c r="R6" s="23">
        <f t="array" ref="R6">IF(AND(R$4&gt;Resumen_Sprints!$E$6,R$4&lt;=Resumen_Sprints!$E$6+Resumen_Sprints!$D$6),INDEX('Sprint N°1'!$C$6:$I$6,R$4-Resumen_Sprints!$E$6),0)</f>
        <v>0</v>
      </c>
      <c r="S6" s="23">
        <f t="array" ref="S6">IF(AND(S$4&gt;Resumen_Sprints!$E$6,S$4&lt;=Resumen_Sprints!$E$6+Resumen_Sprints!$D$6),INDEX('Sprint N°1'!$C$6:$I$6,S$4-Resumen_Sprints!$E$6),0)</f>
        <v>0</v>
      </c>
      <c r="T6" s="23">
        <f t="array" ref="T6">IF(AND(T$4&gt;Resumen_Sprints!$E$6,T$4&lt;=Resumen_Sprints!$E$6+Resumen_Sprints!$D$6),INDEX('Sprint N°1'!$C$6:$I$6,T$4-Resumen_Sprints!$E$6),0)</f>
        <v>0</v>
      </c>
      <c r="U6" s="23">
        <f t="array" ref="U6">IF(AND(U$4&gt;Resumen_Sprints!$E$6,U$4&lt;=Resumen_Sprints!$E$6+Resumen_Sprints!$D$6),INDEX('Sprint N°1'!$C$6:$I$6,U$4-Resumen_Sprints!$E$6),0)</f>
        <v>0</v>
      </c>
      <c r="V6" s="23">
        <f t="array" ref="V6">IF(AND(V$4&gt;Resumen_Sprints!$E$6,V$4&lt;=Resumen_Sprints!$E$6+Resumen_Sprints!$D$6),INDEX('Sprint N°1'!$C$6:$I$6,V$4-Resumen_Sprints!$E$6),0)</f>
        <v>0</v>
      </c>
      <c r="W6" s="23">
        <f t="array" ref="W6">IF(AND(W$4&gt;Resumen_Sprints!$E$6,W$4&lt;=Resumen_Sprints!$E$6+Resumen_Sprints!$D$6),INDEX('Sprint N°1'!$C$6:$I$6,W$4-Resumen_Sprints!$E$6),0)</f>
        <v>0</v>
      </c>
      <c r="X6" s="23">
        <f t="array" ref="X6">IF(AND(X$4&gt;Resumen_Sprints!$E$6,X$4&lt;=Resumen_Sprints!$E$6+Resumen_Sprints!$D$6),INDEX('Sprint N°1'!$C$6:$I$6,X$4-Resumen_Sprints!$E$6),0)</f>
        <v>0</v>
      </c>
      <c r="Y6" s="23">
        <f t="array" ref="Y6">IF(AND(Y$4&gt;Resumen_Sprints!$E$6,Y$4&lt;=Resumen_Sprints!$E$6+Resumen_Sprints!$D$6),INDEX('Sprint N°1'!$C$6:$I$6,Y$4-Resumen_Sprints!$E$6),0)</f>
        <v>0</v>
      </c>
      <c r="Z6" s="23">
        <f t="array" ref="Z6">IF(AND(Z$4&gt;Resumen_Sprints!$E$6,Z$4&lt;=Resumen_Sprints!$E$6+Resumen_Sprints!$D$6),INDEX('Sprint N°1'!$C$6:$I$6,Z$4-Resumen_Sprints!$E$6),0)</f>
        <v>0</v>
      </c>
      <c r="AA6" s="23">
        <f t="array" ref="AA6">IF(AND(AA$4&gt;Resumen_Sprints!$E$6,AA$4&lt;=Resumen_Sprints!$E$6+Resumen_Sprints!$D$6),INDEX('Sprint N°1'!$C$6:$I$6,AA$4-Resumen_Sprints!$E$6),0)</f>
        <v>0</v>
      </c>
      <c r="AB6" s="23">
        <f t="array" ref="AB6">IF(AND(AB$4&gt;Resumen_Sprints!$E$6,AB$4&lt;=Resumen_Sprints!$E$6+Resumen_Sprints!$D$6),INDEX('Sprint N°1'!$C$6:$I$6,AB$4-Resumen_Sprints!$E$6),0)</f>
        <v>0</v>
      </c>
      <c r="AC6" s="23">
        <f t="array" ref="AC6">IF(AND(AC$4&gt;Resumen_Sprints!$E$6,AC$4&lt;=Resumen_Sprints!$E$6+Resumen_Sprints!$D$6),INDEX('Sprint N°1'!$C$6:$I$6,AC$4-Resumen_Sprints!$E$6),0)</f>
        <v>0</v>
      </c>
      <c r="AD6" s="23">
        <f t="array" ref="AD6">IF(AND(AD$4&gt;Resumen_Sprints!$E$6,AD$4&lt;=Resumen_Sprints!$E$6+Resumen_Sprints!$D$6),INDEX('Sprint N°1'!$C$6:$I$6,AD$4-Resumen_Sprints!$E$6),0)</f>
        <v>0</v>
      </c>
      <c r="AE6" s="23">
        <f t="array" ref="AE6">IF(AND(AE$4&gt;Resumen_Sprints!$E$6,AE$4&lt;=Resumen_Sprints!$E$6+Resumen_Sprints!$D$6),INDEX('Sprint N°1'!$C$6:$I$6,AE$4-Resumen_Sprints!$E$6),0)</f>
        <v>0</v>
      </c>
      <c r="AF6" s="23">
        <f t="array" ref="AF6">IF(AND(AF$4&gt;Resumen_Sprints!$E$6,AF$4&lt;=Resumen_Sprints!$E$6+Resumen_Sprints!$D$6),INDEX('Sprint N°1'!$C$6:$I$6,AF$4-Resumen_Sprints!$E$6),0)</f>
        <v>0</v>
      </c>
      <c r="AG6" s="23">
        <f t="array" ref="AG6">IF(AND(AG$4&gt;Resumen_Sprints!$E$6,AG$4&lt;=Resumen_Sprints!$E$6+Resumen_Sprints!$D$6),INDEX('Sprint N°1'!$C$6:$I$6,AG$4-Resumen_Sprints!$E$6),0)</f>
        <v>0</v>
      </c>
      <c r="AH6" s="23">
        <f t="array" ref="AH6">IF(AND(AH$4&gt;Resumen_Sprints!$E$6,AH$4&lt;=Resumen_Sprints!$E$6+Resumen_Sprints!$D$6),INDEX('Sprint N°1'!$C$6:$I$6,AH$4-Resumen_Sprints!$E$6),0)</f>
        <v>0</v>
      </c>
      <c r="AI6" s="23">
        <f t="array" ref="AI6">IF(AND(AI$4&gt;Resumen_Sprints!$E$6,AI$4&lt;=Resumen_Sprints!$E$6+Resumen_Sprints!$D$6),INDEX('Sprint N°1'!$C$6:$I$6,AI$4-Resumen_Sprints!$E$6),0)</f>
        <v>0</v>
      </c>
      <c r="AJ6" s="23">
        <f t="array" ref="AJ6">IF(AND(AJ$4&gt;Resumen_Sprints!$E$6,AJ$4&lt;=Resumen_Sprints!$E$6+Resumen_Sprints!$D$6),INDEX('Sprint N°1'!$C$6:$I$6,AJ$4-Resumen_Sprints!$E$6),0)</f>
        <v>0</v>
      </c>
      <c r="AK6" s="23">
        <f t="array" ref="AK6">IF(AND(AK$4&gt;Resumen_Sprints!$E$6,AK$4&lt;=Resumen_Sprints!$E$6+Resumen_Sprints!$D$6),INDEX('Sprint N°1'!$C$6:$I$6,AK$4-Resumen_Sprints!$E$6),0)</f>
        <v>0</v>
      </c>
      <c r="AL6" s="23">
        <f t="array" ref="AL6">IF(AND(AL$4&gt;Resumen_Sprints!$E$6,AL$4&lt;=Resumen_Sprints!$E$6+Resumen_Sprints!$D$6),INDEX('Sprint N°1'!$C$6:$I$6,AL$4-Resumen_Sprints!$E$6),0)</f>
        <v>0</v>
      </c>
      <c r="AM6" s="23">
        <f t="array" ref="AM6">IF(AND(AM$4&gt;Resumen_Sprints!$E$6,AM$4&lt;=Resumen_Sprints!$E$6+Resumen_Sprints!$D$6),INDEX('Sprint N°1'!$C$6:$I$6,AM$4-Resumen_Sprints!$E$6),0)</f>
        <v>0</v>
      </c>
      <c r="AN6" s="23">
        <f t="array" ref="AN6">IF(AND(AN$4&gt;Resumen_Sprints!$E$6,AN$4&lt;=Resumen_Sprints!$E$6+Resumen_Sprints!$D$6),INDEX('Sprint N°1'!$C$6:$I$6,AN$4-Resumen_Sprints!$E$6),0)</f>
        <v>0</v>
      </c>
      <c r="AO6" s="23">
        <f t="array" ref="AO6">IF(AND(AO$4&gt;Resumen_Sprints!$E$6,AO$4&lt;=Resumen_Sprints!$E$6+Resumen_Sprints!$D$6),INDEX('Sprint N°1'!$C$6:$I$6,AO$4-Resumen_Sprints!$E$6),0)</f>
        <v>0</v>
      </c>
      <c r="AP6" s="23">
        <f t="array" ref="AP6">IF(AND(AP$4&gt;Resumen_Sprints!$E$6,AP$4&lt;=Resumen_Sprints!$E$6+Resumen_Sprints!$D$6),INDEX('Sprint N°1'!$C$6:$I$6,AP$4-Resumen_Sprints!$E$6),0)</f>
        <v>0</v>
      </c>
      <c r="AQ6" s="23">
        <f t="array" ref="AQ6">IF(AND(AQ$4&gt;Resumen_Sprints!$E$6,AQ$4&lt;=Resumen_Sprints!$E$6+Resumen_Sprints!$D$6),INDEX('Sprint N°1'!$C$6:$I$6,AQ$4-Resumen_Sprints!$E$6),0)</f>
        <v>0</v>
      </c>
      <c r="AR6" s="23">
        <f t="array" ref="AR6">IF(AND(AR$4&gt;Resumen_Sprints!$E$6,AR$4&lt;=Resumen_Sprints!$E$6+Resumen_Sprints!$D$6),INDEX('Sprint N°1'!$C$6:$I$6,AR$4-Resumen_Sprints!$E$6),0)</f>
        <v>0</v>
      </c>
      <c r="AS6" s="23">
        <f t="array" ref="AS6">IF(AND(AS$4&gt;Resumen_Sprints!$E$6,AS$4&lt;=Resumen_Sprints!$E$6+Resumen_Sprints!$D$6),INDEX('Sprint N°1'!$C$6:$I$6,AS$4-Resumen_Sprints!$E$6),0)</f>
        <v>0</v>
      </c>
      <c r="AT6" s="23">
        <f t="array" ref="AT6">IF(AND(AT$4&gt;Resumen_Sprints!$E$6,AT$4&lt;=Resumen_Sprints!$E$6+Resumen_Sprints!$D$6),INDEX('Sprint N°1'!$C$6:$I$6,AT$4-Resumen_Sprints!$E$6),0)</f>
        <v>0</v>
      </c>
      <c r="AU6" s="23">
        <f t="array" ref="AU6">IF(AND(AU$4&gt;Resumen_Sprints!$E$6,AU$4&lt;=Resumen_Sprints!$E$6+Resumen_Sprints!$D$6),INDEX('Sprint N°1'!$C$6:$I$6,AU$4-Resumen_Sprints!$E$6),0)</f>
        <v>0</v>
      </c>
      <c r="AV6" s="23">
        <f t="array" ref="AV6">IF(AND(AV$4&gt;Resumen_Sprints!$E$6,AV$4&lt;=Resumen_Sprints!$E$6+Resumen_Sprints!$D$6),INDEX('Sprint N°1'!$C$6:$I$6,AV$4-Resumen_Sprints!$E$6),0)</f>
        <v>0</v>
      </c>
      <c r="AW6" s="23">
        <f t="array" ref="AW6">IF(AND(AW$4&gt;Resumen_Sprints!$E$6,AW$4&lt;=Resumen_Sprints!$E$6+Resumen_Sprints!$D$6),INDEX('Sprint N°1'!$C$6:$I$6,AW$4-Resumen_Sprints!$E$6),0)</f>
        <v>0</v>
      </c>
      <c r="AX6" s="23">
        <f t="array" ref="AX6">IF(AND(AX$4&gt;Resumen_Sprints!$E$6,AX$4&lt;=Resumen_Sprints!$E$6+Resumen_Sprints!$D$6),INDEX('Sprint N°1'!$C$6:$I$6,AX$4-Resumen_Sprints!$E$6),0)</f>
        <v>0</v>
      </c>
      <c r="AY6" s="23">
        <f t="array" ref="AY6">IF(AND(AY$4&gt;Resumen_Sprints!$E$6,AY$4&lt;=Resumen_Sprints!$E$6+Resumen_Sprints!$D$6),INDEX('Sprint N°1'!$C$6:$I$6,AY$4-Resumen_Sprints!$E$6),0)</f>
        <v>0</v>
      </c>
      <c r="AZ6" s="23">
        <f t="array" ref="AZ6">IF(AND(AZ$4&gt;Resumen_Sprints!$E$6,AZ$4&lt;=Resumen_Sprints!$E$6+Resumen_Sprints!$D$6),INDEX('Sprint N°1'!$C$6:$I$6,AZ$4-Resumen_Sprints!$E$6),0)</f>
        <v>0</v>
      </c>
      <c r="BA6" s="23">
        <f t="array" ref="BA6">IF(AND(BA$4&gt;Resumen_Sprints!$E$6,BA$4&lt;=Resumen_Sprints!$E$6+Resumen_Sprints!$D$6),INDEX('Sprint N°1'!$C$6:$I$6,BA$4-Resumen_Sprints!$E$6),0)</f>
        <v>0</v>
      </c>
      <c r="BB6" s="23">
        <f t="array" ref="BB6">IF(AND(BB$4&gt;Resumen_Sprints!$E$6,BB$4&lt;=Resumen_Sprints!$E$6+Resumen_Sprints!$D$6),INDEX('Sprint N°1'!$C$6:$I$6,BB$4-Resumen_Sprints!$E$6),0)</f>
        <v>0</v>
      </c>
      <c r="BC6" s="23">
        <f t="array" ref="BC6">IF(AND(BC$4&gt;Resumen_Sprints!$E$6,BC$4&lt;=Resumen_Sprints!$E$6+Resumen_Sprints!$D$6),INDEX('Sprint N°1'!$C$6:$I$6,BC$4-Resumen_Sprints!$E$6),0)</f>
        <v>0</v>
      </c>
      <c r="BD6" s="23">
        <f t="array" ref="BD6">IF(AND(BD$4&gt;Resumen_Sprints!$E$6,BD$4&lt;=Resumen_Sprints!$E$6+Resumen_Sprints!$D$6),INDEX('Sprint N°1'!$C$6:$I$6,BD$4-Resumen_Sprints!$E$6),0)</f>
        <v>0</v>
      </c>
      <c r="BE6" s="23">
        <f t="array" ref="BE6">IF(AND(BE$4&gt;Resumen_Sprints!$E$6,BE$4&lt;=Resumen_Sprints!$E$6+Resumen_Sprints!$D$6),INDEX('Sprint N°1'!$C$6:$I$6,BE$4-Resumen_Sprints!$E$6),0)</f>
        <v>0</v>
      </c>
      <c r="BF6" s="23">
        <f t="array" ref="BF6">IF(AND(BF$4&gt;Resumen_Sprints!$E$6,BF$4&lt;=Resumen_Sprints!$E$6+Resumen_Sprints!$D$6),INDEX('Sprint N°1'!$C$6:$I$6,BF$4-Resumen_Sprints!$E$6),0)</f>
        <v>0</v>
      </c>
      <c r="BG6" s="23">
        <f t="array" ref="BG6">IF(AND(BG$4&gt;Resumen_Sprints!$E$6,BG$4&lt;=Resumen_Sprints!$E$6+Resumen_Sprints!$D$6),INDEX('Sprint N°1'!$C$6:$I$6,BG$4-Resumen_Sprints!$E$6),0)</f>
        <v>0</v>
      </c>
      <c r="BH6" s="23">
        <f t="array" ref="BH6">IF(AND(BH$4&gt;Resumen_Sprints!$E$6,BH$4&lt;=Resumen_Sprints!$E$6+Resumen_Sprints!$D$6),INDEX('Sprint N°1'!$C$6:$I$6,BH$4-Resumen_Sprints!$E$6),0)</f>
        <v>0</v>
      </c>
      <c r="BI6" s="23">
        <f t="array" ref="BI6">IF(AND(BI$4&gt;Resumen_Sprints!$E$6,BI$4&lt;=Resumen_Sprints!$E$6+Resumen_Sprints!$D$6),INDEX('Sprint N°1'!$C$6:$I$6,BI$4-Resumen_Sprints!$E$6),0)</f>
        <v>0</v>
      </c>
      <c r="BJ6" s="23">
        <f t="array" ref="BJ6">IF(AND(BJ$4&gt;Resumen_Sprints!$E$6,BJ$4&lt;=Resumen_Sprints!$E$6+Resumen_Sprints!$D$6),INDEX('Sprint N°1'!$C$6:$I$6,BJ$4-Resumen_Sprints!$E$6),0)</f>
        <v>0</v>
      </c>
      <c r="BK6" s="23">
        <f t="array" ref="BK6">IF(AND(BK$4&gt;Resumen_Sprints!$E$6,BK$4&lt;=Resumen_Sprints!$E$6+Resumen_Sprints!$D$6),INDEX('Sprint N°1'!$C$6:$I$6,BK$4-Resumen_Sprints!$E$6),0)</f>
        <v>0</v>
      </c>
      <c r="BL6" s="23">
        <f t="array" ref="BL6">IF(AND(BL$4&gt;Resumen_Sprints!$E$6,BL$4&lt;=Resumen_Sprints!$E$6+Resumen_Sprints!$D$6),INDEX('Sprint N°1'!$C$6:$I$6,BL$4-Resumen_Sprints!$E$6),0)</f>
        <v>0</v>
      </c>
      <c r="BM6" s="23">
        <f t="array" ref="BM6">IF(AND(BM$4&gt;Resumen_Sprints!$E$6,BM$4&lt;=Resumen_Sprints!$E$6+Resumen_Sprints!$D$6),INDEX('Sprint N°1'!$C$6:$I$6,BM$4-Resumen_Sprints!$E$6),0)</f>
        <v>0</v>
      </c>
      <c r="BN6" s="23">
        <f t="array" ref="BN6">IF(AND(BN$4&gt;Resumen_Sprints!$E$6,BN$4&lt;=Resumen_Sprints!$E$6+Resumen_Sprints!$D$6),INDEX('Sprint N°1'!$C$6:$I$6,BN$4-Resumen_Sprints!$E$6),0)</f>
        <v>0</v>
      </c>
      <c r="BO6" s="23">
        <f t="array" ref="BO6">IF(AND(BO$4&gt;Resumen_Sprints!$E$6,BO$4&lt;=Resumen_Sprints!$E$6+Resumen_Sprints!$D$6),INDEX('Sprint N°1'!$C$6:$I$6,BO$4-Resumen_Sprints!$E$6),0)</f>
        <v>0</v>
      </c>
      <c r="BP6" s="23">
        <f t="array" ref="BP6">IF(AND(BP$4&gt;Resumen_Sprints!$E$6,BP$4&lt;=Resumen_Sprints!$E$6+Resumen_Sprints!$D$6),INDEX('Sprint N°1'!$C$6:$I$6,BP$4-Resumen_Sprints!$E$6),0)</f>
        <v>0</v>
      </c>
      <c r="BQ6" s="23">
        <f t="array" ref="BQ6">IF(AND(BQ$4&gt;Resumen_Sprints!$E$6,BQ$4&lt;=Resumen_Sprints!$E$6+Resumen_Sprints!$D$6),INDEX('Sprint N°1'!$C$6:$I$6,BQ$4-Resumen_Sprints!$E$6),0)</f>
        <v>0</v>
      </c>
      <c r="BR6" s="23">
        <f t="array" ref="BR6">IF(AND(BR$4&gt;Resumen_Sprints!$E$6,BR$4&lt;=Resumen_Sprints!$E$6+Resumen_Sprints!$D$6),INDEX('Sprint N°1'!$C$6:$I$6,BR$4-Resumen_Sprints!$E$6),0)</f>
        <v>0</v>
      </c>
      <c r="BS6" s="23">
        <f t="array" ref="BS6">IF(AND(BS$4&gt;Resumen_Sprints!$E$6,BS$4&lt;=Resumen_Sprints!$E$6+Resumen_Sprints!$D$6),INDEX('Sprint N°1'!$C$6:$I$6,BS$4-Resumen_Sprints!$E$6),0)</f>
        <v>0</v>
      </c>
      <c r="BT6" s="23">
        <f t="array" ref="BT6">IF(AND(BT$4&gt;Resumen_Sprints!$E$6,BT$4&lt;=Resumen_Sprints!$E$6+Resumen_Sprints!$D$6),INDEX('Sprint N°1'!$C$6:$I$6,BT$4-Resumen_Sprints!$E$6),0)</f>
        <v>0</v>
      </c>
      <c r="BU6" s="23">
        <f t="array" ref="BU6">IF(AND(BU$4&gt;Resumen_Sprints!$E$6,BU$4&lt;=Resumen_Sprints!$E$6+Resumen_Sprints!$D$6),INDEX('Sprint N°1'!$C$6:$I$6,BU$4-Resumen_Sprints!$E$6),0)</f>
        <v>0</v>
      </c>
      <c r="BV6" s="23">
        <f t="array" ref="BV6">IF(AND(BV$4&gt;Resumen_Sprints!$E$6,BV$4&lt;=Resumen_Sprints!$E$6+Resumen_Sprints!$D$6),INDEX('Sprint N°1'!$C$6:$I$6,BV$4-Resumen_Sprints!$E$6),0)</f>
        <v>0</v>
      </c>
      <c r="BW6" s="23">
        <f t="array" ref="BW6">IF(AND(BW$4&gt;Resumen_Sprints!$E$6,BW$4&lt;=Resumen_Sprints!$E$6+Resumen_Sprints!$D$6),INDEX('Sprint N°1'!$C$6:$I$6,BW$4-Resumen_Sprints!$E$6),0)</f>
        <v>0</v>
      </c>
      <c r="BX6" s="23">
        <f t="array" ref="BX6">IF(AND(BX$4&gt;Resumen_Sprints!$E$6,BX$4&lt;=Resumen_Sprints!$E$6+Resumen_Sprints!$D$6),INDEX('Sprint N°1'!$C$6:$I$6,BX$4-Resumen_Sprints!$E$6),0)</f>
        <v>0</v>
      </c>
      <c r="BY6" s="23">
        <f t="array" ref="BY6">IF(AND(BY$4&gt;Resumen_Sprints!$E$6,BY$4&lt;=Resumen_Sprints!$E$6+Resumen_Sprints!$D$6),INDEX('Sprint N°1'!$C$6:$I$6,BY$4-Resumen_Sprints!$E$6),0)</f>
        <v>0</v>
      </c>
      <c r="BZ6" s="23">
        <f t="array" ref="BZ6">IF(AND(BZ$4&gt;Resumen_Sprints!$E$6,BZ$4&lt;=Resumen_Sprints!$E$6+Resumen_Sprints!$D$6),INDEX('Sprint N°1'!$C$6:$I$6,BZ$4-Resumen_Sprints!$E$6),0)</f>
        <v>0</v>
      </c>
      <c r="CA6" s="23">
        <f t="array" ref="CA6">IF(AND(CA$4&gt;Resumen_Sprints!$E$6,CA$4&lt;=Resumen_Sprints!$E$6+Resumen_Sprints!$D$6),INDEX('Sprint N°1'!$C$6:$I$6,CA$4-Resumen_Sprints!$E$6),0)</f>
        <v>0</v>
      </c>
      <c r="CB6" s="23">
        <f t="array" ref="CB6">IF(AND(CB$4&gt;Resumen_Sprints!$E$6,CB$4&lt;=Resumen_Sprints!$E$6+Resumen_Sprints!$D$6),INDEX('Sprint N°1'!$C$6:$I$6,CB$4-Resumen_Sprints!$E$6),0)</f>
        <v>0</v>
      </c>
      <c r="CC6" s="23">
        <f t="array" ref="CC6">IF(AND(CC$4&gt;Resumen_Sprints!$E$6,CC$4&lt;=Resumen_Sprints!$E$6+Resumen_Sprints!$D$6),INDEX('Sprint N°1'!$C$6:$I$6,CC$4-Resumen_Sprints!$E$6),0)</f>
        <v>0</v>
      </c>
      <c r="CD6" s="23">
        <f t="array" ref="CD6">IF(AND(CD$4&gt;Resumen_Sprints!$E$6,CD$4&lt;=Resumen_Sprints!$E$6+Resumen_Sprints!$D$6),INDEX('Sprint N°1'!$C$6:$I$6,CD$4-Resumen_Sprints!$E$6),0)</f>
        <v>0</v>
      </c>
      <c r="CE6" s="23">
        <f t="array" ref="CE6">IF(AND(CE$4&gt;Resumen_Sprints!$E$6,CE$4&lt;=Resumen_Sprints!$E$6+Resumen_Sprints!$D$6),INDEX('Sprint N°1'!$C$6:$I$6,CE$4-Resumen_Sprints!$E$6),0)</f>
        <v>0</v>
      </c>
      <c r="CF6" s="23">
        <f t="array" ref="CF6">IF(AND(CF$4&gt;Resumen_Sprints!$E$6,CF$4&lt;=Resumen_Sprints!$E$6+Resumen_Sprints!$D$6),INDEX('Sprint N°1'!$C$6:$I$6,CF$4-Resumen_Sprints!$E$6),0)</f>
        <v>0</v>
      </c>
      <c r="CG6" s="23">
        <f t="array" ref="CG6">IF(AND(CG$4&gt;Resumen_Sprints!$E$6,CG$4&lt;=Resumen_Sprints!$E$6+Resumen_Sprints!$D$6),INDEX('Sprint N°1'!$C$6:$I$6,CG$4-Resumen_Sprints!$E$6),0)</f>
        <v>0</v>
      </c>
      <c r="CH6" s="23">
        <f t="array" ref="CH6">IF(AND(CH$4&gt;Resumen_Sprints!$E$6,CH$4&lt;=Resumen_Sprints!$E$6+Resumen_Sprints!$D$6),INDEX('Sprint N°1'!$C$6:$I$6,CH$4-Resumen_Sprints!$E$6),0)</f>
        <v>0</v>
      </c>
      <c r="CI6" s="23">
        <f t="array" ref="CI6">IF(AND(CI$4&gt;Resumen_Sprints!$E$6,CI$4&lt;=Resumen_Sprints!$E$6+Resumen_Sprints!$D$6),INDEX('Sprint N°1'!$C$6:$I$6,CI$4-Resumen_Sprints!$E$6),0)</f>
        <v>0</v>
      </c>
      <c r="CJ6" s="23">
        <f t="array" ref="CJ6">IF(AND(CJ$4&gt;Resumen_Sprints!$E$6,CJ$4&lt;=Resumen_Sprints!$E$6+Resumen_Sprints!$D$6),INDEX('Sprint N°1'!$C$6:$I$6,CJ$4-Resumen_Sprints!$E$6),0)</f>
        <v>0</v>
      </c>
      <c r="CK6" s="23">
        <f t="array" ref="CK6">IF(AND(CK$4&gt;Resumen_Sprints!$E$6,CK$4&lt;=Resumen_Sprints!$E$6+Resumen_Sprints!$D$6),INDEX('Sprint N°1'!$C$6:$I$6,CK$4-Resumen_Sprints!$E$6),0)</f>
        <v>0</v>
      </c>
      <c r="CL6" s="23">
        <f t="array" ref="CL6">IF(AND(CL$4&gt;Resumen_Sprints!$E$6,CL$4&lt;=Resumen_Sprints!$E$6+Resumen_Sprints!$D$6),INDEX('Sprint N°1'!$C$6:$I$6,CL$4-Resumen_Sprints!$E$6),0)</f>
        <v>0</v>
      </c>
      <c r="CM6" s="23">
        <f t="array" ref="CM6">IF(AND(CM$4&gt;Resumen_Sprints!$E$6,CM$4&lt;=Resumen_Sprints!$E$6+Resumen_Sprints!$D$6),INDEX('Sprint N°1'!$C$6:$I$6,CM$4-Resumen_Sprints!$E$6),0)</f>
        <v>0</v>
      </c>
      <c r="CN6" s="23">
        <f t="array" ref="CN6">IF(AND(CN$4&gt;Resumen_Sprints!$E$6,CN$4&lt;=Resumen_Sprints!$E$6+Resumen_Sprints!$D$6),INDEX('Sprint N°1'!$C$6:$I$6,CN$4-Resumen_Sprints!$E$6),0)</f>
        <v>0</v>
      </c>
      <c r="CO6" s="23">
        <f t="array" ref="CO6">IF(AND(CO$4&gt;Resumen_Sprints!$E$6,CO$4&lt;=Resumen_Sprints!$E$6+Resumen_Sprints!$D$6),INDEX('Sprint N°1'!$C$6:$I$6,CO$4-Resumen_Sprints!$E$6),0)</f>
        <v>0</v>
      </c>
      <c r="CP6" s="23">
        <f t="array" ref="CP6">IF(AND(CP$4&gt;Resumen_Sprints!$E$6,CP$4&lt;=Resumen_Sprints!$E$6+Resumen_Sprints!$D$6),INDEX('Sprint N°1'!$C$6:$I$6,CP$4-Resumen_Sprints!$E$6),0)</f>
        <v>0</v>
      </c>
      <c r="CQ6" s="23">
        <f t="array" ref="CQ6">IF(AND(CQ$4&gt;Resumen_Sprints!$E$6,CQ$4&lt;=Resumen_Sprints!$E$6+Resumen_Sprints!$D$6),INDEX('Sprint N°1'!$C$6:$I$6,CQ$4-Resumen_Sprints!$E$6),0)</f>
        <v>0</v>
      </c>
      <c r="CR6" s="23">
        <f t="array" ref="CR6">IF(AND(CR$4&gt;Resumen_Sprints!$E$6,CR$4&lt;=Resumen_Sprints!$E$6+Resumen_Sprints!$D$6),INDEX('Sprint N°1'!$C$6:$I$6,CR$4-Resumen_Sprints!$E$6),0)</f>
        <v>0</v>
      </c>
      <c r="CS6" s="23">
        <f t="array" ref="CS6">IF(AND(CS$4&gt;Resumen_Sprints!$E$6,CS$4&lt;=Resumen_Sprints!$E$6+Resumen_Sprints!$D$6),INDEX('Sprint N°1'!$C$6:$I$6,CS$4-Resumen_Sprints!$E$6),0)</f>
        <v>0</v>
      </c>
      <c r="CT6" s="23">
        <f t="array" ref="CT6">IF(AND(CT$4&gt;Resumen_Sprints!$E$6,CT$4&lt;=Resumen_Sprints!$E$6+Resumen_Sprints!$D$6),INDEX('Sprint N°1'!$C$6:$I$6,CT$4-Resumen_Sprints!$E$6),0)</f>
        <v>0</v>
      </c>
      <c r="CU6" s="24">
        <f t="shared" ref="CU6:CU10" si="1">SUM(C6:CT6)</f>
        <v>8</v>
      </c>
    </row>
    <row r="7" ht="14.25" customHeight="1">
      <c r="A7" s="11" t="str">
        <f>'Sprint N°1'!A7</f>
        <v>Documento de Visión y Roles Scrum</v>
      </c>
      <c r="B7" s="11">
        <f>'Sprint N°1'!B7</f>
        <v>8</v>
      </c>
      <c r="C7" s="23" t="str">
        <f t="array" ref="C7">IF(AND(C$4&gt;Resumen_Sprints!$E$6,C$4&lt;=Resumen_Sprints!$E$6+Resumen_Sprints!$D$6),INDEX('Sprint N°1'!$C$7:$I$7,C$4-Resumen_Sprints!$E$6),0)</f>
        <v/>
      </c>
      <c r="D7" s="23">
        <f t="array" ref="D7">IF(AND(D$4&gt;Resumen_Sprints!$E$6,D$4&lt;=Resumen_Sprints!$E$6+Resumen_Sprints!$D$6),INDEX('Sprint N°1'!$C$7:$I$7,D$4-Resumen_Sprints!$E$6),0)</f>
        <v>5</v>
      </c>
      <c r="E7" s="23">
        <f t="array" ref="E7">IF(AND(E$4&gt;Resumen_Sprints!$E$6,E$4&lt;=Resumen_Sprints!$E$6+Resumen_Sprints!$D$6),INDEX('Sprint N°1'!$C$7:$I$7,E$4-Resumen_Sprints!$E$6),0)</f>
        <v>3</v>
      </c>
      <c r="F7" s="23" t="str">
        <f t="array" ref="F7">IF(AND(F$4&gt;Resumen_Sprints!$E$6,F$4&lt;=Resumen_Sprints!$E$6+Resumen_Sprints!$D$6),INDEX('Sprint N°1'!$C$7:$I$7,F$4-Resumen_Sprints!$E$6),0)</f>
        <v/>
      </c>
      <c r="G7" s="23" t="str">
        <f t="array" ref="G7">IF(AND(G$4&gt;Resumen_Sprints!$E$6,G$4&lt;=Resumen_Sprints!$E$6+Resumen_Sprints!$D$6),INDEX('Sprint N°1'!$C$7:$I$7,G$4-Resumen_Sprints!$E$6),0)</f>
        <v/>
      </c>
      <c r="H7" s="23" t="str">
        <f t="array" ref="H7">IF(AND(H$4&gt;Resumen_Sprints!$E$6,H$4&lt;=Resumen_Sprints!$E$6+Resumen_Sprints!$D$6),INDEX('Sprint N°1'!$C$7:$I$7,H$4-Resumen_Sprints!$E$6),0)</f>
        <v/>
      </c>
      <c r="I7" s="23" t="str">
        <f t="array" ref="I7">IF(AND(I$4&gt;Resumen_Sprints!$E$6,I$4&lt;=Resumen_Sprints!$E$6+Resumen_Sprints!$D$6),INDEX('Sprint N°1'!$C$7:$I$7,I$4-Resumen_Sprints!$E$6),0)</f>
        <v/>
      </c>
      <c r="J7" s="23">
        <f t="array" ref="J7">IF(AND(J$4&gt;Resumen_Sprints!$E$6,J$4&lt;=Resumen_Sprints!$E$6+Resumen_Sprints!$D$6),INDEX('Sprint N°1'!$C$7:$I$7,J$4-Resumen_Sprints!$E$6),0)</f>
        <v>0</v>
      </c>
      <c r="K7" s="23">
        <f t="array" ref="K7">IF(AND(K$4&gt;Resumen_Sprints!$E$6,K$4&lt;=Resumen_Sprints!$E$6+Resumen_Sprints!$D$6),INDEX('Sprint N°1'!$C$7:$I$7,K$4-Resumen_Sprints!$E$6),0)</f>
        <v>0</v>
      </c>
      <c r="L7" s="23">
        <f t="array" ref="L7">IF(AND(L$4&gt;Resumen_Sprints!$E$6,L$4&lt;=Resumen_Sprints!$E$6+Resumen_Sprints!$D$6),INDEX('Sprint N°1'!$C$7:$I$7,L$4-Resumen_Sprints!$E$6),0)</f>
        <v>0</v>
      </c>
      <c r="M7" s="23">
        <f t="array" ref="M7">IF(AND(M$4&gt;Resumen_Sprints!$E$6,M$4&lt;=Resumen_Sprints!$E$6+Resumen_Sprints!$D$6),INDEX('Sprint N°1'!$C$7:$I$7,M$4-Resumen_Sprints!$E$6),0)</f>
        <v>0</v>
      </c>
      <c r="N7" s="23">
        <f t="array" ref="N7">IF(AND(N$4&gt;Resumen_Sprints!$E$6,N$4&lt;=Resumen_Sprints!$E$6+Resumen_Sprints!$D$6),INDEX('Sprint N°1'!$C$7:$I$7,N$4-Resumen_Sprints!$E$6),0)</f>
        <v>0</v>
      </c>
      <c r="O7" s="23">
        <f t="array" ref="O7">IF(AND(O$4&gt;Resumen_Sprints!$E$6,O$4&lt;=Resumen_Sprints!$E$6+Resumen_Sprints!$D$6),INDEX('Sprint N°1'!$C$7:$I$7,O$4-Resumen_Sprints!$E$6),0)</f>
        <v>0</v>
      </c>
      <c r="P7" s="23">
        <f t="array" ref="P7">IF(AND(P$4&gt;Resumen_Sprints!$E$6,P$4&lt;=Resumen_Sprints!$E$6+Resumen_Sprints!$D$6),INDEX('Sprint N°1'!$C$7:$I$7,P$4-Resumen_Sprints!$E$6),0)</f>
        <v>0</v>
      </c>
      <c r="Q7" s="23">
        <f t="array" ref="Q7">IF(AND(Q$4&gt;Resumen_Sprints!$E$6,Q$4&lt;=Resumen_Sprints!$E$6+Resumen_Sprints!$D$6),INDEX('Sprint N°1'!$C$7:$I$7,Q$4-Resumen_Sprints!$E$6),0)</f>
        <v>0</v>
      </c>
      <c r="R7" s="23">
        <f t="array" ref="R7">IF(AND(R$4&gt;Resumen_Sprints!$E$6,R$4&lt;=Resumen_Sprints!$E$6+Resumen_Sprints!$D$6),INDEX('Sprint N°1'!$C$7:$I$7,R$4-Resumen_Sprints!$E$6),0)</f>
        <v>0</v>
      </c>
      <c r="S7" s="23">
        <f t="array" ref="S7">IF(AND(S$4&gt;Resumen_Sprints!$E$6,S$4&lt;=Resumen_Sprints!$E$6+Resumen_Sprints!$D$6),INDEX('Sprint N°1'!$C$7:$I$7,S$4-Resumen_Sprints!$E$6),0)</f>
        <v>0</v>
      </c>
      <c r="T7" s="23">
        <f t="array" ref="T7">IF(AND(T$4&gt;Resumen_Sprints!$E$6,T$4&lt;=Resumen_Sprints!$E$6+Resumen_Sprints!$D$6),INDEX('Sprint N°1'!$C$7:$I$7,T$4-Resumen_Sprints!$E$6),0)</f>
        <v>0</v>
      </c>
      <c r="U7" s="23">
        <f t="array" ref="U7">IF(AND(U$4&gt;Resumen_Sprints!$E$6,U$4&lt;=Resumen_Sprints!$E$6+Resumen_Sprints!$D$6),INDEX('Sprint N°1'!$C$7:$I$7,U$4-Resumen_Sprints!$E$6),0)</f>
        <v>0</v>
      </c>
      <c r="V7" s="23">
        <f t="array" ref="V7">IF(AND(V$4&gt;Resumen_Sprints!$E$6,V$4&lt;=Resumen_Sprints!$E$6+Resumen_Sprints!$D$6),INDEX('Sprint N°1'!$C$7:$I$7,V$4-Resumen_Sprints!$E$6),0)</f>
        <v>0</v>
      </c>
      <c r="W7" s="23">
        <f t="array" ref="W7">IF(AND(W$4&gt;Resumen_Sprints!$E$6,W$4&lt;=Resumen_Sprints!$E$6+Resumen_Sprints!$D$6),INDEX('Sprint N°1'!$C$7:$I$7,W$4-Resumen_Sprints!$E$6),0)</f>
        <v>0</v>
      </c>
      <c r="X7" s="23">
        <f t="array" ref="X7">IF(AND(X$4&gt;Resumen_Sprints!$E$6,X$4&lt;=Resumen_Sprints!$E$6+Resumen_Sprints!$D$6),INDEX('Sprint N°1'!$C$7:$I$7,X$4-Resumen_Sprints!$E$6),0)</f>
        <v>0</v>
      </c>
      <c r="Y7" s="23">
        <f t="array" ref="Y7">IF(AND(Y$4&gt;Resumen_Sprints!$E$6,Y$4&lt;=Resumen_Sprints!$E$6+Resumen_Sprints!$D$6),INDEX('Sprint N°1'!$C$7:$I$7,Y$4-Resumen_Sprints!$E$6),0)</f>
        <v>0</v>
      </c>
      <c r="Z7" s="23">
        <f t="array" ref="Z7">IF(AND(Z$4&gt;Resumen_Sprints!$E$6,Z$4&lt;=Resumen_Sprints!$E$6+Resumen_Sprints!$D$6),INDEX('Sprint N°1'!$C$7:$I$7,Z$4-Resumen_Sprints!$E$6),0)</f>
        <v>0</v>
      </c>
      <c r="AA7" s="23">
        <f t="array" ref="AA7">IF(AND(AA$4&gt;Resumen_Sprints!$E$6,AA$4&lt;=Resumen_Sprints!$E$6+Resumen_Sprints!$D$6),INDEX('Sprint N°1'!$C$7:$I$7,AA$4-Resumen_Sprints!$E$6),0)</f>
        <v>0</v>
      </c>
      <c r="AB7" s="23">
        <f t="array" ref="AB7">IF(AND(AB$4&gt;Resumen_Sprints!$E$6,AB$4&lt;=Resumen_Sprints!$E$6+Resumen_Sprints!$D$6),INDEX('Sprint N°1'!$C$7:$I$7,AB$4-Resumen_Sprints!$E$6),0)</f>
        <v>0</v>
      </c>
      <c r="AC7" s="23">
        <f t="array" ref="AC7">IF(AND(AC$4&gt;Resumen_Sprints!$E$6,AC$4&lt;=Resumen_Sprints!$E$6+Resumen_Sprints!$D$6),INDEX('Sprint N°1'!$C$7:$I$7,AC$4-Resumen_Sprints!$E$6),0)</f>
        <v>0</v>
      </c>
      <c r="AD7" s="23">
        <f t="array" ref="AD7">IF(AND(AD$4&gt;Resumen_Sprints!$E$6,AD$4&lt;=Resumen_Sprints!$E$6+Resumen_Sprints!$D$6),INDEX('Sprint N°1'!$C$7:$I$7,AD$4-Resumen_Sprints!$E$6),0)</f>
        <v>0</v>
      </c>
      <c r="AE7" s="23">
        <f t="array" ref="AE7">IF(AND(AE$4&gt;Resumen_Sprints!$E$6,AE$4&lt;=Resumen_Sprints!$E$6+Resumen_Sprints!$D$6),INDEX('Sprint N°1'!$C$7:$I$7,AE$4-Resumen_Sprints!$E$6),0)</f>
        <v>0</v>
      </c>
      <c r="AF7" s="23">
        <f t="array" ref="AF7">IF(AND(AF$4&gt;Resumen_Sprints!$E$6,AF$4&lt;=Resumen_Sprints!$E$6+Resumen_Sprints!$D$6),INDEX('Sprint N°1'!$C$7:$I$7,AF$4-Resumen_Sprints!$E$6),0)</f>
        <v>0</v>
      </c>
      <c r="AG7" s="23">
        <f t="array" ref="AG7">IF(AND(AG$4&gt;Resumen_Sprints!$E$6,AG$4&lt;=Resumen_Sprints!$E$6+Resumen_Sprints!$D$6),INDEX('Sprint N°1'!$C$7:$I$7,AG$4-Resumen_Sprints!$E$6),0)</f>
        <v>0</v>
      </c>
      <c r="AH7" s="23">
        <f t="array" ref="AH7">IF(AND(AH$4&gt;Resumen_Sprints!$E$6,AH$4&lt;=Resumen_Sprints!$E$6+Resumen_Sprints!$D$6),INDEX('Sprint N°1'!$C$7:$I$7,AH$4-Resumen_Sprints!$E$6),0)</f>
        <v>0</v>
      </c>
      <c r="AI7" s="23">
        <f t="array" ref="AI7">IF(AND(AI$4&gt;Resumen_Sprints!$E$6,AI$4&lt;=Resumen_Sprints!$E$6+Resumen_Sprints!$D$6),INDEX('Sprint N°1'!$C$7:$I$7,AI$4-Resumen_Sprints!$E$6),0)</f>
        <v>0</v>
      </c>
      <c r="AJ7" s="23">
        <f t="array" ref="AJ7">IF(AND(AJ$4&gt;Resumen_Sprints!$E$6,AJ$4&lt;=Resumen_Sprints!$E$6+Resumen_Sprints!$D$6),INDEX('Sprint N°1'!$C$7:$I$7,AJ$4-Resumen_Sprints!$E$6),0)</f>
        <v>0</v>
      </c>
      <c r="AK7" s="23">
        <f t="array" ref="AK7">IF(AND(AK$4&gt;Resumen_Sprints!$E$6,AK$4&lt;=Resumen_Sprints!$E$6+Resumen_Sprints!$D$6),INDEX('Sprint N°1'!$C$7:$I$7,AK$4-Resumen_Sprints!$E$6),0)</f>
        <v>0</v>
      </c>
      <c r="AL7" s="23">
        <f t="array" ref="AL7">IF(AND(AL$4&gt;Resumen_Sprints!$E$6,AL$4&lt;=Resumen_Sprints!$E$6+Resumen_Sprints!$D$6),INDEX('Sprint N°1'!$C$7:$I$7,AL$4-Resumen_Sprints!$E$6),0)</f>
        <v>0</v>
      </c>
      <c r="AM7" s="23">
        <f t="array" ref="AM7">IF(AND(AM$4&gt;Resumen_Sprints!$E$6,AM$4&lt;=Resumen_Sprints!$E$6+Resumen_Sprints!$D$6),INDEX('Sprint N°1'!$C$7:$I$7,AM$4-Resumen_Sprints!$E$6),0)</f>
        <v>0</v>
      </c>
      <c r="AN7" s="23">
        <f t="array" ref="AN7">IF(AND(AN$4&gt;Resumen_Sprints!$E$6,AN$4&lt;=Resumen_Sprints!$E$6+Resumen_Sprints!$D$6),INDEX('Sprint N°1'!$C$7:$I$7,AN$4-Resumen_Sprints!$E$6),0)</f>
        <v>0</v>
      </c>
      <c r="AO7" s="23">
        <f t="array" ref="AO7">IF(AND(AO$4&gt;Resumen_Sprints!$E$6,AO$4&lt;=Resumen_Sprints!$E$6+Resumen_Sprints!$D$6),INDEX('Sprint N°1'!$C$7:$I$7,AO$4-Resumen_Sprints!$E$6),0)</f>
        <v>0</v>
      </c>
      <c r="AP7" s="23">
        <f t="array" ref="AP7">IF(AND(AP$4&gt;Resumen_Sprints!$E$6,AP$4&lt;=Resumen_Sprints!$E$6+Resumen_Sprints!$D$6),INDEX('Sprint N°1'!$C$7:$I$7,AP$4-Resumen_Sprints!$E$6),0)</f>
        <v>0</v>
      </c>
      <c r="AQ7" s="23">
        <f t="array" ref="AQ7">IF(AND(AQ$4&gt;Resumen_Sprints!$E$6,AQ$4&lt;=Resumen_Sprints!$E$6+Resumen_Sprints!$D$6),INDEX('Sprint N°1'!$C$7:$I$7,AQ$4-Resumen_Sprints!$E$6),0)</f>
        <v>0</v>
      </c>
      <c r="AR7" s="23">
        <f t="array" ref="AR7">IF(AND(AR$4&gt;Resumen_Sprints!$E$6,AR$4&lt;=Resumen_Sprints!$E$6+Resumen_Sprints!$D$6),INDEX('Sprint N°1'!$C$7:$I$7,AR$4-Resumen_Sprints!$E$6),0)</f>
        <v>0</v>
      </c>
      <c r="AS7" s="23">
        <f t="array" ref="AS7">IF(AND(AS$4&gt;Resumen_Sprints!$E$6,AS$4&lt;=Resumen_Sprints!$E$6+Resumen_Sprints!$D$6),INDEX('Sprint N°1'!$C$7:$I$7,AS$4-Resumen_Sprints!$E$6),0)</f>
        <v>0</v>
      </c>
      <c r="AT7" s="23">
        <f t="array" ref="AT7">IF(AND(AT$4&gt;Resumen_Sprints!$E$6,AT$4&lt;=Resumen_Sprints!$E$6+Resumen_Sprints!$D$6),INDEX('Sprint N°1'!$C$7:$I$7,AT$4-Resumen_Sprints!$E$6),0)</f>
        <v>0</v>
      </c>
      <c r="AU7" s="23">
        <f t="array" ref="AU7">IF(AND(AU$4&gt;Resumen_Sprints!$E$6,AU$4&lt;=Resumen_Sprints!$E$6+Resumen_Sprints!$D$6),INDEX('Sprint N°1'!$C$7:$I$7,AU$4-Resumen_Sprints!$E$6),0)</f>
        <v>0</v>
      </c>
      <c r="AV7" s="23">
        <f t="array" ref="AV7">IF(AND(AV$4&gt;Resumen_Sprints!$E$6,AV$4&lt;=Resumen_Sprints!$E$6+Resumen_Sprints!$D$6),INDEX('Sprint N°1'!$C$7:$I$7,AV$4-Resumen_Sprints!$E$6),0)</f>
        <v>0</v>
      </c>
      <c r="AW7" s="23">
        <f t="array" ref="AW7">IF(AND(AW$4&gt;Resumen_Sprints!$E$6,AW$4&lt;=Resumen_Sprints!$E$6+Resumen_Sprints!$D$6),INDEX('Sprint N°1'!$C$7:$I$7,AW$4-Resumen_Sprints!$E$6),0)</f>
        <v>0</v>
      </c>
      <c r="AX7" s="23">
        <f t="array" ref="AX7">IF(AND(AX$4&gt;Resumen_Sprints!$E$6,AX$4&lt;=Resumen_Sprints!$E$6+Resumen_Sprints!$D$6),INDEX('Sprint N°1'!$C$7:$I$7,AX$4-Resumen_Sprints!$E$6),0)</f>
        <v>0</v>
      </c>
      <c r="AY7" s="23">
        <f t="array" ref="AY7">IF(AND(AY$4&gt;Resumen_Sprints!$E$6,AY$4&lt;=Resumen_Sprints!$E$6+Resumen_Sprints!$D$6),INDEX('Sprint N°1'!$C$7:$I$7,AY$4-Resumen_Sprints!$E$6),0)</f>
        <v>0</v>
      </c>
      <c r="AZ7" s="23">
        <f t="array" ref="AZ7">IF(AND(AZ$4&gt;Resumen_Sprints!$E$6,AZ$4&lt;=Resumen_Sprints!$E$6+Resumen_Sprints!$D$6),INDEX('Sprint N°1'!$C$7:$I$7,AZ$4-Resumen_Sprints!$E$6),0)</f>
        <v>0</v>
      </c>
      <c r="BA7" s="23">
        <f t="array" ref="BA7">IF(AND(BA$4&gt;Resumen_Sprints!$E$6,BA$4&lt;=Resumen_Sprints!$E$6+Resumen_Sprints!$D$6),INDEX('Sprint N°1'!$C$7:$I$7,BA$4-Resumen_Sprints!$E$6),0)</f>
        <v>0</v>
      </c>
      <c r="BB7" s="23">
        <f t="array" ref="BB7">IF(AND(BB$4&gt;Resumen_Sprints!$E$6,BB$4&lt;=Resumen_Sprints!$E$6+Resumen_Sprints!$D$6),INDEX('Sprint N°1'!$C$7:$I$7,BB$4-Resumen_Sprints!$E$6),0)</f>
        <v>0</v>
      </c>
      <c r="BC7" s="23">
        <f t="array" ref="BC7">IF(AND(BC$4&gt;Resumen_Sprints!$E$6,BC$4&lt;=Resumen_Sprints!$E$6+Resumen_Sprints!$D$6),INDEX('Sprint N°1'!$C$7:$I$7,BC$4-Resumen_Sprints!$E$6),0)</f>
        <v>0</v>
      </c>
      <c r="BD7" s="23">
        <f t="array" ref="BD7">IF(AND(BD$4&gt;Resumen_Sprints!$E$6,BD$4&lt;=Resumen_Sprints!$E$6+Resumen_Sprints!$D$6),INDEX('Sprint N°1'!$C$7:$I$7,BD$4-Resumen_Sprints!$E$6),0)</f>
        <v>0</v>
      </c>
      <c r="BE7" s="23">
        <f t="array" ref="BE7">IF(AND(BE$4&gt;Resumen_Sprints!$E$6,BE$4&lt;=Resumen_Sprints!$E$6+Resumen_Sprints!$D$6),INDEX('Sprint N°1'!$C$7:$I$7,BE$4-Resumen_Sprints!$E$6),0)</f>
        <v>0</v>
      </c>
      <c r="BF7" s="23">
        <f t="array" ref="BF7">IF(AND(BF$4&gt;Resumen_Sprints!$E$6,BF$4&lt;=Resumen_Sprints!$E$6+Resumen_Sprints!$D$6),INDEX('Sprint N°1'!$C$7:$I$7,BF$4-Resumen_Sprints!$E$6),0)</f>
        <v>0</v>
      </c>
      <c r="BG7" s="23">
        <f t="array" ref="BG7">IF(AND(BG$4&gt;Resumen_Sprints!$E$6,BG$4&lt;=Resumen_Sprints!$E$6+Resumen_Sprints!$D$6),INDEX('Sprint N°1'!$C$7:$I$7,BG$4-Resumen_Sprints!$E$6),0)</f>
        <v>0</v>
      </c>
      <c r="BH7" s="23">
        <f t="array" ref="BH7">IF(AND(BH$4&gt;Resumen_Sprints!$E$6,BH$4&lt;=Resumen_Sprints!$E$6+Resumen_Sprints!$D$6),INDEX('Sprint N°1'!$C$7:$I$7,BH$4-Resumen_Sprints!$E$6),0)</f>
        <v>0</v>
      </c>
      <c r="BI7" s="23">
        <f t="array" ref="BI7">IF(AND(BI$4&gt;Resumen_Sprints!$E$6,BI$4&lt;=Resumen_Sprints!$E$6+Resumen_Sprints!$D$6),INDEX('Sprint N°1'!$C$7:$I$7,BI$4-Resumen_Sprints!$E$6),0)</f>
        <v>0</v>
      </c>
      <c r="BJ7" s="23">
        <f t="array" ref="BJ7">IF(AND(BJ$4&gt;Resumen_Sprints!$E$6,BJ$4&lt;=Resumen_Sprints!$E$6+Resumen_Sprints!$D$6),INDEX('Sprint N°1'!$C$7:$I$7,BJ$4-Resumen_Sprints!$E$6),0)</f>
        <v>0</v>
      </c>
      <c r="BK7" s="23">
        <f t="array" ref="BK7">IF(AND(BK$4&gt;Resumen_Sprints!$E$6,BK$4&lt;=Resumen_Sprints!$E$6+Resumen_Sprints!$D$6),INDEX('Sprint N°1'!$C$7:$I$7,BK$4-Resumen_Sprints!$E$6),0)</f>
        <v>0</v>
      </c>
      <c r="BL7" s="23">
        <f t="array" ref="BL7">IF(AND(BL$4&gt;Resumen_Sprints!$E$6,BL$4&lt;=Resumen_Sprints!$E$6+Resumen_Sprints!$D$6),INDEX('Sprint N°1'!$C$7:$I$7,BL$4-Resumen_Sprints!$E$6),0)</f>
        <v>0</v>
      </c>
      <c r="BM7" s="23">
        <f t="array" ref="BM7">IF(AND(BM$4&gt;Resumen_Sprints!$E$6,BM$4&lt;=Resumen_Sprints!$E$6+Resumen_Sprints!$D$6),INDEX('Sprint N°1'!$C$7:$I$7,BM$4-Resumen_Sprints!$E$6),0)</f>
        <v>0</v>
      </c>
      <c r="BN7" s="23">
        <f t="array" ref="BN7">IF(AND(BN$4&gt;Resumen_Sprints!$E$6,BN$4&lt;=Resumen_Sprints!$E$6+Resumen_Sprints!$D$6),INDEX('Sprint N°1'!$C$7:$I$7,BN$4-Resumen_Sprints!$E$6),0)</f>
        <v>0</v>
      </c>
      <c r="BO7" s="23">
        <f t="array" ref="BO7">IF(AND(BO$4&gt;Resumen_Sprints!$E$6,BO$4&lt;=Resumen_Sprints!$E$6+Resumen_Sprints!$D$6),INDEX('Sprint N°1'!$C$7:$I$7,BO$4-Resumen_Sprints!$E$6),0)</f>
        <v>0</v>
      </c>
      <c r="BP7" s="23">
        <f t="array" ref="BP7">IF(AND(BP$4&gt;Resumen_Sprints!$E$6,BP$4&lt;=Resumen_Sprints!$E$6+Resumen_Sprints!$D$6),INDEX('Sprint N°1'!$C$7:$I$7,BP$4-Resumen_Sprints!$E$6),0)</f>
        <v>0</v>
      </c>
      <c r="BQ7" s="23">
        <f t="array" ref="BQ7">IF(AND(BQ$4&gt;Resumen_Sprints!$E$6,BQ$4&lt;=Resumen_Sprints!$E$6+Resumen_Sprints!$D$6),INDEX('Sprint N°1'!$C$7:$I$7,BQ$4-Resumen_Sprints!$E$6),0)</f>
        <v>0</v>
      </c>
      <c r="BR7" s="23">
        <f t="array" ref="BR7">IF(AND(BR$4&gt;Resumen_Sprints!$E$6,BR$4&lt;=Resumen_Sprints!$E$6+Resumen_Sprints!$D$6),INDEX('Sprint N°1'!$C$7:$I$7,BR$4-Resumen_Sprints!$E$6),0)</f>
        <v>0</v>
      </c>
      <c r="BS7" s="23">
        <f t="array" ref="BS7">IF(AND(BS$4&gt;Resumen_Sprints!$E$6,BS$4&lt;=Resumen_Sprints!$E$6+Resumen_Sprints!$D$6),INDEX('Sprint N°1'!$C$7:$I$7,BS$4-Resumen_Sprints!$E$6),0)</f>
        <v>0</v>
      </c>
      <c r="BT7" s="23">
        <f t="array" ref="BT7">IF(AND(BT$4&gt;Resumen_Sprints!$E$6,BT$4&lt;=Resumen_Sprints!$E$6+Resumen_Sprints!$D$6),INDEX('Sprint N°1'!$C$7:$I$7,BT$4-Resumen_Sprints!$E$6),0)</f>
        <v>0</v>
      </c>
      <c r="BU7" s="23">
        <f t="array" ref="BU7">IF(AND(BU$4&gt;Resumen_Sprints!$E$6,BU$4&lt;=Resumen_Sprints!$E$6+Resumen_Sprints!$D$6),INDEX('Sprint N°1'!$C$7:$I$7,BU$4-Resumen_Sprints!$E$6),0)</f>
        <v>0</v>
      </c>
      <c r="BV7" s="23">
        <f t="array" ref="BV7">IF(AND(BV$4&gt;Resumen_Sprints!$E$6,BV$4&lt;=Resumen_Sprints!$E$6+Resumen_Sprints!$D$6),INDEX('Sprint N°1'!$C$7:$I$7,BV$4-Resumen_Sprints!$E$6),0)</f>
        <v>0</v>
      </c>
      <c r="BW7" s="23">
        <f t="array" ref="BW7">IF(AND(BW$4&gt;Resumen_Sprints!$E$6,BW$4&lt;=Resumen_Sprints!$E$6+Resumen_Sprints!$D$6),INDEX('Sprint N°1'!$C$7:$I$7,BW$4-Resumen_Sprints!$E$6),0)</f>
        <v>0</v>
      </c>
      <c r="BX7" s="23">
        <f t="array" ref="BX7">IF(AND(BX$4&gt;Resumen_Sprints!$E$6,BX$4&lt;=Resumen_Sprints!$E$6+Resumen_Sprints!$D$6),INDEX('Sprint N°1'!$C$7:$I$7,BX$4-Resumen_Sprints!$E$6),0)</f>
        <v>0</v>
      </c>
      <c r="BY7" s="23">
        <f t="array" ref="BY7">IF(AND(BY$4&gt;Resumen_Sprints!$E$6,BY$4&lt;=Resumen_Sprints!$E$6+Resumen_Sprints!$D$6),INDEX('Sprint N°1'!$C$7:$I$7,BY$4-Resumen_Sprints!$E$6),0)</f>
        <v>0</v>
      </c>
      <c r="BZ7" s="23">
        <f t="array" ref="BZ7">IF(AND(BZ$4&gt;Resumen_Sprints!$E$6,BZ$4&lt;=Resumen_Sprints!$E$6+Resumen_Sprints!$D$6),INDEX('Sprint N°1'!$C$7:$I$7,BZ$4-Resumen_Sprints!$E$6),0)</f>
        <v>0</v>
      </c>
      <c r="CA7" s="23">
        <f t="array" ref="CA7">IF(AND(CA$4&gt;Resumen_Sprints!$E$6,CA$4&lt;=Resumen_Sprints!$E$6+Resumen_Sprints!$D$6),INDEX('Sprint N°1'!$C$7:$I$7,CA$4-Resumen_Sprints!$E$6),0)</f>
        <v>0</v>
      </c>
      <c r="CB7" s="23">
        <f t="array" ref="CB7">IF(AND(CB$4&gt;Resumen_Sprints!$E$6,CB$4&lt;=Resumen_Sprints!$E$6+Resumen_Sprints!$D$6),INDEX('Sprint N°1'!$C$7:$I$7,CB$4-Resumen_Sprints!$E$6),0)</f>
        <v>0</v>
      </c>
      <c r="CC7" s="23">
        <f t="array" ref="CC7">IF(AND(CC$4&gt;Resumen_Sprints!$E$6,CC$4&lt;=Resumen_Sprints!$E$6+Resumen_Sprints!$D$6),INDEX('Sprint N°1'!$C$7:$I$7,CC$4-Resumen_Sprints!$E$6),0)</f>
        <v>0</v>
      </c>
      <c r="CD7" s="23">
        <f t="array" ref="CD7">IF(AND(CD$4&gt;Resumen_Sprints!$E$6,CD$4&lt;=Resumen_Sprints!$E$6+Resumen_Sprints!$D$6),INDEX('Sprint N°1'!$C$7:$I$7,CD$4-Resumen_Sprints!$E$6),0)</f>
        <v>0</v>
      </c>
      <c r="CE7" s="23">
        <f t="array" ref="CE7">IF(AND(CE$4&gt;Resumen_Sprints!$E$6,CE$4&lt;=Resumen_Sprints!$E$6+Resumen_Sprints!$D$6),INDEX('Sprint N°1'!$C$7:$I$7,CE$4-Resumen_Sprints!$E$6),0)</f>
        <v>0</v>
      </c>
      <c r="CF7" s="23">
        <f t="array" ref="CF7">IF(AND(CF$4&gt;Resumen_Sprints!$E$6,CF$4&lt;=Resumen_Sprints!$E$6+Resumen_Sprints!$D$6),INDEX('Sprint N°1'!$C$7:$I$7,CF$4-Resumen_Sprints!$E$6),0)</f>
        <v>0</v>
      </c>
      <c r="CG7" s="23">
        <f t="array" ref="CG7">IF(AND(CG$4&gt;Resumen_Sprints!$E$6,CG$4&lt;=Resumen_Sprints!$E$6+Resumen_Sprints!$D$6),INDEX('Sprint N°1'!$C$7:$I$7,CG$4-Resumen_Sprints!$E$6),0)</f>
        <v>0</v>
      </c>
      <c r="CH7" s="23">
        <f t="array" ref="CH7">IF(AND(CH$4&gt;Resumen_Sprints!$E$6,CH$4&lt;=Resumen_Sprints!$E$6+Resumen_Sprints!$D$6),INDEX('Sprint N°1'!$C$7:$I$7,CH$4-Resumen_Sprints!$E$6),0)</f>
        <v>0</v>
      </c>
      <c r="CI7" s="23">
        <f t="array" ref="CI7">IF(AND(CI$4&gt;Resumen_Sprints!$E$6,CI$4&lt;=Resumen_Sprints!$E$6+Resumen_Sprints!$D$6),INDEX('Sprint N°1'!$C$7:$I$7,CI$4-Resumen_Sprints!$E$6),0)</f>
        <v>0</v>
      </c>
      <c r="CJ7" s="23">
        <f t="array" ref="CJ7">IF(AND(CJ$4&gt;Resumen_Sprints!$E$6,CJ$4&lt;=Resumen_Sprints!$E$6+Resumen_Sprints!$D$6),INDEX('Sprint N°1'!$C$7:$I$7,CJ$4-Resumen_Sprints!$E$6),0)</f>
        <v>0</v>
      </c>
      <c r="CK7" s="23">
        <f t="array" ref="CK7">IF(AND(CK$4&gt;Resumen_Sprints!$E$6,CK$4&lt;=Resumen_Sprints!$E$6+Resumen_Sprints!$D$6),INDEX('Sprint N°1'!$C$7:$I$7,CK$4-Resumen_Sprints!$E$6),0)</f>
        <v>0</v>
      </c>
      <c r="CL7" s="23">
        <f t="array" ref="CL7">IF(AND(CL$4&gt;Resumen_Sprints!$E$6,CL$4&lt;=Resumen_Sprints!$E$6+Resumen_Sprints!$D$6),INDEX('Sprint N°1'!$C$7:$I$7,CL$4-Resumen_Sprints!$E$6),0)</f>
        <v>0</v>
      </c>
      <c r="CM7" s="23">
        <f t="array" ref="CM7">IF(AND(CM$4&gt;Resumen_Sprints!$E$6,CM$4&lt;=Resumen_Sprints!$E$6+Resumen_Sprints!$D$6),INDEX('Sprint N°1'!$C$7:$I$7,CM$4-Resumen_Sprints!$E$6),0)</f>
        <v>0</v>
      </c>
      <c r="CN7" s="23">
        <f t="array" ref="CN7">IF(AND(CN$4&gt;Resumen_Sprints!$E$6,CN$4&lt;=Resumen_Sprints!$E$6+Resumen_Sprints!$D$6),INDEX('Sprint N°1'!$C$7:$I$7,CN$4-Resumen_Sprints!$E$6),0)</f>
        <v>0</v>
      </c>
      <c r="CO7" s="23">
        <f t="array" ref="CO7">IF(AND(CO$4&gt;Resumen_Sprints!$E$6,CO$4&lt;=Resumen_Sprints!$E$6+Resumen_Sprints!$D$6),INDEX('Sprint N°1'!$C$7:$I$7,CO$4-Resumen_Sprints!$E$6),0)</f>
        <v>0</v>
      </c>
      <c r="CP7" s="23">
        <f t="array" ref="CP7">IF(AND(CP$4&gt;Resumen_Sprints!$E$6,CP$4&lt;=Resumen_Sprints!$E$6+Resumen_Sprints!$D$6),INDEX('Sprint N°1'!$C$7:$I$7,CP$4-Resumen_Sprints!$E$6),0)</f>
        <v>0</v>
      </c>
      <c r="CQ7" s="23">
        <f t="array" ref="CQ7">IF(AND(CQ$4&gt;Resumen_Sprints!$E$6,CQ$4&lt;=Resumen_Sprints!$E$6+Resumen_Sprints!$D$6),INDEX('Sprint N°1'!$C$7:$I$7,CQ$4-Resumen_Sprints!$E$6),0)</f>
        <v>0</v>
      </c>
      <c r="CR7" s="23">
        <f t="array" ref="CR7">IF(AND(CR$4&gt;Resumen_Sprints!$E$6,CR$4&lt;=Resumen_Sprints!$E$6+Resumen_Sprints!$D$6),INDEX('Sprint N°1'!$C$7:$I$7,CR$4-Resumen_Sprints!$E$6),0)</f>
        <v>0</v>
      </c>
      <c r="CS7" s="23">
        <f t="array" ref="CS7">IF(AND(CS$4&gt;Resumen_Sprints!$E$6,CS$4&lt;=Resumen_Sprints!$E$6+Resumen_Sprints!$D$6),INDEX('Sprint N°1'!$C$7:$I$7,CS$4-Resumen_Sprints!$E$6),0)</f>
        <v>0</v>
      </c>
      <c r="CT7" s="23">
        <f t="array" ref="CT7">IF(AND(CT$4&gt;Resumen_Sprints!$E$6,CT$4&lt;=Resumen_Sprints!$E$6+Resumen_Sprints!$D$6),INDEX('Sprint N°1'!$C$7:$I$7,CT$4-Resumen_Sprints!$E$6),0)</f>
        <v>0</v>
      </c>
      <c r="CU7" s="24">
        <f t="shared" si="1"/>
        <v>8</v>
      </c>
    </row>
    <row r="8" ht="14.25" customHeight="1">
      <c r="A8" s="11" t="str">
        <f>'Sprint N°1'!A8</f>
        <v>Aprobación de la Visión con Patrocinadores</v>
      </c>
      <c r="B8" s="11">
        <f>'Sprint N°1'!B8</f>
        <v>1</v>
      </c>
      <c r="C8" s="23" t="str">
        <f t="array" ref="C8">IF(AND(C$4&gt;Resumen_Sprints!$E$6,C$4&lt;=Resumen_Sprints!$E$6+Resumen_Sprints!$D$6),INDEX('Sprint N°1'!$C$8:$I$8,C$4-Resumen_Sprints!$E$6),0)</f>
        <v/>
      </c>
      <c r="D8" s="23" t="str">
        <f t="array" ref="D8">IF(AND(D$4&gt;Resumen_Sprints!$E$6,D$4&lt;=Resumen_Sprints!$E$6+Resumen_Sprints!$D$6),INDEX('Sprint N°1'!$C$8:$I$8,D$4-Resumen_Sprints!$E$6),0)</f>
        <v/>
      </c>
      <c r="E8" s="23">
        <f t="array" ref="E8">IF(AND(E$4&gt;Resumen_Sprints!$E$6,E$4&lt;=Resumen_Sprints!$E$6+Resumen_Sprints!$D$6),INDEX('Sprint N°1'!$C$8:$I$8,E$4-Resumen_Sprints!$E$6),0)</f>
        <v>3</v>
      </c>
      <c r="F8" s="23" t="str">
        <f t="array" ref="F8">IF(AND(F$4&gt;Resumen_Sprints!$E$6,F$4&lt;=Resumen_Sprints!$E$6+Resumen_Sprints!$D$6),INDEX('Sprint N°1'!$C$8:$I$8,F$4-Resumen_Sprints!$E$6),0)</f>
        <v/>
      </c>
      <c r="G8" s="23" t="str">
        <f t="array" ref="G8">IF(AND(G$4&gt;Resumen_Sprints!$E$6,G$4&lt;=Resumen_Sprints!$E$6+Resumen_Sprints!$D$6),INDEX('Sprint N°1'!$C$8:$I$8,G$4-Resumen_Sprints!$E$6),0)</f>
        <v/>
      </c>
      <c r="H8" s="23" t="str">
        <f t="array" ref="H8">IF(AND(H$4&gt;Resumen_Sprints!$E$6,H$4&lt;=Resumen_Sprints!$E$6+Resumen_Sprints!$D$6),INDEX('Sprint N°1'!$C$8:$I$8,H$4-Resumen_Sprints!$E$6),0)</f>
        <v/>
      </c>
      <c r="I8" s="23" t="str">
        <f t="array" ref="I8">IF(AND(I$4&gt;Resumen_Sprints!$E$6,I$4&lt;=Resumen_Sprints!$E$6+Resumen_Sprints!$D$6),INDEX('Sprint N°1'!$C$8:$I$8,I$4-Resumen_Sprints!$E$6),0)</f>
        <v/>
      </c>
      <c r="J8" s="23">
        <f t="array" ref="J8">IF(AND(J$4&gt;Resumen_Sprints!$E$6,J$4&lt;=Resumen_Sprints!$E$6+Resumen_Sprints!$D$6),INDEX('Sprint N°1'!$C$8:$I$8,J$4-Resumen_Sprints!$E$6),0)</f>
        <v>0</v>
      </c>
      <c r="K8" s="23">
        <f t="array" ref="K8">IF(AND(K$4&gt;Resumen_Sprints!$E$6,K$4&lt;=Resumen_Sprints!$E$6+Resumen_Sprints!$D$6),INDEX('Sprint N°1'!$C$8:$I$8,K$4-Resumen_Sprints!$E$6),0)</f>
        <v>0</v>
      </c>
      <c r="L8" s="23">
        <f t="array" ref="L8">IF(AND(L$4&gt;Resumen_Sprints!$E$6,L$4&lt;=Resumen_Sprints!$E$6+Resumen_Sprints!$D$6),INDEX('Sprint N°1'!$C$8:$I$8,L$4-Resumen_Sprints!$E$6),0)</f>
        <v>0</v>
      </c>
      <c r="M8" s="23">
        <f t="array" ref="M8">IF(AND(M$4&gt;Resumen_Sprints!$E$6,M$4&lt;=Resumen_Sprints!$E$6+Resumen_Sprints!$D$6),INDEX('Sprint N°1'!$C$8:$I$8,M$4-Resumen_Sprints!$E$6),0)</f>
        <v>0</v>
      </c>
      <c r="N8" s="23">
        <f t="array" ref="N8">IF(AND(N$4&gt;Resumen_Sprints!$E$6,N$4&lt;=Resumen_Sprints!$E$6+Resumen_Sprints!$D$6),INDEX('Sprint N°1'!$C$8:$I$8,N$4-Resumen_Sprints!$E$6),0)</f>
        <v>0</v>
      </c>
      <c r="O8" s="23">
        <f t="array" ref="O8">IF(AND(O$4&gt;Resumen_Sprints!$E$6,O$4&lt;=Resumen_Sprints!$E$6+Resumen_Sprints!$D$6),INDEX('Sprint N°1'!$C$8:$I$8,O$4-Resumen_Sprints!$E$6),0)</f>
        <v>0</v>
      </c>
      <c r="P8" s="23">
        <f t="array" ref="P8">IF(AND(P$4&gt;Resumen_Sprints!$E$6,P$4&lt;=Resumen_Sprints!$E$6+Resumen_Sprints!$D$6),INDEX('Sprint N°1'!$C$8:$I$8,P$4-Resumen_Sprints!$E$6),0)</f>
        <v>0</v>
      </c>
      <c r="Q8" s="23">
        <f t="array" ref="Q8">IF(AND(Q$4&gt;Resumen_Sprints!$E$6,Q$4&lt;=Resumen_Sprints!$E$6+Resumen_Sprints!$D$6),INDEX('Sprint N°1'!$C$8:$I$8,Q$4-Resumen_Sprints!$E$6),0)</f>
        <v>0</v>
      </c>
      <c r="R8" s="23">
        <f t="array" ref="R8">IF(AND(R$4&gt;Resumen_Sprints!$E$6,R$4&lt;=Resumen_Sprints!$E$6+Resumen_Sprints!$D$6),INDEX('Sprint N°1'!$C$8:$I$8,R$4-Resumen_Sprints!$E$6),0)</f>
        <v>0</v>
      </c>
      <c r="S8" s="23">
        <f t="array" ref="S8">IF(AND(S$4&gt;Resumen_Sprints!$E$6,S$4&lt;=Resumen_Sprints!$E$6+Resumen_Sprints!$D$6),INDEX('Sprint N°1'!$C$8:$I$8,S$4-Resumen_Sprints!$E$6),0)</f>
        <v>0</v>
      </c>
      <c r="T8" s="23">
        <f t="array" ref="T8">IF(AND(T$4&gt;Resumen_Sprints!$E$6,T$4&lt;=Resumen_Sprints!$E$6+Resumen_Sprints!$D$6),INDEX('Sprint N°1'!$C$8:$I$8,T$4-Resumen_Sprints!$E$6),0)</f>
        <v>0</v>
      </c>
      <c r="U8" s="23">
        <f t="array" ref="U8">IF(AND(U$4&gt;Resumen_Sprints!$E$6,U$4&lt;=Resumen_Sprints!$E$6+Resumen_Sprints!$D$6),INDEX('Sprint N°1'!$C$8:$I$8,U$4-Resumen_Sprints!$E$6),0)</f>
        <v>0</v>
      </c>
      <c r="V8" s="23">
        <f t="array" ref="V8">IF(AND(V$4&gt;Resumen_Sprints!$E$6,V$4&lt;=Resumen_Sprints!$E$6+Resumen_Sprints!$D$6),INDEX('Sprint N°1'!$C$8:$I$8,V$4-Resumen_Sprints!$E$6),0)</f>
        <v>0</v>
      </c>
      <c r="W8" s="23">
        <f t="array" ref="W8">IF(AND(W$4&gt;Resumen_Sprints!$E$6,W$4&lt;=Resumen_Sprints!$E$6+Resumen_Sprints!$D$6),INDEX('Sprint N°1'!$C$8:$I$8,W$4-Resumen_Sprints!$E$6),0)</f>
        <v>0</v>
      </c>
      <c r="X8" s="23">
        <f t="array" ref="X8">IF(AND(X$4&gt;Resumen_Sprints!$E$6,X$4&lt;=Resumen_Sprints!$E$6+Resumen_Sprints!$D$6),INDEX('Sprint N°1'!$C$8:$I$8,X$4-Resumen_Sprints!$E$6),0)</f>
        <v>0</v>
      </c>
      <c r="Y8" s="23">
        <f t="array" ref="Y8">IF(AND(Y$4&gt;Resumen_Sprints!$E$6,Y$4&lt;=Resumen_Sprints!$E$6+Resumen_Sprints!$D$6),INDEX('Sprint N°1'!$C$8:$I$8,Y$4-Resumen_Sprints!$E$6),0)</f>
        <v>0</v>
      </c>
      <c r="Z8" s="23">
        <f t="array" ref="Z8">IF(AND(Z$4&gt;Resumen_Sprints!$E$6,Z$4&lt;=Resumen_Sprints!$E$6+Resumen_Sprints!$D$6),INDEX('Sprint N°1'!$C$8:$I$8,Z$4-Resumen_Sprints!$E$6),0)</f>
        <v>0</v>
      </c>
      <c r="AA8" s="23">
        <f t="array" ref="AA8">IF(AND(AA$4&gt;Resumen_Sprints!$E$6,AA$4&lt;=Resumen_Sprints!$E$6+Resumen_Sprints!$D$6),INDEX('Sprint N°1'!$C$8:$I$8,AA$4-Resumen_Sprints!$E$6),0)</f>
        <v>0</v>
      </c>
      <c r="AB8" s="23">
        <f t="array" ref="AB8">IF(AND(AB$4&gt;Resumen_Sprints!$E$6,AB$4&lt;=Resumen_Sprints!$E$6+Resumen_Sprints!$D$6),INDEX('Sprint N°1'!$C$8:$I$8,AB$4-Resumen_Sprints!$E$6),0)</f>
        <v>0</v>
      </c>
      <c r="AC8" s="23">
        <f t="array" ref="AC8">IF(AND(AC$4&gt;Resumen_Sprints!$E$6,AC$4&lt;=Resumen_Sprints!$E$6+Resumen_Sprints!$D$6),INDEX('Sprint N°1'!$C$8:$I$8,AC$4-Resumen_Sprints!$E$6),0)</f>
        <v>0</v>
      </c>
      <c r="AD8" s="23">
        <f t="array" ref="AD8">IF(AND(AD$4&gt;Resumen_Sprints!$E$6,AD$4&lt;=Resumen_Sprints!$E$6+Resumen_Sprints!$D$6),INDEX('Sprint N°1'!$C$8:$I$8,AD$4-Resumen_Sprints!$E$6),0)</f>
        <v>0</v>
      </c>
      <c r="AE8" s="23">
        <f t="array" ref="AE8">IF(AND(AE$4&gt;Resumen_Sprints!$E$6,AE$4&lt;=Resumen_Sprints!$E$6+Resumen_Sprints!$D$6),INDEX('Sprint N°1'!$C$8:$I$8,AE$4-Resumen_Sprints!$E$6),0)</f>
        <v>0</v>
      </c>
      <c r="AF8" s="23">
        <f t="array" ref="AF8">IF(AND(AF$4&gt;Resumen_Sprints!$E$6,AF$4&lt;=Resumen_Sprints!$E$6+Resumen_Sprints!$D$6),INDEX('Sprint N°1'!$C$8:$I$8,AF$4-Resumen_Sprints!$E$6),0)</f>
        <v>0</v>
      </c>
      <c r="AG8" s="23">
        <f t="array" ref="AG8">IF(AND(AG$4&gt;Resumen_Sprints!$E$6,AG$4&lt;=Resumen_Sprints!$E$6+Resumen_Sprints!$D$6),INDEX('Sprint N°1'!$C$8:$I$8,AG$4-Resumen_Sprints!$E$6),0)</f>
        <v>0</v>
      </c>
      <c r="AH8" s="23">
        <f t="array" ref="AH8">IF(AND(AH$4&gt;Resumen_Sprints!$E$6,AH$4&lt;=Resumen_Sprints!$E$6+Resumen_Sprints!$D$6),INDEX('Sprint N°1'!$C$8:$I$8,AH$4-Resumen_Sprints!$E$6),0)</f>
        <v>0</v>
      </c>
      <c r="AI8" s="23">
        <f t="array" ref="AI8">IF(AND(AI$4&gt;Resumen_Sprints!$E$6,AI$4&lt;=Resumen_Sprints!$E$6+Resumen_Sprints!$D$6),INDEX('Sprint N°1'!$C$8:$I$8,AI$4-Resumen_Sprints!$E$6),0)</f>
        <v>0</v>
      </c>
      <c r="AJ8" s="23">
        <f t="array" ref="AJ8">IF(AND(AJ$4&gt;Resumen_Sprints!$E$6,AJ$4&lt;=Resumen_Sprints!$E$6+Resumen_Sprints!$D$6),INDEX('Sprint N°1'!$C$8:$I$8,AJ$4-Resumen_Sprints!$E$6),0)</f>
        <v>0</v>
      </c>
      <c r="AK8" s="23">
        <f t="array" ref="AK8">IF(AND(AK$4&gt;Resumen_Sprints!$E$6,AK$4&lt;=Resumen_Sprints!$E$6+Resumen_Sprints!$D$6),INDEX('Sprint N°1'!$C$8:$I$8,AK$4-Resumen_Sprints!$E$6),0)</f>
        <v>0</v>
      </c>
      <c r="AL8" s="23">
        <f t="array" ref="AL8">IF(AND(AL$4&gt;Resumen_Sprints!$E$6,AL$4&lt;=Resumen_Sprints!$E$6+Resumen_Sprints!$D$6),INDEX('Sprint N°1'!$C$8:$I$8,AL$4-Resumen_Sprints!$E$6),0)</f>
        <v>0</v>
      </c>
      <c r="AM8" s="23">
        <f t="array" ref="AM8">IF(AND(AM$4&gt;Resumen_Sprints!$E$6,AM$4&lt;=Resumen_Sprints!$E$6+Resumen_Sprints!$D$6),INDEX('Sprint N°1'!$C$8:$I$8,AM$4-Resumen_Sprints!$E$6),0)</f>
        <v>0</v>
      </c>
      <c r="AN8" s="23">
        <f t="array" ref="AN8">IF(AND(AN$4&gt;Resumen_Sprints!$E$6,AN$4&lt;=Resumen_Sprints!$E$6+Resumen_Sprints!$D$6),INDEX('Sprint N°1'!$C$8:$I$8,AN$4-Resumen_Sprints!$E$6),0)</f>
        <v>0</v>
      </c>
      <c r="AO8" s="23">
        <f t="array" ref="AO8">IF(AND(AO$4&gt;Resumen_Sprints!$E$6,AO$4&lt;=Resumen_Sprints!$E$6+Resumen_Sprints!$D$6),INDEX('Sprint N°1'!$C$8:$I$8,AO$4-Resumen_Sprints!$E$6),0)</f>
        <v>0</v>
      </c>
      <c r="AP8" s="23">
        <f t="array" ref="AP8">IF(AND(AP$4&gt;Resumen_Sprints!$E$6,AP$4&lt;=Resumen_Sprints!$E$6+Resumen_Sprints!$D$6),INDEX('Sprint N°1'!$C$8:$I$8,AP$4-Resumen_Sprints!$E$6),0)</f>
        <v>0</v>
      </c>
      <c r="AQ8" s="23">
        <f t="array" ref="AQ8">IF(AND(AQ$4&gt;Resumen_Sprints!$E$6,AQ$4&lt;=Resumen_Sprints!$E$6+Resumen_Sprints!$D$6),INDEX('Sprint N°1'!$C$8:$I$8,AQ$4-Resumen_Sprints!$E$6),0)</f>
        <v>0</v>
      </c>
      <c r="AR8" s="23">
        <f t="array" ref="AR8">IF(AND(AR$4&gt;Resumen_Sprints!$E$6,AR$4&lt;=Resumen_Sprints!$E$6+Resumen_Sprints!$D$6),INDEX('Sprint N°1'!$C$8:$I$8,AR$4-Resumen_Sprints!$E$6),0)</f>
        <v>0</v>
      </c>
      <c r="AS8" s="23">
        <f t="array" ref="AS8">IF(AND(AS$4&gt;Resumen_Sprints!$E$6,AS$4&lt;=Resumen_Sprints!$E$6+Resumen_Sprints!$D$6),INDEX('Sprint N°1'!$C$8:$I$8,AS$4-Resumen_Sprints!$E$6),0)</f>
        <v>0</v>
      </c>
      <c r="AT8" s="23">
        <f t="array" ref="AT8">IF(AND(AT$4&gt;Resumen_Sprints!$E$6,AT$4&lt;=Resumen_Sprints!$E$6+Resumen_Sprints!$D$6),INDEX('Sprint N°1'!$C$8:$I$8,AT$4-Resumen_Sprints!$E$6),0)</f>
        <v>0</v>
      </c>
      <c r="AU8" s="23">
        <f t="array" ref="AU8">IF(AND(AU$4&gt;Resumen_Sprints!$E$6,AU$4&lt;=Resumen_Sprints!$E$6+Resumen_Sprints!$D$6),INDEX('Sprint N°1'!$C$8:$I$8,AU$4-Resumen_Sprints!$E$6),0)</f>
        <v>0</v>
      </c>
      <c r="AV8" s="23">
        <f t="array" ref="AV8">IF(AND(AV$4&gt;Resumen_Sprints!$E$6,AV$4&lt;=Resumen_Sprints!$E$6+Resumen_Sprints!$D$6),INDEX('Sprint N°1'!$C$8:$I$8,AV$4-Resumen_Sprints!$E$6),0)</f>
        <v>0</v>
      </c>
      <c r="AW8" s="23">
        <f t="array" ref="AW8">IF(AND(AW$4&gt;Resumen_Sprints!$E$6,AW$4&lt;=Resumen_Sprints!$E$6+Resumen_Sprints!$D$6),INDEX('Sprint N°1'!$C$8:$I$8,AW$4-Resumen_Sprints!$E$6),0)</f>
        <v>0</v>
      </c>
      <c r="AX8" s="23">
        <f t="array" ref="AX8">IF(AND(AX$4&gt;Resumen_Sprints!$E$6,AX$4&lt;=Resumen_Sprints!$E$6+Resumen_Sprints!$D$6),INDEX('Sprint N°1'!$C$8:$I$8,AX$4-Resumen_Sprints!$E$6),0)</f>
        <v>0</v>
      </c>
      <c r="AY8" s="23">
        <f t="array" ref="AY8">IF(AND(AY$4&gt;Resumen_Sprints!$E$6,AY$4&lt;=Resumen_Sprints!$E$6+Resumen_Sprints!$D$6),INDEX('Sprint N°1'!$C$8:$I$8,AY$4-Resumen_Sprints!$E$6),0)</f>
        <v>0</v>
      </c>
      <c r="AZ8" s="23">
        <f t="array" ref="AZ8">IF(AND(AZ$4&gt;Resumen_Sprints!$E$6,AZ$4&lt;=Resumen_Sprints!$E$6+Resumen_Sprints!$D$6),INDEX('Sprint N°1'!$C$8:$I$8,AZ$4-Resumen_Sprints!$E$6),0)</f>
        <v>0</v>
      </c>
      <c r="BA8" s="23">
        <f t="array" ref="BA8">IF(AND(BA$4&gt;Resumen_Sprints!$E$6,BA$4&lt;=Resumen_Sprints!$E$6+Resumen_Sprints!$D$6),INDEX('Sprint N°1'!$C$8:$I$8,BA$4-Resumen_Sprints!$E$6),0)</f>
        <v>0</v>
      </c>
      <c r="BB8" s="23">
        <f t="array" ref="BB8">IF(AND(BB$4&gt;Resumen_Sprints!$E$6,BB$4&lt;=Resumen_Sprints!$E$6+Resumen_Sprints!$D$6),INDEX('Sprint N°1'!$C$8:$I$8,BB$4-Resumen_Sprints!$E$6),0)</f>
        <v>0</v>
      </c>
      <c r="BC8" s="23">
        <f t="array" ref="BC8">IF(AND(BC$4&gt;Resumen_Sprints!$E$6,BC$4&lt;=Resumen_Sprints!$E$6+Resumen_Sprints!$D$6),INDEX('Sprint N°1'!$C$8:$I$8,BC$4-Resumen_Sprints!$E$6),0)</f>
        <v>0</v>
      </c>
      <c r="BD8" s="23">
        <f t="array" ref="BD8">IF(AND(BD$4&gt;Resumen_Sprints!$E$6,BD$4&lt;=Resumen_Sprints!$E$6+Resumen_Sprints!$D$6),INDEX('Sprint N°1'!$C$8:$I$8,BD$4-Resumen_Sprints!$E$6),0)</f>
        <v>0</v>
      </c>
      <c r="BE8" s="23">
        <f t="array" ref="BE8">IF(AND(BE$4&gt;Resumen_Sprints!$E$6,BE$4&lt;=Resumen_Sprints!$E$6+Resumen_Sprints!$D$6),INDEX('Sprint N°1'!$C$8:$I$8,BE$4-Resumen_Sprints!$E$6),0)</f>
        <v>0</v>
      </c>
      <c r="BF8" s="23">
        <f t="array" ref="BF8">IF(AND(BF$4&gt;Resumen_Sprints!$E$6,BF$4&lt;=Resumen_Sprints!$E$6+Resumen_Sprints!$D$6),INDEX('Sprint N°1'!$C$8:$I$8,BF$4-Resumen_Sprints!$E$6),0)</f>
        <v>0</v>
      </c>
      <c r="BG8" s="23">
        <f t="array" ref="BG8">IF(AND(BG$4&gt;Resumen_Sprints!$E$6,BG$4&lt;=Resumen_Sprints!$E$6+Resumen_Sprints!$D$6),INDEX('Sprint N°1'!$C$8:$I$8,BG$4-Resumen_Sprints!$E$6),0)</f>
        <v>0</v>
      </c>
      <c r="BH8" s="23">
        <f t="array" ref="BH8">IF(AND(BH$4&gt;Resumen_Sprints!$E$6,BH$4&lt;=Resumen_Sprints!$E$6+Resumen_Sprints!$D$6),INDEX('Sprint N°1'!$C$8:$I$8,BH$4-Resumen_Sprints!$E$6),0)</f>
        <v>0</v>
      </c>
      <c r="BI8" s="23">
        <f t="array" ref="BI8">IF(AND(BI$4&gt;Resumen_Sprints!$E$6,BI$4&lt;=Resumen_Sprints!$E$6+Resumen_Sprints!$D$6),INDEX('Sprint N°1'!$C$8:$I$8,BI$4-Resumen_Sprints!$E$6),0)</f>
        <v>0</v>
      </c>
      <c r="BJ8" s="23">
        <f t="array" ref="BJ8">IF(AND(BJ$4&gt;Resumen_Sprints!$E$6,BJ$4&lt;=Resumen_Sprints!$E$6+Resumen_Sprints!$D$6),INDEX('Sprint N°1'!$C$8:$I$8,BJ$4-Resumen_Sprints!$E$6),0)</f>
        <v>0</v>
      </c>
      <c r="BK8" s="23">
        <f t="array" ref="BK8">IF(AND(BK$4&gt;Resumen_Sprints!$E$6,BK$4&lt;=Resumen_Sprints!$E$6+Resumen_Sprints!$D$6),INDEX('Sprint N°1'!$C$8:$I$8,BK$4-Resumen_Sprints!$E$6),0)</f>
        <v>0</v>
      </c>
      <c r="BL8" s="23">
        <f t="array" ref="BL8">IF(AND(BL$4&gt;Resumen_Sprints!$E$6,BL$4&lt;=Resumen_Sprints!$E$6+Resumen_Sprints!$D$6),INDEX('Sprint N°1'!$C$8:$I$8,BL$4-Resumen_Sprints!$E$6),0)</f>
        <v>0</v>
      </c>
      <c r="BM8" s="23">
        <f t="array" ref="BM8">IF(AND(BM$4&gt;Resumen_Sprints!$E$6,BM$4&lt;=Resumen_Sprints!$E$6+Resumen_Sprints!$D$6),INDEX('Sprint N°1'!$C$8:$I$8,BM$4-Resumen_Sprints!$E$6),0)</f>
        <v>0</v>
      </c>
      <c r="BN8" s="23">
        <f t="array" ref="BN8">IF(AND(BN$4&gt;Resumen_Sprints!$E$6,BN$4&lt;=Resumen_Sprints!$E$6+Resumen_Sprints!$D$6),INDEX('Sprint N°1'!$C$8:$I$8,BN$4-Resumen_Sprints!$E$6),0)</f>
        <v>0</v>
      </c>
      <c r="BO8" s="23">
        <f t="array" ref="BO8">IF(AND(BO$4&gt;Resumen_Sprints!$E$6,BO$4&lt;=Resumen_Sprints!$E$6+Resumen_Sprints!$D$6),INDEX('Sprint N°1'!$C$8:$I$8,BO$4-Resumen_Sprints!$E$6),0)</f>
        <v>0</v>
      </c>
      <c r="BP8" s="23">
        <f t="array" ref="BP8">IF(AND(BP$4&gt;Resumen_Sprints!$E$6,BP$4&lt;=Resumen_Sprints!$E$6+Resumen_Sprints!$D$6),INDEX('Sprint N°1'!$C$8:$I$8,BP$4-Resumen_Sprints!$E$6),0)</f>
        <v>0</v>
      </c>
      <c r="BQ8" s="23">
        <f t="array" ref="BQ8">IF(AND(BQ$4&gt;Resumen_Sprints!$E$6,BQ$4&lt;=Resumen_Sprints!$E$6+Resumen_Sprints!$D$6),INDEX('Sprint N°1'!$C$8:$I$8,BQ$4-Resumen_Sprints!$E$6),0)</f>
        <v>0</v>
      </c>
      <c r="BR8" s="23">
        <f t="array" ref="BR8">IF(AND(BR$4&gt;Resumen_Sprints!$E$6,BR$4&lt;=Resumen_Sprints!$E$6+Resumen_Sprints!$D$6),INDEX('Sprint N°1'!$C$8:$I$8,BR$4-Resumen_Sprints!$E$6),0)</f>
        <v>0</v>
      </c>
      <c r="BS8" s="23">
        <f t="array" ref="BS8">IF(AND(BS$4&gt;Resumen_Sprints!$E$6,BS$4&lt;=Resumen_Sprints!$E$6+Resumen_Sprints!$D$6),INDEX('Sprint N°1'!$C$8:$I$8,BS$4-Resumen_Sprints!$E$6),0)</f>
        <v>0</v>
      </c>
      <c r="BT8" s="23">
        <f t="array" ref="BT8">IF(AND(BT$4&gt;Resumen_Sprints!$E$6,BT$4&lt;=Resumen_Sprints!$E$6+Resumen_Sprints!$D$6),INDEX('Sprint N°1'!$C$8:$I$8,BT$4-Resumen_Sprints!$E$6),0)</f>
        <v>0</v>
      </c>
      <c r="BU8" s="23">
        <f t="array" ref="BU8">IF(AND(BU$4&gt;Resumen_Sprints!$E$6,BU$4&lt;=Resumen_Sprints!$E$6+Resumen_Sprints!$D$6),INDEX('Sprint N°1'!$C$8:$I$8,BU$4-Resumen_Sprints!$E$6),0)</f>
        <v>0</v>
      </c>
      <c r="BV8" s="23">
        <f t="array" ref="BV8">IF(AND(BV$4&gt;Resumen_Sprints!$E$6,BV$4&lt;=Resumen_Sprints!$E$6+Resumen_Sprints!$D$6),INDEX('Sprint N°1'!$C$8:$I$8,BV$4-Resumen_Sprints!$E$6),0)</f>
        <v>0</v>
      </c>
      <c r="BW8" s="23">
        <f t="array" ref="BW8">IF(AND(BW$4&gt;Resumen_Sprints!$E$6,BW$4&lt;=Resumen_Sprints!$E$6+Resumen_Sprints!$D$6),INDEX('Sprint N°1'!$C$8:$I$8,BW$4-Resumen_Sprints!$E$6),0)</f>
        <v>0</v>
      </c>
      <c r="BX8" s="23">
        <f t="array" ref="BX8">IF(AND(BX$4&gt;Resumen_Sprints!$E$6,BX$4&lt;=Resumen_Sprints!$E$6+Resumen_Sprints!$D$6),INDEX('Sprint N°1'!$C$8:$I$8,BX$4-Resumen_Sprints!$E$6),0)</f>
        <v>0</v>
      </c>
      <c r="BY8" s="23">
        <f t="array" ref="BY8">IF(AND(BY$4&gt;Resumen_Sprints!$E$6,BY$4&lt;=Resumen_Sprints!$E$6+Resumen_Sprints!$D$6),INDEX('Sprint N°1'!$C$8:$I$8,BY$4-Resumen_Sprints!$E$6),0)</f>
        <v>0</v>
      </c>
      <c r="BZ8" s="23">
        <f t="array" ref="BZ8">IF(AND(BZ$4&gt;Resumen_Sprints!$E$6,BZ$4&lt;=Resumen_Sprints!$E$6+Resumen_Sprints!$D$6),INDEX('Sprint N°1'!$C$8:$I$8,BZ$4-Resumen_Sprints!$E$6),0)</f>
        <v>0</v>
      </c>
      <c r="CA8" s="23">
        <f t="array" ref="CA8">IF(AND(CA$4&gt;Resumen_Sprints!$E$6,CA$4&lt;=Resumen_Sprints!$E$6+Resumen_Sprints!$D$6),INDEX('Sprint N°1'!$C$8:$I$8,CA$4-Resumen_Sprints!$E$6),0)</f>
        <v>0</v>
      </c>
      <c r="CB8" s="23">
        <f t="array" ref="CB8">IF(AND(CB$4&gt;Resumen_Sprints!$E$6,CB$4&lt;=Resumen_Sprints!$E$6+Resumen_Sprints!$D$6),INDEX('Sprint N°1'!$C$8:$I$8,CB$4-Resumen_Sprints!$E$6),0)</f>
        <v>0</v>
      </c>
      <c r="CC8" s="23">
        <f t="array" ref="CC8">IF(AND(CC$4&gt;Resumen_Sprints!$E$6,CC$4&lt;=Resumen_Sprints!$E$6+Resumen_Sprints!$D$6),INDEX('Sprint N°1'!$C$8:$I$8,CC$4-Resumen_Sprints!$E$6),0)</f>
        <v>0</v>
      </c>
      <c r="CD8" s="23">
        <f t="array" ref="CD8">IF(AND(CD$4&gt;Resumen_Sprints!$E$6,CD$4&lt;=Resumen_Sprints!$E$6+Resumen_Sprints!$D$6),INDEX('Sprint N°1'!$C$8:$I$8,CD$4-Resumen_Sprints!$E$6),0)</f>
        <v>0</v>
      </c>
      <c r="CE8" s="23">
        <f t="array" ref="CE8">IF(AND(CE$4&gt;Resumen_Sprints!$E$6,CE$4&lt;=Resumen_Sprints!$E$6+Resumen_Sprints!$D$6),INDEX('Sprint N°1'!$C$8:$I$8,CE$4-Resumen_Sprints!$E$6),0)</f>
        <v>0</v>
      </c>
      <c r="CF8" s="23">
        <f t="array" ref="CF8">IF(AND(CF$4&gt;Resumen_Sprints!$E$6,CF$4&lt;=Resumen_Sprints!$E$6+Resumen_Sprints!$D$6),INDEX('Sprint N°1'!$C$8:$I$8,CF$4-Resumen_Sprints!$E$6),0)</f>
        <v>0</v>
      </c>
      <c r="CG8" s="23">
        <f t="array" ref="CG8">IF(AND(CG$4&gt;Resumen_Sprints!$E$6,CG$4&lt;=Resumen_Sprints!$E$6+Resumen_Sprints!$D$6),INDEX('Sprint N°1'!$C$8:$I$8,CG$4-Resumen_Sprints!$E$6),0)</f>
        <v>0</v>
      </c>
      <c r="CH8" s="23">
        <f t="array" ref="CH8">IF(AND(CH$4&gt;Resumen_Sprints!$E$6,CH$4&lt;=Resumen_Sprints!$E$6+Resumen_Sprints!$D$6),INDEX('Sprint N°1'!$C$8:$I$8,CH$4-Resumen_Sprints!$E$6),0)</f>
        <v>0</v>
      </c>
      <c r="CI8" s="23">
        <f t="array" ref="CI8">IF(AND(CI$4&gt;Resumen_Sprints!$E$6,CI$4&lt;=Resumen_Sprints!$E$6+Resumen_Sprints!$D$6),INDEX('Sprint N°1'!$C$8:$I$8,CI$4-Resumen_Sprints!$E$6),0)</f>
        <v>0</v>
      </c>
      <c r="CJ8" s="23">
        <f t="array" ref="CJ8">IF(AND(CJ$4&gt;Resumen_Sprints!$E$6,CJ$4&lt;=Resumen_Sprints!$E$6+Resumen_Sprints!$D$6),INDEX('Sprint N°1'!$C$8:$I$8,CJ$4-Resumen_Sprints!$E$6),0)</f>
        <v>0</v>
      </c>
      <c r="CK8" s="23">
        <f t="array" ref="CK8">IF(AND(CK$4&gt;Resumen_Sprints!$E$6,CK$4&lt;=Resumen_Sprints!$E$6+Resumen_Sprints!$D$6),INDEX('Sprint N°1'!$C$8:$I$8,CK$4-Resumen_Sprints!$E$6),0)</f>
        <v>0</v>
      </c>
      <c r="CL8" s="23">
        <f t="array" ref="CL8">IF(AND(CL$4&gt;Resumen_Sprints!$E$6,CL$4&lt;=Resumen_Sprints!$E$6+Resumen_Sprints!$D$6),INDEX('Sprint N°1'!$C$8:$I$8,CL$4-Resumen_Sprints!$E$6),0)</f>
        <v>0</v>
      </c>
      <c r="CM8" s="23">
        <f t="array" ref="CM8">IF(AND(CM$4&gt;Resumen_Sprints!$E$6,CM$4&lt;=Resumen_Sprints!$E$6+Resumen_Sprints!$D$6),INDEX('Sprint N°1'!$C$8:$I$8,CM$4-Resumen_Sprints!$E$6),0)</f>
        <v>0</v>
      </c>
      <c r="CN8" s="23">
        <f t="array" ref="CN8">IF(AND(CN$4&gt;Resumen_Sprints!$E$6,CN$4&lt;=Resumen_Sprints!$E$6+Resumen_Sprints!$D$6),INDEX('Sprint N°1'!$C$8:$I$8,CN$4-Resumen_Sprints!$E$6),0)</f>
        <v>0</v>
      </c>
      <c r="CO8" s="23">
        <f t="array" ref="CO8">IF(AND(CO$4&gt;Resumen_Sprints!$E$6,CO$4&lt;=Resumen_Sprints!$E$6+Resumen_Sprints!$D$6),INDEX('Sprint N°1'!$C$8:$I$8,CO$4-Resumen_Sprints!$E$6),0)</f>
        <v>0</v>
      </c>
      <c r="CP8" s="23">
        <f t="array" ref="CP8">IF(AND(CP$4&gt;Resumen_Sprints!$E$6,CP$4&lt;=Resumen_Sprints!$E$6+Resumen_Sprints!$D$6),INDEX('Sprint N°1'!$C$8:$I$8,CP$4-Resumen_Sprints!$E$6),0)</f>
        <v>0</v>
      </c>
      <c r="CQ8" s="23">
        <f t="array" ref="CQ8">IF(AND(CQ$4&gt;Resumen_Sprints!$E$6,CQ$4&lt;=Resumen_Sprints!$E$6+Resumen_Sprints!$D$6),INDEX('Sprint N°1'!$C$8:$I$8,CQ$4-Resumen_Sprints!$E$6),0)</f>
        <v>0</v>
      </c>
      <c r="CR8" s="23">
        <f t="array" ref="CR8">IF(AND(CR$4&gt;Resumen_Sprints!$E$6,CR$4&lt;=Resumen_Sprints!$E$6+Resumen_Sprints!$D$6),INDEX('Sprint N°1'!$C$8:$I$8,CR$4-Resumen_Sprints!$E$6),0)</f>
        <v>0</v>
      </c>
      <c r="CS8" s="23">
        <f t="array" ref="CS8">IF(AND(CS$4&gt;Resumen_Sprints!$E$6,CS$4&lt;=Resumen_Sprints!$E$6+Resumen_Sprints!$D$6),INDEX('Sprint N°1'!$C$8:$I$8,CS$4-Resumen_Sprints!$E$6),0)</f>
        <v>0</v>
      </c>
      <c r="CT8" s="23">
        <f t="array" ref="CT8">IF(AND(CT$4&gt;Resumen_Sprints!$E$6,CT$4&lt;=Resumen_Sprints!$E$6+Resumen_Sprints!$D$6),INDEX('Sprint N°1'!$C$8:$I$8,CT$4-Resumen_Sprints!$E$6),0)</f>
        <v>0</v>
      </c>
      <c r="CU8" s="25">
        <f t="shared" si="1"/>
        <v>3</v>
      </c>
    </row>
    <row r="9" ht="14.25" customHeight="1">
      <c r="A9" s="11" t="str">
        <f>'Sprint N°1'!A9</f>
        <v>Definición de Requerimientos Generales (Product Backlog inicial)</v>
      </c>
      <c r="B9" s="11">
        <f>'Sprint N°1'!B9</f>
        <v>18</v>
      </c>
      <c r="C9" s="23" t="str">
        <f t="array" ref="C9">IF(AND(C$4&gt;Resumen_Sprints!$E$6,C$4&lt;=Resumen_Sprints!$E$6+Resumen_Sprints!$D$6),INDEX('Sprint N°1'!$C$9:$I$9,C$4-Resumen_Sprints!$E$6),0)</f>
        <v/>
      </c>
      <c r="D9" s="23" t="str">
        <f t="array" ref="D9">IF(AND(D$4&gt;Resumen_Sprints!$E$6,D$4&lt;=Resumen_Sprints!$E$6+Resumen_Sprints!$D$6),INDEX('Sprint N°1'!$C$9:$I$9,D$4-Resumen_Sprints!$E$6),0)</f>
        <v/>
      </c>
      <c r="E9" s="23">
        <f t="array" ref="E9">IF(AND(E$4&gt;Resumen_Sprints!$E$6,E$4&lt;=Resumen_Sprints!$E$6+Resumen_Sprints!$D$6),INDEX('Sprint N°1'!$C$9:$I$9,E$4-Resumen_Sprints!$E$6),0)</f>
        <v>1</v>
      </c>
      <c r="F9" s="23">
        <f t="array" ref="F9">IF(AND(F$4&gt;Resumen_Sprints!$E$6,F$4&lt;=Resumen_Sprints!$E$6+Resumen_Sprints!$D$6),INDEX('Sprint N°1'!$C$9:$I$9,F$4-Resumen_Sprints!$E$6),0)</f>
        <v>5</v>
      </c>
      <c r="G9" s="23">
        <f t="array" ref="G9">IF(AND(G$4&gt;Resumen_Sprints!$E$6,G$4&lt;=Resumen_Sprints!$E$6+Resumen_Sprints!$D$6),INDEX('Sprint N°1'!$C$9:$I$9,G$4-Resumen_Sprints!$E$6),0)</f>
        <v>7</v>
      </c>
      <c r="H9" s="23">
        <f t="array" ref="H9">IF(AND(H$4&gt;Resumen_Sprints!$E$6,H$4&lt;=Resumen_Sprints!$E$6+Resumen_Sprints!$D$6),INDEX('Sprint N°1'!$C$9:$I$9,H$4-Resumen_Sprints!$E$6),0)</f>
        <v>3</v>
      </c>
      <c r="I9" s="23" t="str">
        <f t="array" ref="I9">IF(AND(I$4&gt;Resumen_Sprints!$E$6,I$4&lt;=Resumen_Sprints!$E$6+Resumen_Sprints!$D$6),INDEX('Sprint N°1'!$C$9:$I$9,I$4-Resumen_Sprints!$E$6),0)</f>
        <v/>
      </c>
      <c r="J9" s="23">
        <f t="array" ref="J9">IF(AND(J$4&gt;Resumen_Sprints!$E$6,J$4&lt;=Resumen_Sprints!$E$6+Resumen_Sprints!$D$6),INDEX('Sprint N°1'!$C$9:$I$9,J$4-Resumen_Sprints!$E$6),0)</f>
        <v>0</v>
      </c>
      <c r="K9" s="23">
        <f t="array" ref="K9">IF(AND(K$4&gt;Resumen_Sprints!$E$6,K$4&lt;=Resumen_Sprints!$E$6+Resumen_Sprints!$D$6),INDEX('Sprint N°1'!$C$9:$I$9,K$4-Resumen_Sprints!$E$6),0)</f>
        <v>0</v>
      </c>
      <c r="L9" s="23">
        <f t="array" ref="L9">IF(AND(L$4&gt;Resumen_Sprints!$E$6,L$4&lt;=Resumen_Sprints!$E$6+Resumen_Sprints!$D$6),INDEX('Sprint N°1'!$C$9:$I$9,L$4-Resumen_Sprints!$E$6),0)</f>
        <v>0</v>
      </c>
      <c r="M9" s="23">
        <f t="array" ref="M9">IF(AND(M$4&gt;Resumen_Sprints!$E$6,M$4&lt;=Resumen_Sprints!$E$6+Resumen_Sprints!$D$6),INDEX('Sprint N°1'!$C$9:$I$9,M$4-Resumen_Sprints!$E$6),0)</f>
        <v>0</v>
      </c>
      <c r="N9" s="23">
        <f t="array" ref="N9">IF(AND(N$4&gt;Resumen_Sprints!$E$6,N$4&lt;=Resumen_Sprints!$E$6+Resumen_Sprints!$D$6),INDEX('Sprint N°1'!$C$9:$I$9,N$4-Resumen_Sprints!$E$6),0)</f>
        <v>0</v>
      </c>
      <c r="O9" s="23">
        <f t="array" ref="O9">IF(AND(O$4&gt;Resumen_Sprints!$E$6,O$4&lt;=Resumen_Sprints!$E$6+Resumen_Sprints!$D$6),INDEX('Sprint N°1'!$C$9:$I$9,O$4-Resumen_Sprints!$E$6),0)</f>
        <v>0</v>
      </c>
      <c r="P9" s="23">
        <f t="array" ref="P9">IF(AND(P$4&gt;Resumen_Sprints!$E$6,P$4&lt;=Resumen_Sprints!$E$6+Resumen_Sprints!$D$6),INDEX('Sprint N°1'!$C$9:$I$9,P$4-Resumen_Sprints!$E$6),0)</f>
        <v>0</v>
      </c>
      <c r="Q9" s="23">
        <f t="array" ref="Q9">IF(AND(Q$4&gt;Resumen_Sprints!$E$6,Q$4&lt;=Resumen_Sprints!$E$6+Resumen_Sprints!$D$6),INDEX('Sprint N°1'!$C$9:$I$9,Q$4-Resumen_Sprints!$E$6),0)</f>
        <v>0</v>
      </c>
      <c r="R9" s="23">
        <f t="array" ref="R9">IF(AND(R$4&gt;Resumen_Sprints!$E$6,R$4&lt;=Resumen_Sprints!$E$6+Resumen_Sprints!$D$6),INDEX('Sprint N°1'!$C$9:$I$9,R$4-Resumen_Sprints!$E$6),0)</f>
        <v>0</v>
      </c>
      <c r="S9" s="23">
        <f t="array" ref="S9">IF(AND(S$4&gt;Resumen_Sprints!$E$6,S$4&lt;=Resumen_Sprints!$E$6+Resumen_Sprints!$D$6),INDEX('Sprint N°1'!$C$9:$I$9,S$4-Resumen_Sprints!$E$6),0)</f>
        <v>0</v>
      </c>
      <c r="T9" s="23">
        <f t="array" ref="T9">IF(AND(T$4&gt;Resumen_Sprints!$E$6,T$4&lt;=Resumen_Sprints!$E$6+Resumen_Sprints!$D$6),INDEX('Sprint N°1'!$C$9:$I$9,T$4-Resumen_Sprints!$E$6),0)</f>
        <v>0</v>
      </c>
      <c r="U9" s="23">
        <f t="array" ref="U9">IF(AND(U$4&gt;Resumen_Sprints!$E$6,U$4&lt;=Resumen_Sprints!$E$6+Resumen_Sprints!$D$6),INDEX('Sprint N°1'!$C$9:$I$9,U$4-Resumen_Sprints!$E$6),0)</f>
        <v>0</v>
      </c>
      <c r="V9" s="23">
        <f t="array" ref="V9">IF(AND(V$4&gt;Resumen_Sprints!$E$6,V$4&lt;=Resumen_Sprints!$E$6+Resumen_Sprints!$D$6),INDEX('Sprint N°1'!$C$9:$I$9,V$4-Resumen_Sprints!$E$6),0)</f>
        <v>0</v>
      </c>
      <c r="W9" s="23">
        <f t="array" ref="W9">IF(AND(W$4&gt;Resumen_Sprints!$E$6,W$4&lt;=Resumen_Sprints!$E$6+Resumen_Sprints!$D$6),INDEX('Sprint N°1'!$C$9:$I$9,W$4-Resumen_Sprints!$E$6),0)</f>
        <v>0</v>
      </c>
      <c r="X9" s="23">
        <f t="array" ref="X9">IF(AND(X$4&gt;Resumen_Sprints!$E$6,X$4&lt;=Resumen_Sprints!$E$6+Resumen_Sprints!$D$6),INDEX('Sprint N°1'!$C$9:$I$9,X$4-Resumen_Sprints!$E$6),0)</f>
        <v>0</v>
      </c>
      <c r="Y9" s="23">
        <f t="array" ref="Y9">IF(AND(Y$4&gt;Resumen_Sprints!$E$6,Y$4&lt;=Resumen_Sprints!$E$6+Resumen_Sprints!$D$6),INDEX('Sprint N°1'!$C$9:$I$9,Y$4-Resumen_Sprints!$E$6),0)</f>
        <v>0</v>
      </c>
      <c r="Z9" s="23">
        <f t="array" ref="Z9">IF(AND(Z$4&gt;Resumen_Sprints!$E$6,Z$4&lt;=Resumen_Sprints!$E$6+Resumen_Sprints!$D$6),INDEX('Sprint N°1'!$C$9:$I$9,Z$4-Resumen_Sprints!$E$6),0)</f>
        <v>0</v>
      </c>
      <c r="AA9" s="23">
        <f t="array" ref="AA9">IF(AND(AA$4&gt;Resumen_Sprints!$E$6,AA$4&lt;=Resumen_Sprints!$E$6+Resumen_Sprints!$D$6),INDEX('Sprint N°1'!$C$9:$I$9,AA$4-Resumen_Sprints!$E$6),0)</f>
        <v>0</v>
      </c>
      <c r="AB9" s="23">
        <f t="array" ref="AB9">IF(AND(AB$4&gt;Resumen_Sprints!$E$6,AB$4&lt;=Resumen_Sprints!$E$6+Resumen_Sprints!$D$6),INDEX('Sprint N°1'!$C$9:$I$9,AB$4-Resumen_Sprints!$E$6),0)</f>
        <v>0</v>
      </c>
      <c r="AC9" s="23">
        <f t="array" ref="AC9">IF(AND(AC$4&gt;Resumen_Sprints!$E$6,AC$4&lt;=Resumen_Sprints!$E$6+Resumen_Sprints!$D$6),INDEX('Sprint N°1'!$C$9:$I$9,AC$4-Resumen_Sprints!$E$6),0)</f>
        <v>0</v>
      </c>
      <c r="AD9" s="23">
        <f t="array" ref="AD9">IF(AND(AD$4&gt;Resumen_Sprints!$E$6,AD$4&lt;=Resumen_Sprints!$E$6+Resumen_Sprints!$D$6),INDEX('Sprint N°1'!$C$9:$I$9,AD$4-Resumen_Sprints!$E$6),0)</f>
        <v>0</v>
      </c>
      <c r="AE9" s="23">
        <f t="array" ref="AE9">IF(AND(AE$4&gt;Resumen_Sprints!$E$6,AE$4&lt;=Resumen_Sprints!$E$6+Resumen_Sprints!$D$6),INDEX('Sprint N°1'!$C$9:$I$9,AE$4-Resumen_Sprints!$E$6),0)</f>
        <v>0</v>
      </c>
      <c r="AF9" s="23">
        <f t="array" ref="AF9">IF(AND(AF$4&gt;Resumen_Sprints!$E$6,AF$4&lt;=Resumen_Sprints!$E$6+Resumen_Sprints!$D$6),INDEX('Sprint N°1'!$C$9:$I$9,AF$4-Resumen_Sprints!$E$6),0)</f>
        <v>0</v>
      </c>
      <c r="AG9" s="23">
        <f t="array" ref="AG9">IF(AND(AG$4&gt;Resumen_Sprints!$E$6,AG$4&lt;=Resumen_Sprints!$E$6+Resumen_Sprints!$D$6),INDEX('Sprint N°1'!$C$9:$I$9,AG$4-Resumen_Sprints!$E$6),0)</f>
        <v>0</v>
      </c>
      <c r="AH9" s="23">
        <f t="array" ref="AH9">IF(AND(AH$4&gt;Resumen_Sprints!$E$6,AH$4&lt;=Resumen_Sprints!$E$6+Resumen_Sprints!$D$6),INDEX('Sprint N°1'!$C$9:$I$9,AH$4-Resumen_Sprints!$E$6),0)</f>
        <v>0</v>
      </c>
      <c r="AI9" s="23">
        <f t="array" ref="AI9">IF(AND(AI$4&gt;Resumen_Sprints!$E$6,AI$4&lt;=Resumen_Sprints!$E$6+Resumen_Sprints!$D$6),INDEX('Sprint N°1'!$C$9:$I$9,AI$4-Resumen_Sprints!$E$6),0)</f>
        <v>0</v>
      </c>
      <c r="AJ9" s="23">
        <f t="array" ref="AJ9">IF(AND(AJ$4&gt;Resumen_Sprints!$E$6,AJ$4&lt;=Resumen_Sprints!$E$6+Resumen_Sprints!$D$6),INDEX('Sprint N°1'!$C$9:$I$9,AJ$4-Resumen_Sprints!$E$6),0)</f>
        <v>0</v>
      </c>
      <c r="AK9" s="23">
        <f t="array" ref="AK9">IF(AND(AK$4&gt;Resumen_Sprints!$E$6,AK$4&lt;=Resumen_Sprints!$E$6+Resumen_Sprints!$D$6),INDEX('Sprint N°1'!$C$9:$I$9,AK$4-Resumen_Sprints!$E$6),0)</f>
        <v>0</v>
      </c>
      <c r="AL9" s="23">
        <f t="array" ref="AL9">IF(AND(AL$4&gt;Resumen_Sprints!$E$6,AL$4&lt;=Resumen_Sprints!$E$6+Resumen_Sprints!$D$6),INDEX('Sprint N°1'!$C$9:$I$9,AL$4-Resumen_Sprints!$E$6),0)</f>
        <v>0</v>
      </c>
      <c r="AM9" s="23">
        <f t="array" ref="AM9">IF(AND(AM$4&gt;Resumen_Sprints!$E$6,AM$4&lt;=Resumen_Sprints!$E$6+Resumen_Sprints!$D$6),INDEX('Sprint N°1'!$C$9:$I$9,AM$4-Resumen_Sprints!$E$6),0)</f>
        <v>0</v>
      </c>
      <c r="AN9" s="23">
        <f t="array" ref="AN9">IF(AND(AN$4&gt;Resumen_Sprints!$E$6,AN$4&lt;=Resumen_Sprints!$E$6+Resumen_Sprints!$D$6),INDEX('Sprint N°1'!$C$9:$I$9,AN$4-Resumen_Sprints!$E$6),0)</f>
        <v>0</v>
      </c>
      <c r="AO9" s="23">
        <f t="array" ref="AO9">IF(AND(AO$4&gt;Resumen_Sprints!$E$6,AO$4&lt;=Resumen_Sprints!$E$6+Resumen_Sprints!$D$6),INDEX('Sprint N°1'!$C$9:$I$9,AO$4-Resumen_Sprints!$E$6),0)</f>
        <v>0</v>
      </c>
      <c r="AP9" s="23">
        <f t="array" ref="AP9">IF(AND(AP$4&gt;Resumen_Sprints!$E$6,AP$4&lt;=Resumen_Sprints!$E$6+Resumen_Sprints!$D$6),INDEX('Sprint N°1'!$C$9:$I$9,AP$4-Resumen_Sprints!$E$6),0)</f>
        <v>0</v>
      </c>
      <c r="AQ9" s="23">
        <f t="array" ref="AQ9">IF(AND(AQ$4&gt;Resumen_Sprints!$E$6,AQ$4&lt;=Resumen_Sprints!$E$6+Resumen_Sprints!$D$6),INDEX('Sprint N°1'!$C$9:$I$9,AQ$4-Resumen_Sprints!$E$6),0)</f>
        <v>0</v>
      </c>
      <c r="AR9" s="23">
        <f t="array" ref="AR9">IF(AND(AR$4&gt;Resumen_Sprints!$E$6,AR$4&lt;=Resumen_Sprints!$E$6+Resumen_Sprints!$D$6),INDEX('Sprint N°1'!$C$9:$I$9,AR$4-Resumen_Sprints!$E$6),0)</f>
        <v>0</v>
      </c>
      <c r="AS9" s="23">
        <f t="array" ref="AS9">IF(AND(AS$4&gt;Resumen_Sprints!$E$6,AS$4&lt;=Resumen_Sprints!$E$6+Resumen_Sprints!$D$6),INDEX('Sprint N°1'!$C$9:$I$9,AS$4-Resumen_Sprints!$E$6),0)</f>
        <v>0</v>
      </c>
      <c r="AT9" s="23">
        <f t="array" ref="AT9">IF(AND(AT$4&gt;Resumen_Sprints!$E$6,AT$4&lt;=Resumen_Sprints!$E$6+Resumen_Sprints!$D$6),INDEX('Sprint N°1'!$C$9:$I$9,AT$4-Resumen_Sprints!$E$6),0)</f>
        <v>0</v>
      </c>
      <c r="AU9" s="23">
        <f t="array" ref="AU9">IF(AND(AU$4&gt;Resumen_Sprints!$E$6,AU$4&lt;=Resumen_Sprints!$E$6+Resumen_Sprints!$D$6),INDEX('Sprint N°1'!$C$9:$I$9,AU$4-Resumen_Sprints!$E$6),0)</f>
        <v>0</v>
      </c>
      <c r="AV9" s="23">
        <f t="array" ref="AV9">IF(AND(AV$4&gt;Resumen_Sprints!$E$6,AV$4&lt;=Resumen_Sprints!$E$6+Resumen_Sprints!$D$6),INDEX('Sprint N°1'!$C$9:$I$9,AV$4-Resumen_Sprints!$E$6),0)</f>
        <v>0</v>
      </c>
      <c r="AW9" s="23">
        <f t="array" ref="AW9">IF(AND(AW$4&gt;Resumen_Sprints!$E$6,AW$4&lt;=Resumen_Sprints!$E$6+Resumen_Sprints!$D$6),INDEX('Sprint N°1'!$C$9:$I$9,AW$4-Resumen_Sprints!$E$6),0)</f>
        <v>0</v>
      </c>
      <c r="AX9" s="23">
        <f t="array" ref="AX9">IF(AND(AX$4&gt;Resumen_Sprints!$E$6,AX$4&lt;=Resumen_Sprints!$E$6+Resumen_Sprints!$D$6),INDEX('Sprint N°1'!$C$9:$I$9,AX$4-Resumen_Sprints!$E$6),0)</f>
        <v>0</v>
      </c>
      <c r="AY9" s="23">
        <f t="array" ref="AY9">IF(AND(AY$4&gt;Resumen_Sprints!$E$6,AY$4&lt;=Resumen_Sprints!$E$6+Resumen_Sprints!$D$6),INDEX('Sprint N°1'!$C$9:$I$9,AY$4-Resumen_Sprints!$E$6),0)</f>
        <v>0</v>
      </c>
      <c r="AZ9" s="23">
        <f t="array" ref="AZ9">IF(AND(AZ$4&gt;Resumen_Sprints!$E$6,AZ$4&lt;=Resumen_Sprints!$E$6+Resumen_Sprints!$D$6),INDEX('Sprint N°1'!$C$9:$I$9,AZ$4-Resumen_Sprints!$E$6),0)</f>
        <v>0</v>
      </c>
      <c r="BA9" s="23">
        <f t="array" ref="BA9">IF(AND(BA$4&gt;Resumen_Sprints!$E$6,BA$4&lt;=Resumen_Sprints!$E$6+Resumen_Sprints!$D$6),INDEX('Sprint N°1'!$C$9:$I$9,BA$4-Resumen_Sprints!$E$6),0)</f>
        <v>0</v>
      </c>
      <c r="BB9" s="23">
        <f t="array" ref="BB9">IF(AND(BB$4&gt;Resumen_Sprints!$E$6,BB$4&lt;=Resumen_Sprints!$E$6+Resumen_Sprints!$D$6),INDEX('Sprint N°1'!$C$9:$I$9,BB$4-Resumen_Sprints!$E$6),0)</f>
        <v>0</v>
      </c>
      <c r="BC9" s="23">
        <f t="array" ref="BC9">IF(AND(BC$4&gt;Resumen_Sprints!$E$6,BC$4&lt;=Resumen_Sprints!$E$6+Resumen_Sprints!$D$6),INDEX('Sprint N°1'!$C$9:$I$9,BC$4-Resumen_Sprints!$E$6),0)</f>
        <v>0</v>
      </c>
      <c r="BD9" s="23">
        <f t="array" ref="BD9">IF(AND(BD$4&gt;Resumen_Sprints!$E$6,BD$4&lt;=Resumen_Sprints!$E$6+Resumen_Sprints!$D$6),INDEX('Sprint N°1'!$C$9:$I$9,BD$4-Resumen_Sprints!$E$6),0)</f>
        <v>0</v>
      </c>
      <c r="BE9" s="23">
        <f t="array" ref="BE9">IF(AND(BE$4&gt;Resumen_Sprints!$E$6,BE$4&lt;=Resumen_Sprints!$E$6+Resumen_Sprints!$D$6),INDEX('Sprint N°1'!$C$9:$I$9,BE$4-Resumen_Sprints!$E$6),0)</f>
        <v>0</v>
      </c>
      <c r="BF9" s="23">
        <f t="array" ref="BF9">IF(AND(BF$4&gt;Resumen_Sprints!$E$6,BF$4&lt;=Resumen_Sprints!$E$6+Resumen_Sprints!$D$6),INDEX('Sprint N°1'!$C$9:$I$9,BF$4-Resumen_Sprints!$E$6),0)</f>
        <v>0</v>
      </c>
      <c r="BG9" s="23">
        <f t="array" ref="BG9">IF(AND(BG$4&gt;Resumen_Sprints!$E$6,BG$4&lt;=Resumen_Sprints!$E$6+Resumen_Sprints!$D$6),INDEX('Sprint N°1'!$C$9:$I$9,BG$4-Resumen_Sprints!$E$6),0)</f>
        <v>0</v>
      </c>
      <c r="BH9" s="23">
        <f t="array" ref="BH9">IF(AND(BH$4&gt;Resumen_Sprints!$E$6,BH$4&lt;=Resumen_Sprints!$E$6+Resumen_Sprints!$D$6),INDEX('Sprint N°1'!$C$9:$I$9,BH$4-Resumen_Sprints!$E$6),0)</f>
        <v>0</v>
      </c>
      <c r="BI9" s="23">
        <f t="array" ref="BI9">IF(AND(BI$4&gt;Resumen_Sprints!$E$6,BI$4&lt;=Resumen_Sprints!$E$6+Resumen_Sprints!$D$6),INDEX('Sprint N°1'!$C$9:$I$9,BI$4-Resumen_Sprints!$E$6),0)</f>
        <v>0</v>
      </c>
      <c r="BJ9" s="23">
        <f t="array" ref="BJ9">IF(AND(BJ$4&gt;Resumen_Sprints!$E$6,BJ$4&lt;=Resumen_Sprints!$E$6+Resumen_Sprints!$D$6),INDEX('Sprint N°1'!$C$9:$I$9,BJ$4-Resumen_Sprints!$E$6),0)</f>
        <v>0</v>
      </c>
      <c r="BK9" s="23">
        <f t="array" ref="BK9">IF(AND(BK$4&gt;Resumen_Sprints!$E$6,BK$4&lt;=Resumen_Sprints!$E$6+Resumen_Sprints!$D$6),INDEX('Sprint N°1'!$C$9:$I$9,BK$4-Resumen_Sprints!$E$6),0)</f>
        <v>0</v>
      </c>
      <c r="BL9" s="23">
        <f t="array" ref="BL9">IF(AND(BL$4&gt;Resumen_Sprints!$E$6,BL$4&lt;=Resumen_Sprints!$E$6+Resumen_Sprints!$D$6),INDEX('Sprint N°1'!$C$9:$I$9,BL$4-Resumen_Sprints!$E$6),0)</f>
        <v>0</v>
      </c>
      <c r="BM9" s="23">
        <f t="array" ref="BM9">IF(AND(BM$4&gt;Resumen_Sprints!$E$6,BM$4&lt;=Resumen_Sprints!$E$6+Resumen_Sprints!$D$6),INDEX('Sprint N°1'!$C$9:$I$9,BM$4-Resumen_Sprints!$E$6),0)</f>
        <v>0</v>
      </c>
      <c r="BN9" s="23">
        <f t="array" ref="BN9">IF(AND(BN$4&gt;Resumen_Sprints!$E$6,BN$4&lt;=Resumen_Sprints!$E$6+Resumen_Sprints!$D$6),INDEX('Sprint N°1'!$C$9:$I$9,BN$4-Resumen_Sprints!$E$6),0)</f>
        <v>0</v>
      </c>
      <c r="BO9" s="23">
        <f t="array" ref="BO9">IF(AND(BO$4&gt;Resumen_Sprints!$E$6,BO$4&lt;=Resumen_Sprints!$E$6+Resumen_Sprints!$D$6),INDEX('Sprint N°1'!$C$9:$I$9,BO$4-Resumen_Sprints!$E$6),0)</f>
        <v>0</v>
      </c>
      <c r="BP9" s="23">
        <f t="array" ref="BP9">IF(AND(BP$4&gt;Resumen_Sprints!$E$6,BP$4&lt;=Resumen_Sprints!$E$6+Resumen_Sprints!$D$6),INDEX('Sprint N°1'!$C$9:$I$9,BP$4-Resumen_Sprints!$E$6),0)</f>
        <v>0</v>
      </c>
      <c r="BQ9" s="23">
        <f t="array" ref="BQ9">IF(AND(BQ$4&gt;Resumen_Sprints!$E$6,BQ$4&lt;=Resumen_Sprints!$E$6+Resumen_Sprints!$D$6),INDEX('Sprint N°1'!$C$9:$I$9,BQ$4-Resumen_Sprints!$E$6),0)</f>
        <v>0</v>
      </c>
      <c r="BR9" s="23">
        <f t="array" ref="BR9">IF(AND(BR$4&gt;Resumen_Sprints!$E$6,BR$4&lt;=Resumen_Sprints!$E$6+Resumen_Sprints!$D$6),INDEX('Sprint N°1'!$C$9:$I$9,BR$4-Resumen_Sprints!$E$6),0)</f>
        <v>0</v>
      </c>
      <c r="BS9" s="23">
        <f t="array" ref="BS9">IF(AND(BS$4&gt;Resumen_Sprints!$E$6,BS$4&lt;=Resumen_Sprints!$E$6+Resumen_Sprints!$D$6),INDEX('Sprint N°1'!$C$9:$I$9,BS$4-Resumen_Sprints!$E$6),0)</f>
        <v>0</v>
      </c>
      <c r="BT9" s="23">
        <f t="array" ref="BT9">IF(AND(BT$4&gt;Resumen_Sprints!$E$6,BT$4&lt;=Resumen_Sprints!$E$6+Resumen_Sprints!$D$6),INDEX('Sprint N°1'!$C$9:$I$9,BT$4-Resumen_Sprints!$E$6),0)</f>
        <v>0</v>
      </c>
      <c r="BU9" s="23">
        <f t="array" ref="BU9">IF(AND(BU$4&gt;Resumen_Sprints!$E$6,BU$4&lt;=Resumen_Sprints!$E$6+Resumen_Sprints!$D$6),INDEX('Sprint N°1'!$C$9:$I$9,BU$4-Resumen_Sprints!$E$6),0)</f>
        <v>0</v>
      </c>
      <c r="BV9" s="23">
        <f t="array" ref="BV9">IF(AND(BV$4&gt;Resumen_Sprints!$E$6,BV$4&lt;=Resumen_Sprints!$E$6+Resumen_Sprints!$D$6),INDEX('Sprint N°1'!$C$9:$I$9,BV$4-Resumen_Sprints!$E$6),0)</f>
        <v>0</v>
      </c>
      <c r="BW9" s="23">
        <f t="array" ref="BW9">IF(AND(BW$4&gt;Resumen_Sprints!$E$6,BW$4&lt;=Resumen_Sprints!$E$6+Resumen_Sprints!$D$6),INDEX('Sprint N°1'!$C$9:$I$9,BW$4-Resumen_Sprints!$E$6),0)</f>
        <v>0</v>
      </c>
      <c r="BX9" s="23">
        <f t="array" ref="BX9">IF(AND(BX$4&gt;Resumen_Sprints!$E$6,BX$4&lt;=Resumen_Sprints!$E$6+Resumen_Sprints!$D$6),INDEX('Sprint N°1'!$C$9:$I$9,BX$4-Resumen_Sprints!$E$6),0)</f>
        <v>0</v>
      </c>
      <c r="BY9" s="23">
        <f t="array" ref="BY9">IF(AND(BY$4&gt;Resumen_Sprints!$E$6,BY$4&lt;=Resumen_Sprints!$E$6+Resumen_Sprints!$D$6),INDEX('Sprint N°1'!$C$9:$I$9,BY$4-Resumen_Sprints!$E$6),0)</f>
        <v>0</v>
      </c>
      <c r="BZ9" s="23">
        <f t="array" ref="BZ9">IF(AND(BZ$4&gt;Resumen_Sprints!$E$6,BZ$4&lt;=Resumen_Sprints!$E$6+Resumen_Sprints!$D$6),INDEX('Sprint N°1'!$C$9:$I$9,BZ$4-Resumen_Sprints!$E$6),0)</f>
        <v>0</v>
      </c>
      <c r="CA9" s="23">
        <f t="array" ref="CA9">IF(AND(CA$4&gt;Resumen_Sprints!$E$6,CA$4&lt;=Resumen_Sprints!$E$6+Resumen_Sprints!$D$6),INDEX('Sprint N°1'!$C$9:$I$9,CA$4-Resumen_Sprints!$E$6),0)</f>
        <v>0</v>
      </c>
      <c r="CB9" s="23">
        <f t="array" ref="CB9">IF(AND(CB$4&gt;Resumen_Sprints!$E$6,CB$4&lt;=Resumen_Sprints!$E$6+Resumen_Sprints!$D$6),INDEX('Sprint N°1'!$C$9:$I$9,CB$4-Resumen_Sprints!$E$6),0)</f>
        <v>0</v>
      </c>
      <c r="CC9" s="23">
        <f t="array" ref="CC9">IF(AND(CC$4&gt;Resumen_Sprints!$E$6,CC$4&lt;=Resumen_Sprints!$E$6+Resumen_Sprints!$D$6),INDEX('Sprint N°1'!$C$9:$I$9,CC$4-Resumen_Sprints!$E$6),0)</f>
        <v>0</v>
      </c>
      <c r="CD9" s="23">
        <f t="array" ref="CD9">IF(AND(CD$4&gt;Resumen_Sprints!$E$6,CD$4&lt;=Resumen_Sprints!$E$6+Resumen_Sprints!$D$6),INDEX('Sprint N°1'!$C$9:$I$9,CD$4-Resumen_Sprints!$E$6),0)</f>
        <v>0</v>
      </c>
      <c r="CE9" s="23">
        <f t="array" ref="CE9">IF(AND(CE$4&gt;Resumen_Sprints!$E$6,CE$4&lt;=Resumen_Sprints!$E$6+Resumen_Sprints!$D$6),INDEX('Sprint N°1'!$C$9:$I$9,CE$4-Resumen_Sprints!$E$6),0)</f>
        <v>0</v>
      </c>
      <c r="CF9" s="23">
        <f t="array" ref="CF9">IF(AND(CF$4&gt;Resumen_Sprints!$E$6,CF$4&lt;=Resumen_Sprints!$E$6+Resumen_Sprints!$D$6),INDEX('Sprint N°1'!$C$9:$I$9,CF$4-Resumen_Sprints!$E$6),0)</f>
        <v>0</v>
      </c>
      <c r="CG9" s="23">
        <f t="array" ref="CG9">IF(AND(CG$4&gt;Resumen_Sprints!$E$6,CG$4&lt;=Resumen_Sprints!$E$6+Resumen_Sprints!$D$6),INDEX('Sprint N°1'!$C$9:$I$9,CG$4-Resumen_Sprints!$E$6),0)</f>
        <v>0</v>
      </c>
      <c r="CH9" s="23">
        <f t="array" ref="CH9">IF(AND(CH$4&gt;Resumen_Sprints!$E$6,CH$4&lt;=Resumen_Sprints!$E$6+Resumen_Sprints!$D$6),INDEX('Sprint N°1'!$C$9:$I$9,CH$4-Resumen_Sprints!$E$6),0)</f>
        <v>0</v>
      </c>
      <c r="CI9" s="23">
        <f t="array" ref="CI9">IF(AND(CI$4&gt;Resumen_Sprints!$E$6,CI$4&lt;=Resumen_Sprints!$E$6+Resumen_Sprints!$D$6),INDEX('Sprint N°1'!$C$9:$I$9,CI$4-Resumen_Sprints!$E$6),0)</f>
        <v>0</v>
      </c>
      <c r="CJ9" s="23">
        <f t="array" ref="CJ9">IF(AND(CJ$4&gt;Resumen_Sprints!$E$6,CJ$4&lt;=Resumen_Sprints!$E$6+Resumen_Sprints!$D$6),INDEX('Sprint N°1'!$C$9:$I$9,CJ$4-Resumen_Sprints!$E$6),0)</f>
        <v>0</v>
      </c>
      <c r="CK9" s="23">
        <f t="array" ref="CK9">IF(AND(CK$4&gt;Resumen_Sprints!$E$6,CK$4&lt;=Resumen_Sprints!$E$6+Resumen_Sprints!$D$6),INDEX('Sprint N°1'!$C$9:$I$9,CK$4-Resumen_Sprints!$E$6),0)</f>
        <v>0</v>
      </c>
      <c r="CL9" s="23">
        <f t="array" ref="CL9">IF(AND(CL$4&gt;Resumen_Sprints!$E$6,CL$4&lt;=Resumen_Sprints!$E$6+Resumen_Sprints!$D$6),INDEX('Sprint N°1'!$C$9:$I$9,CL$4-Resumen_Sprints!$E$6),0)</f>
        <v>0</v>
      </c>
      <c r="CM9" s="23">
        <f t="array" ref="CM9">IF(AND(CM$4&gt;Resumen_Sprints!$E$6,CM$4&lt;=Resumen_Sprints!$E$6+Resumen_Sprints!$D$6),INDEX('Sprint N°1'!$C$9:$I$9,CM$4-Resumen_Sprints!$E$6),0)</f>
        <v>0</v>
      </c>
      <c r="CN9" s="23">
        <f t="array" ref="CN9">IF(AND(CN$4&gt;Resumen_Sprints!$E$6,CN$4&lt;=Resumen_Sprints!$E$6+Resumen_Sprints!$D$6),INDEX('Sprint N°1'!$C$9:$I$9,CN$4-Resumen_Sprints!$E$6),0)</f>
        <v>0</v>
      </c>
      <c r="CO9" s="23">
        <f t="array" ref="CO9">IF(AND(CO$4&gt;Resumen_Sprints!$E$6,CO$4&lt;=Resumen_Sprints!$E$6+Resumen_Sprints!$D$6),INDEX('Sprint N°1'!$C$9:$I$9,CO$4-Resumen_Sprints!$E$6),0)</f>
        <v>0</v>
      </c>
      <c r="CP9" s="23">
        <f t="array" ref="CP9">IF(AND(CP$4&gt;Resumen_Sprints!$E$6,CP$4&lt;=Resumen_Sprints!$E$6+Resumen_Sprints!$D$6),INDEX('Sprint N°1'!$C$9:$I$9,CP$4-Resumen_Sprints!$E$6),0)</f>
        <v>0</v>
      </c>
      <c r="CQ9" s="23">
        <f t="array" ref="CQ9">IF(AND(CQ$4&gt;Resumen_Sprints!$E$6,CQ$4&lt;=Resumen_Sprints!$E$6+Resumen_Sprints!$D$6),INDEX('Sprint N°1'!$C$9:$I$9,CQ$4-Resumen_Sprints!$E$6),0)</f>
        <v>0</v>
      </c>
      <c r="CR9" s="23">
        <f t="array" ref="CR9">IF(AND(CR$4&gt;Resumen_Sprints!$E$6,CR$4&lt;=Resumen_Sprints!$E$6+Resumen_Sprints!$D$6),INDEX('Sprint N°1'!$C$9:$I$9,CR$4-Resumen_Sprints!$E$6),0)</f>
        <v>0</v>
      </c>
      <c r="CS9" s="23">
        <f t="array" ref="CS9">IF(AND(CS$4&gt;Resumen_Sprints!$E$6,CS$4&lt;=Resumen_Sprints!$E$6+Resumen_Sprints!$D$6),INDEX('Sprint N°1'!$C$9:$I$9,CS$4-Resumen_Sprints!$E$6),0)</f>
        <v>0</v>
      </c>
      <c r="CT9" s="23">
        <f t="array" ref="CT9">IF(AND(CT$4&gt;Resumen_Sprints!$E$6,CT$4&lt;=Resumen_Sprints!$E$6+Resumen_Sprints!$D$6),INDEX('Sprint N°1'!$C$9:$I$9,CT$4-Resumen_Sprints!$E$6),0)</f>
        <v>0</v>
      </c>
      <c r="CU9" s="25">
        <f t="shared" si="1"/>
        <v>16</v>
      </c>
    </row>
    <row r="10" ht="14.25" customHeight="1">
      <c r="A10" s="11" t="str">
        <f>'Sprint N°1'!A10</f>
        <v>Organización del Equipo y Herramientas (repositorio, tablero)</v>
      </c>
      <c r="B10" s="11">
        <f>'Sprint N°1'!B10</f>
        <v>8</v>
      </c>
      <c r="C10" s="23" t="str">
        <f t="array" ref="C10">IF(AND(C$4&gt;Resumen_Sprints!$E$6,C$4&lt;=Resumen_Sprints!$E$6+Resumen_Sprints!$D$6),INDEX('Sprint N°1'!$C$10:$I$10,C$4-Resumen_Sprints!$E$6),0)</f>
        <v/>
      </c>
      <c r="D10" s="23" t="str">
        <f t="array" ref="D10">IF(AND(D$4&gt;Resumen_Sprints!$E$6,D$4&lt;=Resumen_Sprints!$E$6+Resumen_Sprints!$D$6),INDEX('Sprint N°1'!$C$10:$I$10,D$4-Resumen_Sprints!$E$6),0)</f>
        <v/>
      </c>
      <c r="E10" s="23" t="str">
        <f t="array" ref="E10">IF(AND(E$4&gt;Resumen_Sprints!$E$6,E$4&lt;=Resumen_Sprints!$E$6+Resumen_Sprints!$D$6),INDEX('Sprint N°1'!$C$10:$I$10,E$4-Resumen_Sprints!$E$6),0)</f>
        <v/>
      </c>
      <c r="F10" s="23" t="str">
        <f t="array" ref="F10">IF(AND(F$4&gt;Resumen_Sprints!$E$6,F$4&lt;=Resumen_Sprints!$E$6+Resumen_Sprints!$D$6),INDEX('Sprint N°1'!$C$10:$I$10,F$4-Resumen_Sprints!$E$6),0)</f>
        <v/>
      </c>
      <c r="G10" s="23" t="str">
        <f t="array" ref="G10">IF(AND(G$4&gt;Resumen_Sprints!$E$6,G$4&lt;=Resumen_Sprints!$E$6+Resumen_Sprints!$D$6),INDEX('Sprint N°1'!$C$10:$I$10,G$4-Resumen_Sprints!$E$6),0)</f>
        <v/>
      </c>
      <c r="H10" s="23">
        <f t="array" ref="H10">IF(AND(H$4&gt;Resumen_Sprints!$E$6,H$4&lt;=Resumen_Sprints!$E$6+Resumen_Sprints!$D$6),INDEX('Sprint N°1'!$C$10:$I$10,H$4-Resumen_Sprints!$E$6),0)</f>
        <v>3</v>
      </c>
      <c r="I10" s="23">
        <f t="array" ref="I10">IF(AND(I$4&gt;Resumen_Sprints!$E$6,I$4&lt;=Resumen_Sprints!$E$6+Resumen_Sprints!$D$6),INDEX('Sprint N°1'!$C$10:$I$10,I$4-Resumen_Sprints!$E$6),0)</f>
        <v>5</v>
      </c>
      <c r="J10" s="23">
        <f t="array" ref="J10">IF(AND(J$4&gt;Resumen_Sprints!$E$6,J$4&lt;=Resumen_Sprints!$E$6+Resumen_Sprints!$D$6),INDEX('Sprint N°1'!$C$10:$I$10,J$4-Resumen_Sprints!$E$6),0)</f>
        <v>0</v>
      </c>
      <c r="K10" s="23">
        <f t="array" ref="K10">IF(AND(K$4&gt;Resumen_Sprints!$E$6,K$4&lt;=Resumen_Sprints!$E$6+Resumen_Sprints!$D$6),INDEX('Sprint N°1'!$C$10:$I$10,K$4-Resumen_Sprints!$E$6),0)</f>
        <v>0</v>
      </c>
      <c r="L10" s="23">
        <f t="array" ref="L10">IF(AND(L$4&gt;Resumen_Sprints!$E$6,L$4&lt;=Resumen_Sprints!$E$6+Resumen_Sprints!$D$6),INDEX('Sprint N°1'!$C$10:$I$10,L$4-Resumen_Sprints!$E$6),0)</f>
        <v>0</v>
      </c>
      <c r="M10" s="23">
        <f t="array" ref="M10">IF(AND(M$4&gt;Resumen_Sprints!$E$6,M$4&lt;=Resumen_Sprints!$E$6+Resumen_Sprints!$D$6),INDEX('Sprint N°1'!$C$10:$I$10,M$4-Resumen_Sprints!$E$6),0)</f>
        <v>0</v>
      </c>
      <c r="N10" s="23">
        <f t="array" ref="N10">IF(AND(N$4&gt;Resumen_Sprints!$E$6,N$4&lt;=Resumen_Sprints!$E$6+Resumen_Sprints!$D$6),INDEX('Sprint N°1'!$C$10:$I$10,N$4-Resumen_Sprints!$E$6),0)</f>
        <v>0</v>
      </c>
      <c r="O10" s="23">
        <f t="array" ref="O10">IF(AND(O$4&gt;Resumen_Sprints!$E$6,O$4&lt;=Resumen_Sprints!$E$6+Resumen_Sprints!$D$6),INDEX('Sprint N°1'!$C$10:$I$10,O$4-Resumen_Sprints!$E$6),0)</f>
        <v>0</v>
      </c>
      <c r="P10" s="23">
        <f t="array" ref="P10">IF(AND(P$4&gt;Resumen_Sprints!$E$6,P$4&lt;=Resumen_Sprints!$E$6+Resumen_Sprints!$D$6),INDEX('Sprint N°1'!$C$10:$I$10,P$4-Resumen_Sprints!$E$6),0)</f>
        <v>0</v>
      </c>
      <c r="Q10" s="23">
        <f t="array" ref="Q10">IF(AND(Q$4&gt;Resumen_Sprints!$E$6,Q$4&lt;=Resumen_Sprints!$E$6+Resumen_Sprints!$D$6),INDEX('Sprint N°1'!$C$10:$I$10,Q$4-Resumen_Sprints!$E$6),0)</f>
        <v>0</v>
      </c>
      <c r="R10" s="23">
        <f t="array" ref="R10">IF(AND(R$4&gt;Resumen_Sprints!$E$6,R$4&lt;=Resumen_Sprints!$E$6+Resumen_Sprints!$D$6),INDEX('Sprint N°1'!$C$10:$I$10,R$4-Resumen_Sprints!$E$6),0)</f>
        <v>0</v>
      </c>
      <c r="S10" s="23">
        <f t="array" ref="S10">IF(AND(S$4&gt;Resumen_Sprints!$E$6,S$4&lt;=Resumen_Sprints!$E$6+Resumen_Sprints!$D$6),INDEX('Sprint N°1'!$C$10:$I$10,S$4-Resumen_Sprints!$E$6),0)</f>
        <v>0</v>
      </c>
      <c r="T10" s="23">
        <f t="array" ref="T10">IF(AND(T$4&gt;Resumen_Sprints!$E$6,T$4&lt;=Resumen_Sprints!$E$6+Resumen_Sprints!$D$6),INDEX('Sprint N°1'!$C$10:$I$10,T$4-Resumen_Sprints!$E$6),0)</f>
        <v>0</v>
      </c>
      <c r="U10" s="23">
        <f t="array" ref="U10">IF(AND(U$4&gt;Resumen_Sprints!$E$6,U$4&lt;=Resumen_Sprints!$E$6+Resumen_Sprints!$D$6),INDEX('Sprint N°1'!$C$10:$I$10,U$4-Resumen_Sprints!$E$6),0)</f>
        <v>0</v>
      </c>
      <c r="V10" s="23">
        <f t="array" ref="V10">IF(AND(V$4&gt;Resumen_Sprints!$E$6,V$4&lt;=Resumen_Sprints!$E$6+Resumen_Sprints!$D$6),INDEX('Sprint N°1'!$C$10:$I$10,V$4-Resumen_Sprints!$E$6),0)</f>
        <v>0</v>
      </c>
      <c r="W10" s="23">
        <f t="array" ref="W10">IF(AND(W$4&gt;Resumen_Sprints!$E$6,W$4&lt;=Resumen_Sprints!$E$6+Resumen_Sprints!$D$6),INDEX('Sprint N°1'!$C$10:$I$10,W$4-Resumen_Sprints!$E$6),0)</f>
        <v>0</v>
      </c>
      <c r="X10" s="23">
        <f t="array" ref="X10">IF(AND(X$4&gt;Resumen_Sprints!$E$6,X$4&lt;=Resumen_Sprints!$E$6+Resumen_Sprints!$D$6),INDEX('Sprint N°1'!$C$10:$I$10,X$4-Resumen_Sprints!$E$6),0)</f>
        <v>0</v>
      </c>
      <c r="Y10" s="23">
        <f t="array" ref="Y10">IF(AND(Y$4&gt;Resumen_Sprints!$E$6,Y$4&lt;=Resumen_Sprints!$E$6+Resumen_Sprints!$D$6),INDEX('Sprint N°1'!$C$10:$I$10,Y$4-Resumen_Sprints!$E$6),0)</f>
        <v>0</v>
      </c>
      <c r="Z10" s="23">
        <f t="array" ref="Z10">IF(AND(Z$4&gt;Resumen_Sprints!$E$6,Z$4&lt;=Resumen_Sprints!$E$6+Resumen_Sprints!$D$6),INDEX('Sprint N°1'!$C$10:$I$10,Z$4-Resumen_Sprints!$E$6),0)</f>
        <v>0</v>
      </c>
      <c r="AA10" s="23">
        <f t="array" ref="AA10">IF(AND(AA$4&gt;Resumen_Sprints!$E$6,AA$4&lt;=Resumen_Sprints!$E$6+Resumen_Sprints!$D$6),INDEX('Sprint N°1'!$C$10:$I$10,AA$4-Resumen_Sprints!$E$6),0)</f>
        <v>0</v>
      </c>
      <c r="AB10" s="23">
        <f t="array" ref="AB10">IF(AND(AB$4&gt;Resumen_Sprints!$E$6,AB$4&lt;=Resumen_Sprints!$E$6+Resumen_Sprints!$D$6),INDEX('Sprint N°1'!$C$10:$I$10,AB$4-Resumen_Sprints!$E$6),0)</f>
        <v>0</v>
      </c>
      <c r="AC10" s="23">
        <f t="array" ref="AC10">IF(AND(AC$4&gt;Resumen_Sprints!$E$6,AC$4&lt;=Resumen_Sprints!$E$6+Resumen_Sprints!$D$6),INDEX('Sprint N°1'!$C$10:$I$10,AC$4-Resumen_Sprints!$E$6),0)</f>
        <v>0</v>
      </c>
      <c r="AD10" s="23">
        <f t="array" ref="AD10">IF(AND(AD$4&gt;Resumen_Sprints!$E$6,AD$4&lt;=Resumen_Sprints!$E$6+Resumen_Sprints!$D$6),INDEX('Sprint N°1'!$C$10:$I$10,AD$4-Resumen_Sprints!$E$6),0)</f>
        <v>0</v>
      </c>
      <c r="AE10" s="23">
        <f t="array" ref="AE10">IF(AND(AE$4&gt;Resumen_Sprints!$E$6,AE$4&lt;=Resumen_Sprints!$E$6+Resumen_Sprints!$D$6),INDEX('Sprint N°1'!$C$10:$I$10,AE$4-Resumen_Sprints!$E$6),0)</f>
        <v>0</v>
      </c>
      <c r="AF10" s="23">
        <f t="array" ref="AF10">IF(AND(AF$4&gt;Resumen_Sprints!$E$6,AF$4&lt;=Resumen_Sprints!$E$6+Resumen_Sprints!$D$6),INDEX('Sprint N°1'!$C$10:$I$10,AF$4-Resumen_Sprints!$E$6),0)</f>
        <v>0</v>
      </c>
      <c r="AG10" s="23">
        <f t="array" ref="AG10">IF(AND(AG$4&gt;Resumen_Sprints!$E$6,AG$4&lt;=Resumen_Sprints!$E$6+Resumen_Sprints!$D$6),INDEX('Sprint N°1'!$C$10:$I$10,AG$4-Resumen_Sprints!$E$6),0)</f>
        <v>0</v>
      </c>
      <c r="AH10" s="23">
        <f t="array" ref="AH10">IF(AND(AH$4&gt;Resumen_Sprints!$E$6,AH$4&lt;=Resumen_Sprints!$E$6+Resumen_Sprints!$D$6),INDEX('Sprint N°1'!$C$10:$I$10,AH$4-Resumen_Sprints!$E$6),0)</f>
        <v>0</v>
      </c>
      <c r="AI10" s="23">
        <f t="array" ref="AI10">IF(AND(AI$4&gt;Resumen_Sprints!$E$6,AI$4&lt;=Resumen_Sprints!$E$6+Resumen_Sprints!$D$6),INDEX('Sprint N°1'!$C$10:$I$10,AI$4-Resumen_Sprints!$E$6),0)</f>
        <v>0</v>
      </c>
      <c r="AJ10" s="23">
        <f t="array" ref="AJ10">IF(AND(AJ$4&gt;Resumen_Sprints!$E$6,AJ$4&lt;=Resumen_Sprints!$E$6+Resumen_Sprints!$D$6),INDEX('Sprint N°1'!$C$10:$I$10,AJ$4-Resumen_Sprints!$E$6),0)</f>
        <v>0</v>
      </c>
      <c r="AK10" s="23">
        <f t="array" ref="AK10">IF(AND(AK$4&gt;Resumen_Sprints!$E$6,AK$4&lt;=Resumen_Sprints!$E$6+Resumen_Sprints!$D$6),INDEX('Sprint N°1'!$C$10:$I$10,AK$4-Resumen_Sprints!$E$6),0)</f>
        <v>0</v>
      </c>
      <c r="AL10" s="23">
        <f t="array" ref="AL10">IF(AND(AL$4&gt;Resumen_Sprints!$E$6,AL$4&lt;=Resumen_Sprints!$E$6+Resumen_Sprints!$D$6),INDEX('Sprint N°1'!$C$10:$I$10,AL$4-Resumen_Sprints!$E$6),0)</f>
        <v>0</v>
      </c>
      <c r="AM10" s="23">
        <f t="array" ref="AM10">IF(AND(AM$4&gt;Resumen_Sprints!$E$6,AM$4&lt;=Resumen_Sprints!$E$6+Resumen_Sprints!$D$6),INDEX('Sprint N°1'!$C$10:$I$10,AM$4-Resumen_Sprints!$E$6),0)</f>
        <v>0</v>
      </c>
      <c r="AN10" s="23">
        <f t="array" ref="AN10">IF(AND(AN$4&gt;Resumen_Sprints!$E$6,AN$4&lt;=Resumen_Sprints!$E$6+Resumen_Sprints!$D$6),INDEX('Sprint N°1'!$C$10:$I$10,AN$4-Resumen_Sprints!$E$6),0)</f>
        <v>0</v>
      </c>
      <c r="AO10" s="23">
        <f t="array" ref="AO10">IF(AND(AO$4&gt;Resumen_Sprints!$E$6,AO$4&lt;=Resumen_Sprints!$E$6+Resumen_Sprints!$D$6),INDEX('Sprint N°1'!$C$10:$I$10,AO$4-Resumen_Sprints!$E$6),0)</f>
        <v>0</v>
      </c>
      <c r="AP10" s="23">
        <f t="array" ref="AP10">IF(AND(AP$4&gt;Resumen_Sprints!$E$6,AP$4&lt;=Resumen_Sprints!$E$6+Resumen_Sprints!$D$6),INDEX('Sprint N°1'!$C$10:$I$10,AP$4-Resumen_Sprints!$E$6),0)</f>
        <v>0</v>
      </c>
      <c r="AQ10" s="23">
        <f t="array" ref="AQ10">IF(AND(AQ$4&gt;Resumen_Sprints!$E$6,AQ$4&lt;=Resumen_Sprints!$E$6+Resumen_Sprints!$D$6),INDEX('Sprint N°1'!$C$10:$I$10,AQ$4-Resumen_Sprints!$E$6),0)</f>
        <v>0</v>
      </c>
      <c r="AR10" s="23">
        <f t="array" ref="AR10">IF(AND(AR$4&gt;Resumen_Sprints!$E$6,AR$4&lt;=Resumen_Sprints!$E$6+Resumen_Sprints!$D$6),INDEX('Sprint N°1'!$C$10:$I$10,AR$4-Resumen_Sprints!$E$6),0)</f>
        <v>0</v>
      </c>
      <c r="AS10" s="23">
        <f t="array" ref="AS10">IF(AND(AS$4&gt;Resumen_Sprints!$E$6,AS$4&lt;=Resumen_Sprints!$E$6+Resumen_Sprints!$D$6),INDEX('Sprint N°1'!$C$10:$I$10,AS$4-Resumen_Sprints!$E$6),0)</f>
        <v>0</v>
      </c>
      <c r="AT10" s="23">
        <f t="array" ref="AT10">IF(AND(AT$4&gt;Resumen_Sprints!$E$6,AT$4&lt;=Resumen_Sprints!$E$6+Resumen_Sprints!$D$6),INDEX('Sprint N°1'!$C$10:$I$10,AT$4-Resumen_Sprints!$E$6),0)</f>
        <v>0</v>
      </c>
      <c r="AU10" s="23">
        <f t="array" ref="AU10">IF(AND(AU$4&gt;Resumen_Sprints!$E$6,AU$4&lt;=Resumen_Sprints!$E$6+Resumen_Sprints!$D$6),INDEX('Sprint N°1'!$C$10:$I$10,AU$4-Resumen_Sprints!$E$6),0)</f>
        <v>0</v>
      </c>
      <c r="AV10" s="23">
        <f t="array" ref="AV10">IF(AND(AV$4&gt;Resumen_Sprints!$E$6,AV$4&lt;=Resumen_Sprints!$E$6+Resumen_Sprints!$D$6),INDEX('Sprint N°1'!$C$10:$I$10,AV$4-Resumen_Sprints!$E$6),0)</f>
        <v>0</v>
      </c>
      <c r="AW10" s="23">
        <f t="array" ref="AW10">IF(AND(AW$4&gt;Resumen_Sprints!$E$6,AW$4&lt;=Resumen_Sprints!$E$6+Resumen_Sprints!$D$6),INDEX('Sprint N°1'!$C$10:$I$10,AW$4-Resumen_Sprints!$E$6),0)</f>
        <v>0</v>
      </c>
      <c r="AX10" s="23">
        <f t="array" ref="AX10">IF(AND(AX$4&gt;Resumen_Sprints!$E$6,AX$4&lt;=Resumen_Sprints!$E$6+Resumen_Sprints!$D$6),INDEX('Sprint N°1'!$C$10:$I$10,AX$4-Resumen_Sprints!$E$6),0)</f>
        <v>0</v>
      </c>
      <c r="AY10" s="23">
        <f t="array" ref="AY10">IF(AND(AY$4&gt;Resumen_Sprints!$E$6,AY$4&lt;=Resumen_Sprints!$E$6+Resumen_Sprints!$D$6),INDEX('Sprint N°1'!$C$10:$I$10,AY$4-Resumen_Sprints!$E$6),0)</f>
        <v>0</v>
      </c>
      <c r="AZ10" s="23">
        <f t="array" ref="AZ10">IF(AND(AZ$4&gt;Resumen_Sprints!$E$6,AZ$4&lt;=Resumen_Sprints!$E$6+Resumen_Sprints!$D$6),INDEX('Sprint N°1'!$C$10:$I$10,AZ$4-Resumen_Sprints!$E$6),0)</f>
        <v>0</v>
      </c>
      <c r="BA10" s="23">
        <f t="array" ref="BA10">IF(AND(BA$4&gt;Resumen_Sprints!$E$6,BA$4&lt;=Resumen_Sprints!$E$6+Resumen_Sprints!$D$6),INDEX('Sprint N°1'!$C$10:$I$10,BA$4-Resumen_Sprints!$E$6),0)</f>
        <v>0</v>
      </c>
      <c r="BB10" s="23">
        <f t="array" ref="BB10">IF(AND(BB$4&gt;Resumen_Sprints!$E$6,BB$4&lt;=Resumen_Sprints!$E$6+Resumen_Sprints!$D$6),INDEX('Sprint N°1'!$C$10:$I$10,BB$4-Resumen_Sprints!$E$6),0)</f>
        <v>0</v>
      </c>
      <c r="BC10" s="23">
        <f t="array" ref="BC10">IF(AND(BC$4&gt;Resumen_Sprints!$E$6,BC$4&lt;=Resumen_Sprints!$E$6+Resumen_Sprints!$D$6),INDEX('Sprint N°1'!$C$10:$I$10,BC$4-Resumen_Sprints!$E$6),0)</f>
        <v>0</v>
      </c>
      <c r="BD10" s="23">
        <f t="array" ref="BD10">IF(AND(BD$4&gt;Resumen_Sprints!$E$6,BD$4&lt;=Resumen_Sprints!$E$6+Resumen_Sprints!$D$6),INDEX('Sprint N°1'!$C$10:$I$10,BD$4-Resumen_Sprints!$E$6),0)</f>
        <v>0</v>
      </c>
      <c r="BE10" s="23">
        <f t="array" ref="BE10">IF(AND(BE$4&gt;Resumen_Sprints!$E$6,BE$4&lt;=Resumen_Sprints!$E$6+Resumen_Sprints!$D$6),INDEX('Sprint N°1'!$C$10:$I$10,BE$4-Resumen_Sprints!$E$6),0)</f>
        <v>0</v>
      </c>
      <c r="BF10" s="23">
        <f t="array" ref="BF10">IF(AND(BF$4&gt;Resumen_Sprints!$E$6,BF$4&lt;=Resumen_Sprints!$E$6+Resumen_Sprints!$D$6),INDEX('Sprint N°1'!$C$10:$I$10,BF$4-Resumen_Sprints!$E$6),0)</f>
        <v>0</v>
      </c>
      <c r="BG10" s="23">
        <f t="array" ref="BG10">IF(AND(BG$4&gt;Resumen_Sprints!$E$6,BG$4&lt;=Resumen_Sprints!$E$6+Resumen_Sprints!$D$6),INDEX('Sprint N°1'!$C$10:$I$10,BG$4-Resumen_Sprints!$E$6),0)</f>
        <v>0</v>
      </c>
      <c r="BH10" s="23">
        <f t="array" ref="BH10">IF(AND(BH$4&gt;Resumen_Sprints!$E$6,BH$4&lt;=Resumen_Sprints!$E$6+Resumen_Sprints!$D$6),INDEX('Sprint N°1'!$C$10:$I$10,BH$4-Resumen_Sprints!$E$6),0)</f>
        <v>0</v>
      </c>
      <c r="BI10" s="23">
        <f t="array" ref="BI10">IF(AND(BI$4&gt;Resumen_Sprints!$E$6,BI$4&lt;=Resumen_Sprints!$E$6+Resumen_Sprints!$D$6),INDEX('Sprint N°1'!$C$10:$I$10,BI$4-Resumen_Sprints!$E$6),0)</f>
        <v>0</v>
      </c>
      <c r="BJ10" s="23">
        <f t="array" ref="BJ10">IF(AND(BJ$4&gt;Resumen_Sprints!$E$6,BJ$4&lt;=Resumen_Sprints!$E$6+Resumen_Sprints!$D$6),INDEX('Sprint N°1'!$C$10:$I$10,BJ$4-Resumen_Sprints!$E$6),0)</f>
        <v>0</v>
      </c>
      <c r="BK10" s="23">
        <f t="array" ref="BK10">IF(AND(BK$4&gt;Resumen_Sprints!$E$6,BK$4&lt;=Resumen_Sprints!$E$6+Resumen_Sprints!$D$6),INDEX('Sprint N°1'!$C$10:$I$10,BK$4-Resumen_Sprints!$E$6),0)</f>
        <v>0</v>
      </c>
      <c r="BL10" s="23">
        <f t="array" ref="BL10">IF(AND(BL$4&gt;Resumen_Sprints!$E$6,BL$4&lt;=Resumen_Sprints!$E$6+Resumen_Sprints!$D$6),INDEX('Sprint N°1'!$C$10:$I$10,BL$4-Resumen_Sprints!$E$6),0)</f>
        <v>0</v>
      </c>
      <c r="BM10" s="23">
        <f t="array" ref="BM10">IF(AND(BM$4&gt;Resumen_Sprints!$E$6,BM$4&lt;=Resumen_Sprints!$E$6+Resumen_Sprints!$D$6),INDEX('Sprint N°1'!$C$10:$I$10,BM$4-Resumen_Sprints!$E$6),0)</f>
        <v>0</v>
      </c>
      <c r="BN10" s="23">
        <f t="array" ref="BN10">IF(AND(BN$4&gt;Resumen_Sprints!$E$6,BN$4&lt;=Resumen_Sprints!$E$6+Resumen_Sprints!$D$6),INDEX('Sprint N°1'!$C$10:$I$10,BN$4-Resumen_Sprints!$E$6),0)</f>
        <v>0</v>
      </c>
      <c r="BO10" s="23">
        <f t="array" ref="BO10">IF(AND(BO$4&gt;Resumen_Sprints!$E$6,BO$4&lt;=Resumen_Sprints!$E$6+Resumen_Sprints!$D$6),INDEX('Sprint N°1'!$C$10:$I$10,BO$4-Resumen_Sprints!$E$6),0)</f>
        <v>0</v>
      </c>
      <c r="BP10" s="23">
        <f t="array" ref="BP10">IF(AND(BP$4&gt;Resumen_Sprints!$E$6,BP$4&lt;=Resumen_Sprints!$E$6+Resumen_Sprints!$D$6),INDEX('Sprint N°1'!$C$10:$I$10,BP$4-Resumen_Sprints!$E$6),0)</f>
        <v>0</v>
      </c>
      <c r="BQ10" s="23">
        <f t="array" ref="BQ10">IF(AND(BQ$4&gt;Resumen_Sprints!$E$6,BQ$4&lt;=Resumen_Sprints!$E$6+Resumen_Sprints!$D$6),INDEX('Sprint N°1'!$C$10:$I$10,BQ$4-Resumen_Sprints!$E$6),0)</f>
        <v>0</v>
      </c>
      <c r="BR10" s="23">
        <f t="array" ref="BR10">IF(AND(BR$4&gt;Resumen_Sprints!$E$6,BR$4&lt;=Resumen_Sprints!$E$6+Resumen_Sprints!$D$6),INDEX('Sprint N°1'!$C$10:$I$10,BR$4-Resumen_Sprints!$E$6),0)</f>
        <v>0</v>
      </c>
      <c r="BS10" s="23">
        <f t="array" ref="BS10">IF(AND(BS$4&gt;Resumen_Sprints!$E$6,BS$4&lt;=Resumen_Sprints!$E$6+Resumen_Sprints!$D$6),INDEX('Sprint N°1'!$C$10:$I$10,BS$4-Resumen_Sprints!$E$6),0)</f>
        <v>0</v>
      </c>
      <c r="BT10" s="23">
        <f t="array" ref="BT10">IF(AND(BT$4&gt;Resumen_Sprints!$E$6,BT$4&lt;=Resumen_Sprints!$E$6+Resumen_Sprints!$D$6),INDEX('Sprint N°1'!$C$10:$I$10,BT$4-Resumen_Sprints!$E$6),0)</f>
        <v>0</v>
      </c>
      <c r="BU10" s="23">
        <f t="array" ref="BU10">IF(AND(BU$4&gt;Resumen_Sprints!$E$6,BU$4&lt;=Resumen_Sprints!$E$6+Resumen_Sprints!$D$6),INDEX('Sprint N°1'!$C$10:$I$10,BU$4-Resumen_Sprints!$E$6),0)</f>
        <v>0</v>
      </c>
      <c r="BV10" s="23">
        <f t="array" ref="BV10">IF(AND(BV$4&gt;Resumen_Sprints!$E$6,BV$4&lt;=Resumen_Sprints!$E$6+Resumen_Sprints!$D$6),INDEX('Sprint N°1'!$C$10:$I$10,BV$4-Resumen_Sprints!$E$6),0)</f>
        <v>0</v>
      </c>
      <c r="BW10" s="23">
        <f t="array" ref="BW10">IF(AND(BW$4&gt;Resumen_Sprints!$E$6,BW$4&lt;=Resumen_Sprints!$E$6+Resumen_Sprints!$D$6),INDEX('Sprint N°1'!$C$10:$I$10,BW$4-Resumen_Sprints!$E$6),0)</f>
        <v>0</v>
      </c>
      <c r="BX10" s="23">
        <f t="array" ref="BX10">IF(AND(BX$4&gt;Resumen_Sprints!$E$6,BX$4&lt;=Resumen_Sprints!$E$6+Resumen_Sprints!$D$6),INDEX('Sprint N°1'!$C$10:$I$10,BX$4-Resumen_Sprints!$E$6),0)</f>
        <v>0</v>
      </c>
      <c r="BY10" s="23">
        <f t="array" ref="BY10">IF(AND(BY$4&gt;Resumen_Sprints!$E$6,BY$4&lt;=Resumen_Sprints!$E$6+Resumen_Sprints!$D$6),INDEX('Sprint N°1'!$C$10:$I$10,BY$4-Resumen_Sprints!$E$6),0)</f>
        <v>0</v>
      </c>
      <c r="BZ10" s="23">
        <f t="array" ref="BZ10">IF(AND(BZ$4&gt;Resumen_Sprints!$E$6,BZ$4&lt;=Resumen_Sprints!$E$6+Resumen_Sprints!$D$6),INDEX('Sprint N°1'!$C$10:$I$10,BZ$4-Resumen_Sprints!$E$6),0)</f>
        <v>0</v>
      </c>
      <c r="CA10" s="23">
        <f t="array" ref="CA10">IF(AND(CA$4&gt;Resumen_Sprints!$E$6,CA$4&lt;=Resumen_Sprints!$E$6+Resumen_Sprints!$D$6),INDEX('Sprint N°1'!$C$10:$I$10,CA$4-Resumen_Sprints!$E$6),0)</f>
        <v>0</v>
      </c>
      <c r="CB10" s="23">
        <f t="array" ref="CB10">IF(AND(CB$4&gt;Resumen_Sprints!$E$6,CB$4&lt;=Resumen_Sprints!$E$6+Resumen_Sprints!$D$6),INDEX('Sprint N°1'!$C$10:$I$10,CB$4-Resumen_Sprints!$E$6),0)</f>
        <v>0</v>
      </c>
      <c r="CC10" s="23">
        <f t="array" ref="CC10">IF(AND(CC$4&gt;Resumen_Sprints!$E$6,CC$4&lt;=Resumen_Sprints!$E$6+Resumen_Sprints!$D$6),INDEX('Sprint N°1'!$C$10:$I$10,CC$4-Resumen_Sprints!$E$6),0)</f>
        <v>0</v>
      </c>
      <c r="CD10" s="23">
        <f t="array" ref="CD10">IF(AND(CD$4&gt;Resumen_Sprints!$E$6,CD$4&lt;=Resumen_Sprints!$E$6+Resumen_Sprints!$D$6),INDEX('Sprint N°1'!$C$10:$I$10,CD$4-Resumen_Sprints!$E$6),0)</f>
        <v>0</v>
      </c>
      <c r="CE10" s="23">
        <f t="array" ref="CE10">IF(AND(CE$4&gt;Resumen_Sprints!$E$6,CE$4&lt;=Resumen_Sprints!$E$6+Resumen_Sprints!$D$6),INDEX('Sprint N°1'!$C$10:$I$10,CE$4-Resumen_Sprints!$E$6),0)</f>
        <v>0</v>
      </c>
      <c r="CF10" s="23">
        <f t="array" ref="CF10">IF(AND(CF$4&gt;Resumen_Sprints!$E$6,CF$4&lt;=Resumen_Sprints!$E$6+Resumen_Sprints!$D$6),INDEX('Sprint N°1'!$C$10:$I$10,CF$4-Resumen_Sprints!$E$6),0)</f>
        <v>0</v>
      </c>
      <c r="CG10" s="23">
        <f t="array" ref="CG10">IF(AND(CG$4&gt;Resumen_Sprints!$E$6,CG$4&lt;=Resumen_Sprints!$E$6+Resumen_Sprints!$D$6),INDEX('Sprint N°1'!$C$10:$I$10,CG$4-Resumen_Sprints!$E$6),0)</f>
        <v>0</v>
      </c>
      <c r="CH10" s="23">
        <f t="array" ref="CH10">IF(AND(CH$4&gt;Resumen_Sprints!$E$6,CH$4&lt;=Resumen_Sprints!$E$6+Resumen_Sprints!$D$6),INDEX('Sprint N°1'!$C$10:$I$10,CH$4-Resumen_Sprints!$E$6),0)</f>
        <v>0</v>
      </c>
      <c r="CI10" s="23">
        <f t="array" ref="CI10">IF(AND(CI$4&gt;Resumen_Sprints!$E$6,CI$4&lt;=Resumen_Sprints!$E$6+Resumen_Sprints!$D$6),INDEX('Sprint N°1'!$C$10:$I$10,CI$4-Resumen_Sprints!$E$6),0)</f>
        <v>0</v>
      </c>
      <c r="CJ10" s="23">
        <f t="array" ref="CJ10">IF(AND(CJ$4&gt;Resumen_Sprints!$E$6,CJ$4&lt;=Resumen_Sprints!$E$6+Resumen_Sprints!$D$6),INDEX('Sprint N°1'!$C$10:$I$10,CJ$4-Resumen_Sprints!$E$6),0)</f>
        <v>0</v>
      </c>
      <c r="CK10" s="23">
        <f t="array" ref="CK10">IF(AND(CK$4&gt;Resumen_Sprints!$E$6,CK$4&lt;=Resumen_Sprints!$E$6+Resumen_Sprints!$D$6),INDEX('Sprint N°1'!$C$10:$I$10,CK$4-Resumen_Sprints!$E$6),0)</f>
        <v>0</v>
      </c>
      <c r="CL10" s="23">
        <f t="array" ref="CL10">IF(AND(CL$4&gt;Resumen_Sprints!$E$6,CL$4&lt;=Resumen_Sprints!$E$6+Resumen_Sprints!$D$6),INDEX('Sprint N°1'!$C$10:$I$10,CL$4-Resumen_Sprints!$E$6),0)</f>
        <v>0</v>
      </c>
      <c r="CM10" s="23">
        <f t="array" ref="CM10">IF(AND(CM$4&gt;Resumen_Sprints!$E$6,CM$4&lt;=Resumen_Sprints!$E$6+Resumen_Sprints!$D$6),INDEX('Sprint N°1'!$C$10:$I$10,CM$4-Resumen_Sprints!$E$6),0)</f>
        <v>0</v>
      </c>
      <c r="CN10" s="23">
        <f t="array" ref="CN10">IF(AND(CN$4&gt;Resumen_Sprints!$E$6,CN$4&lt;=Resumen_Sprints!$E$6+Resumen_Sprints!$D$6),INDEX('Sprint N°1'!$C$10:$I$10,CN$4-Resumen_Sprints!$E$6),0)</f>
        <v>0</v>
      </c>
      <c r="CO10" s="23">
        <f t="array" ref="CO10">IF(AND(CO$4&gt;Resumen_Sprints!$E$6,CO$4&lt;=Resumen_Sprints!$E$6+Resumen_Sprints!$D$6),INDEX('Sprint N°1'!$C$10:$I$10,CO$4-Resumen_Sprints!$E$6),0)</f>
        <v>0</v>
      </c>
      <c r="CP10" s="23">
        <f t="array" ref="CP10">IF(AND(CP$4&gt;Resumen_Sprints!$E$6,CP$4&lt;=Resumen_Sprints!$E$6+Resumen_Sprints!$D$6),INDEX('Sprint N°1'!$C$10:$I$10,CP$4-Resumen_Sprints!$E$6),0)</f>
        <v>0</v>
      </c>
      <c r="CQ10" s="23">
        <f t="array" ref="CQ10">IF(AND(CQ$4&gt;Resumen_Sprints!$E$6,CQ$4&lt;=Resumen_Sprints!$E$6+Resumen_Sprints!$D$6),INDEX('Sprint N°1'!$C$10:$I$10,CQ$4-Resumen_Sprints!$E$6),0)</f>
        <v>0</v>
      </c>
      <c r="CR10" s="23">
        <f t="array" ref="CR10">IF(AND(CR$4&gt;Resumen_Sprints!$E$6,CR$4&lt;=Resumen_Sprints!$E$6+Resumen_Sprints!$D$6),INDEX('Sprint N°1'!$C$10:$I$10,CR$4-Resumen_Sprints!$E$6),0)</f>
        <v>0</v>
      </c>
      <c r="CS10" s="23">
        <f t="array" ref="CS10">IF(AND(CS$4&gt;Resumen_Sprints!$E$6,CS$4&lt;=Resumen_Sprints!$E$6+Resumen_Sprints!$D$6),INDEX('Sprint N°1'!$C$10:$I$10,CS$4-Resumen_Sprints!$E$6),0)</f>
        <v>0</v>
      </c>
      <c r="CT10" s="23">
        <f t="array" ref="CT10">IF(AND(CT$4&gt;Resumen_Sprints!$E$6,CT$4&lt;=Resumen_Sprints!$E$6+Resumen_Sprints!$D$6),INDEX('Sprint N°1'!$C$10:$I$10,CT$4-Resumen_Sprints!$E$6),0)</f>
        <v>0</v>
      </c>
      <c r="CU10" s="25">
        <f t="shared" si="1"/>
        <v>8</v>
      </c>
    </row>
    <row r="11" ht="14.25" customHeight="1">
      <c r="A11" s="9" t="str">
        <f>"Sprint N°"&amp;Resumen_Sprints!A7&amp;" – "&amp;Resumen_Sprints!B7</f>
        <v>Sprint N°2 – Fase Diseño</v>
      </c>
      <c r="B11" s="10">
        <f>SUM(B12:B17)</f>
        <v>98</v>
      </c>
      <c r="C11" s="26"/>
      <c r="CU11" s="27"/>
    </row>
    <row r="12" ht="14.25" customHeight="1">
      <c r="A12" s="11" t="str">
        <f>'Sprint N°2'!A6</f>
        <v>Captura de Requerimientos Específicos (Historias de Usuario)</v>
      </c>
      <c r="B12" s="11">
        <f>'Sprint N°2'!B6</f>
        <v>16</v>
      </c>
      <c r="C12" s="23">
        <f t="array" ref="C12">IF(AND(C$4&gt;Resumen_Sprints!$E$7,C$4&lt;=Resumen_Sprints!$E$7+Resumen_Sprints!$D$7),INDEX('Sprint N°2'!$C$6:$O$6,C$4-Resumen_Sprints!$E$7),0)</f>
        <v>0</v>
      </c>
      <c r="D12" s="23">
        <f t="array" ref="D12">IF(AND(D$4&gt;Resumen_Sprints!$E$7,D$4&lt;=Resumen_Sprints!$E$7+Resumen_Sprints!$D$7),INDEX('Sprint N°2'!$C$6:$O$6,D$4-Resumen_Sprints!$E$7),0)</f>
        <v>0</v>
      </c>
      <c r="E12" s="23">
        <f t="array" ref="E12">IF(AND(E$4&gt;Resumen_Sprints!$E$7,E$4&lt;=Resumen_Sprints!$E$7+Resumen_Sprints!$D$7),INDEX('Sprint N°2'!$C$6:$O$6,E$4-Resumen_Sprints!$E$7),0)</f>
        <v>0</v>
      </c>
      <c r="F12" s="23">
        <f t="array" ref="F12">IF(AND(F$4&gt;Resumen_Sprints!$E$7,F$4&lt;=Resumen_Sprints!$E$7+Resumen_Sprints!$D$7),INDEX('Sprint N°2'!$C$6:$O$6,F$4-Resumen_Sprints!$E$7),0)</f>
        <v>0</v>
      </c>
      <c r="G12" s="23">
        <f t="array" ref="G12">IF(AND(G$4&gt;Resumen_Sprints!$E$7,G$4&lt;=Resumen_Sprints!$E$7+Resumen_Sprints!$D$7),INDEX('Sprint N°2'!$C$6:$O$6,G$4-Resumen_Sprints!$E$7),0)</f>
        <v>0</v>
      </c>
      <c r="H12" s="23">
        <f t="array" ref="H12">IF(AND(H$4&gt;Resumen_Sprints!$E$7,H$4&lt;=Resumen_Sprints!$E$7+Resumen_Sprints!$D$7),INDEX('Sprint N°2'!$C$6:$O$6,H$4-Resumen_Sprints!$E$7),0)</f>
        <v>0</v>
      </c>
      <c r="I12" s="23">
        <f t="array" ref="I12">IF(AND(I$4&gt;Resumen_Sprints!$E$7,I$4&lt;=Resumen_Sprints!$E$7+Resumen_Sprints!$D$7),INDEX('Sprint N°2'!$C$6:$O$6,I$4-Resumen_Sprints!$E$7),0)</f>
        <v>0</v>
      </c>
      <c r="J12" s="23">
        <f t="array" ref="J12">IF(AND(J$4&gt;Resumen_Sprints!$E$7,J$4&lt;=Resumen_Sprints!$E$7+Resumen_Sprints!$D$7),INDEX('Sprint N°2'!$C$6:$O$6,J$4-Resumen_Sprints!$E$7),0)</f>
        <v>7</v>
      </c>
      <c r="K12" s="23">
        <f t="array" ref="K12">IF(AND(K$4&gt;Resumen_Sprints!$E$7,K$4&lt;=Resumen_Sprints!$E$7+Resumen_Sprints!$D$7),INDEX('Sprint N°2'!$C$6:$O$6,K$4-Resumen_Sprints!$E$7),0)</f>
        <v>6</v>
      </c>
      <c r="L12" s="23">
        <f t="array" ref="L12">IF(AND(L$4&gt;Resumen_Sprints!$E$7,L$4&lt;=Resumen_Sprints!$E$7+Resumen_Sprints!$D$7),INDEX('Sprint N°2'!$C$6:$O$6,L$4-Resumen_Sprints!$E$7),0)</f>
        <v>3</v>
      </c>
      <c r="M12" s="23" t="str">
        <f t="array" ref="M12">IF(AND(M$4&gt;Resumen_Sprints!$E$7,M$4&lt;=Resumen_Sprints!$E$7+Resumen_Sprints!$D$7),INDEX('Sprint N°2'!$C$6:$O$6,M$4-Resumen_Sprints!$E$7),0)</f>
        <v/>
      </c>
      <c r="N12" s="23" t="str">
        <f t="array" ref="N12">IF(AND(N$4&gt;Resumen_Sprints!$E$7,N$4&lt;=Resumen_Sprints!$E$7+Resumen_Sprints!$D$7),INDEX('Sprint N°2'!$C$6:$O$6,N$4-Resumen_Sprints!$E$7),0)</f>
        <v/>
      </c>
      <c r="O12" s="23" t="str">
        <f t="array" ref="O12">IF(AND(O$4&gt;Resumen_Sprints!$E$7,O$4&lt;=Resumen_Sprints!$E$7+Resumen_Sprints!$D$7),INDEX('Sprint N°2'!$C$6:$O$6,O$4-Resumen_Sprints!$E$7),0)</f>
        <v/>
      </c>
      <c r="P12" s="23" t="str">
        <f t="array" ref="P12">IF(AND(P$4&gt;Resumen_Sprints!$E$7,P$4&lt;=Resumen_Sprints!$E$7+Resumen_Sprints!$D$7),INDEX('Sprint N°2'!$C$6:$O$6,P$4-Resumen_Sprints!$E$7),0)</f>
        <v/>
      </c>
      <c r="Q12" s="23" t="str">
        <f t="array" ref="Q12">IF(AND(Q$4&gt;Resumen_Sprints!$E$7,Q$4&lt;=Resumen_Sprints!$E$7+Resumen_Sprints!$D$7),INDEX('Sprint N°2'!$C$6:$O$6,Q$4-Resumen_Sprints!$E$7),0)</f>
        <v/>
      </c>
      <c r="R12" s="23" t="str">
        <f t="array" ref="R12">IF(AND(R$4&gt;Resumen_Sprints!$E$7,R$4&lt;=Resumen_Sprints!$E$7+Resumen_Sprints!$D$7),INDEX('Sprint N°2'!$C$6:$O$6,R$4-Resumen_Sprints!$E$7),0)</f>
        <v/>
      </c>
      <c r="S12" s="23" t="str">
        <f t="array" ref="S12">IF(AND(S$4&gt;Resumen_Sprints!$E$7,S$4&lt;=Resumen_Sprints!$E$7+Resumen_Sprints!$D$7),INDEX('Sprint N°2'!$C$6:$O$6,S$4-Resumen_Sprints!$E$7),0)</f>
        <v/>
      </c>
      <c r="T12" s="23" t="str">
        <f t="array" ref="T12">IF(AND(T$4&gt;Resumen_Sprints!$E$7,T$4&lt;=Resumen_Sprints!$E$7+Resumen_Sprints!$D$7),INDEX('Sprint N°2'!$C$6:$O$6,T$4-Resumen_Sprints!$E$7),0)</f>
        <v/>
      </c>
      <c r="U12" s="23" t="str">
        <f t="array" ref="U12">IF(AND(U$4&gt;Resumen_Sprints!$E$7,U$4&lt;=Resumen_Sprints!$E$7+Resumen_Sprints!$D$7),INDEX('Sprint N°2'!$C$6:$O$6,U$4-Resumen_Sprints!$E$7),0)</f>
        <v/>
      </c>
      <c r="V12" s="23" t="str">
        <f t="array" ref="V12">IF(AND(V$4&gt;Resumen_Sprints!$E$7,V$4&lt;=Resumen_Sprints!$E$7+Resumen_Sprints!$D$7),INDEX('Sprint N°2'!$C$6:$O$6,V$4-Resumen_Sprints!$E$7),0)</f>
        <v/>
      </c>
      <c r="W12" s="23">
        <f t="array" ref="W12">IF(AND(W$4&gt;Resumen_Sprints!$E$7,W$4&lt;=Resumen_Sprints!$E$7+Resumen_Sprints!$D$7),INDEX('Sprint N°2'!$C$6:$O$6,W$4-Resumen_Sprints!$E$7),0)</f>
        <v>0</v>
      </c>
      <c r="X12" s="23">
        <f t="array" ref="X12">IF(AND(X$4&gt;Resumen_Sprints!$E$7,X$4&lt;=Resumen_Sprints!$E$7+Resumen_Sprints!$D$7),INDEX('Sprint N°2'!$C$6:$O$6,X$4-Resumen_Sprints!$E$7),0)</f>
        <v>0</v>
      </c>
      <c r="Y12" s="23">
        <f t="array" ref="Y12">IF(AND(Y$4&gt;Resumen_Sprints!$E$7,Y$4&lt;=Resumen_Sprints!$E$7+Resumen_Sprints!$D$7),INDEX('Sprint N°2'!$C$6:$O$6,Y$4-Resumen_Sprints!$E$7),0)</f>
        <v>0</v>
      </c>
      <c r="Z12" s="23">
        <f t="array" ref="Z12">IF(AND(Z$4&gt;Resumen_Sprints!$E$7,Z$4&lt;=Resumen_Sprints!$E$7+Resumen_Sprints!$D$7),INDEX('Sprint N°2'!$C$6:$O$6,Z$4-Resumen_Sprints!$E$7),0)</f>
        <v>0</v>
      </c>
      <c r="AA12" s="23">
        <f t="array" ref="AA12">IF(AND(AA$4&gt;Resumen_Sprints!$E$7,AA$4&lt;=Resumen_Sprints!$E$7+Resumen_Sprints!$D$7),INDEX('Sprint N°2'!$C$6:$O$6,AA$4-Resumen_Sprints!$E$7),0)</f>
        <v>0</v>
      </c>
      <c r="AB12" s="23">
        <f t="array" ref="AB12">IF(AND(AB$4&gt;Resumen_Sprints!$E$7,AB$4&lt;=Resumen_Sprints!$E$7+Resumen_Sprints!$D$7),INDEX('Sprint N°2'!$C$6:$O$6,AB$4-Resumen_Sprints!$E$7),0)</f>
        <v>0</v>
      </c>
      <c r="AC12" s="23">
        <f t="array" ref="AC12">IF(AND(AC$4&gt;Resumen_Sprints!$E$7,AC$4&lt;=Resumen_Sprints!$E$7+Resumen_Sprints!$D$7),INDEX('Sprint N°2'!$C$6:$O$6,AC$4-Resumen_Sprints!$E$7),0)</f>
        <v>0</v>
      </c>
      <c r="AD12" s="23">
        <f t="array" ref="AD12">IF(AND(AD$4&gt;Resumen_Sprints!$E$7,AD$4&lt;=Resumen_Sprints!$E$7+Resumen_Sprints!$D$7),INDEX('Sprint N°2'!$C$6:$O$6,AD$4-Resumen_Sprints!$E$7),0)</f>
        <v>0</v>
      </c>
      <c r="AE12" s="23">
        <f t="array" ref="AE12">IF(AND(AE$4&gt;Resumen_Sprints!$E$7,AE$4&lt;=Resumen_Sprints!$E$7+Resumen_Sprints!$D$7),INDEX('Sprint N°2'!$C$6:$O$6,AE$4-Resumen_Sprints!$E$7),0)</f>
        <v>0</v>
      </c>
      <c r="AF12" s="23">
        <f t="array" ref="AF12">IF(AND(AF$4&gt;Resumen_Sprints!$E$7,AF$4&lt;=Resumen_Sprints!$E$7+Resumen_Sprints!$D$7),INDEX('Sprint N°2'!$C$6:$O$6,AF$4-Resumen_Sprints!$E$7),0)</f>
        <v>0</v>
      </c>
      <c r="AG12" s="23">
        <f t="array" ref="AG12">IF(AND(AG$4&gt;Resumen_Sprints!$E$7,AG$4&lt;=Resumen_Sprints!$E$7+Resumen_Sprints!$D$7),INDEX('Sprint N°2'!$C$6:$O$6,AG$4-Resumen_Sprints!$E$7),0)</f>
        <v>0</v>
      </c>
      <c r="AH12" s="23">
        <f t="array" ref="AH12">IF(AND(AH$4&gt;Resumen_Sprints!$E$7,AH$4&lt;=Resumen_Sprints!$E$7+Resumen_Sprints!$D$7),INDEX('Sprint N°2'!$C$6:$O$6,AH$4-Resumen_Sprints!$E$7),0)</f>
        <v>0</v>
      </c>
      <c r="AI12" s="23">
        <f t="array" ref="AI12">IF(AND(AI$4&gt;Resumen_Sprints!$E$7,AI$4&lt;=Resumen_Sprints!$E$7+Resumen_Sprints!$D$7),INDEX('Sprint N°2'!$C$6:$O$6,AI$4-Resumen_Sprints!$E$7),0)</f>
        <v>0</v>
      </c>
      <c r="AJ12" s="23">
        <f t="array" ref="AJ12">IF(AND(AJ$4&gt;Resumen_Sprints!$E$7,AJ$4&lt;=Resumen_Sprints!$E$7+Resumen_Sprints!$D$7),INDEX('Sprint N°2'!$C$6:$O$6,AJ$4-Resumen_Sprints!$E$7),0)</f>
        <v>0</v>
      </c>
      <c r="AK12" s="23">
        <f t="array" ref="AK12">IF(AND(AK$4&gt;Resumen_Sprints!$E$7,AK$4&lt;=Resumen_Sprints!$E$7+Resumen_Sprints!$D$7),INDEX('Sprint N°2'!$C$6:$O$6,AK$4-Resumen_Sprints!$E$7),0)</f>
        <v>0</v>
      </c>
      <c r="AL12" s="23">
        <f t="array" ref="AL12">IF(AND(AL$4&gt;Resumen_Sprints!$E$7,AL$4&lt;=Resumen_Sprints!$E$7+Resumen_Sprints!$D$7),INDEX('Sprint N°2'!$C$6:$O$6,AL$4-Resumen_Sprints!$E$7),0)</f>
        <v>0</v>
      </c>
      <c r="AM12" s="23">
        <f t="array" ref="AM12">IF(AND(AM$4&gt;Resumen_Sprints!$E$7,AM$4&lt;=Resumen_Sprints!$E$7+Resumen_Sprints!$D$7),INDEX('Sprint N°2'!$C$6:$O$6,AM$4-Resumen_Sprints!$E$7),0)</f>
        <v>0</v>
      </c>
      <c r="AN12" s="23">
        <f t="array" ref="AN12">IF(AND(AN$4&gt;Resumen_Sprints!$E$7,AN$4&lt;=Resumen_Sprints!$E$7+Resumen_Sprints!$D$7),INDEX('Sprint N°2'!$C$6:$O$6,AN$4-Resumen_Sprints!$E$7),0)</f>
        <v>0</v>
      </c>
      <c r="AO12" s="23">
        <f t="array" ref="AO12">IF(AND(AO$4&gt;Resumen_Sprints!$E$7,AO$4&lt;=Resumen_Sprints!$E$7+Resumen_Sprints!$D$7),INDEX('Sprint N°2'!$C$6:$O$6,AO$4-Resumen_Sprints!$E$7),0)</f>
        <v>0</v>
      </c>
      <c r="AP12" s="23">
        <f t="array" ref="AP12">IF(AND(AP$4&gt;Resumen_Sprints!$E$7,AP$4&lt;=Resumen_Sprints!$E$7+Resumen_Sprints!$D$7),INDEX('Sprint N°2'!$C$6:$O$6,AP$4-Resumen_Sprints!$E$7),0)</f>
        <v>0</v>
      </c>
      <c r="AQ12" s="23">
        <f t="array" ref="AQ12">IF(AND(AQ$4&gt;Resumen_Sprints!$E$7,AQ$4&lt;=Resumen_Sprints!$E$7+Resumen_Sprints!$D$7),INDEX('Sprint N°2'!$C$6:$O$6,AQ$4-Resumen_Sprints!$E$7),0)</f>
        <v>0</v>
      </c>
      <c r="AR12" s="23">
        <f t="array" ref="AR12">IF(AND(AR$4&gt;Resumen_Sprints!$E$7,AR$4&lt;=Resumen_Sprints!$E$7+Resumen_Sprints!$D$7),INDEX('Sprint N°2'!$C$6:$O$6,AR$4-Resumen_Sprints!$E$7),0)</f>
        <v>0</v>
      </c>
      <c r="AS12" s="23">
        <f t="array" ref="AS12">IF(AND(AS$4&gt;Resumen_Sprints!$E$7,AS$4&lt;=Resumen_Sprints!$E$7+Resumen_Sprints!$D$7),INDEX('Sprint N°2'!$C$6:$O$6,AS$4-Resumen_Sprints!$E$7),0)</f>
        <v>0</v>
      </c>
      <c r="AT12" s="23">
        <f t="array" ref="AT12">IF(AND(AT$4&gt;Resumen_Sprints!$E$7,AT$4&lt;=Resumen_Sprints!$E$7+Resumen_Sprints!$D$7),INDEX('Sprint N°2'!$C$6:$O$6,AT$4-Resumen_Sprints!$E$7),0)</f>
        <v>0</v>
      </c>
      <c r="AU12" s="23">
        <f t="array" ref="AU12">IF(AND(AU$4&gt;Resumen_Sprints!$E$7,AU$4&lt;=Resumen_Sprints!$E$7+Resumen_Sprints!$D$7),INDEX('Sprint N°2'!$C$6:$O$6,AU$4-Resumen_Sprints!$E$7),0)</f>
        <v>0</v>
      </c>
      <c r="AV12" s="23">
        <f t="array" ref="AV12">IF(AND(AV$4&gt;Resumen_Sprints!$E$7,AV$4&lt;=Resumen_Sprints!$E$7+Resumen_Sprints!$D$7),INDEX('Sprint N°2'!$C$6:$O$6,AV$4-Resumen_Sprints!$E$7),0)</f>
        <v>0</v>
      </c>
      <c r="AW12" s="23">
        <f t="array" ref="AW12">IF(AND(AW$4&gt;Resumen_Sprints!$E$7,AW$4&lt;=Resumen_Sprints!$E$7+Resumen_Sprints!$D$7),INDEX('Sprint N°2'!$C$6:$O$6,AW$4-Resumen_Sprints!$E$7),0)</f>
        <v>0</v>
      </c>
      <c r="AX12" s="23">
        <f t="array" ref="AX12">IF(AND(AX$4&gt;Resumen_Sprints!$E$7,AX$4&lt;=Resumen_Sprints!$E$7+Resumen_Sprints!$D$7),INDEX('Sprint N°2'!$C$6:$O$6,AX$4-Resumen_Sprints!$E$7),0)</f>
        <v>0</v>
      </c>
      <c r="AY12" s="23">
        <f t="array" ref="AY12">IF(AND(AY$4&gt;Resumen_Sprints!$E$7,AY$4&lt;=Resumen_Sprints!$E$7+Resumen_Sprints!$D$7),INDEX('Sprint N°2'!$C$6:$O$6,AY$4-Resumen_Sprints!$E$7),0)</f>
        <v>0</v>
      </c>
      <c r="AZ12" s="23">
        <f t="array" ref="AZ12">IF(AND(AZ$4&gt;Resumen_Sprints!$E$7,AZ$4&lt;=Resumen_Sprints!$E$7+Resumen_Sprints!$D$7),INDEX('Sprint N°2'!$C$6:$O$6,AZ$4-Resumen_Sprints!$E$7),0)</f>
        <v>0</v>
      </c>
      <c r="BA12" s="23">
        <f t="array" ref="BA12">IF(AND(BA$4&gt;Resumen_Sprints!$E$7,BA$4&lt;=Resumen_Sprints!$E$7+Resumen_Sprints!$D$7),INDEX('Sprint N°2'!$C$6:$O$6,BA$4-Resumen_Sprints!$E$7),0)</f>
        <v>0</v>
      </c>
      <c r="BB12" s="23">
        <f t="array" ref="BB12">IF(AND(BB$4&gt;Resumen_Sprints!$E$7,BB$4&lt;=Resumen_Sprints!$E$7+Resumen_Sprints!$D$7),INDEX('Sprint N°2'!$C$6:$O$6,BB$4-Resumen_Sprints!$E$7),0)</f>
        <v>0</v>
      </c>
      <c r="BC12" s="23">
        <f t="array" ref="BC12">IF(AND(BC$4&gt;Resumen_Sprints!$E$7,BC$4&lt;=Resumen_Sprints!$E$7+Resumen_Sprints!$D$7),INDEX('Sprint N°2'!$C$6:$O$6,BC$4-Resumen_Sprints!$E$7),0)</f>
        <v>0</v>
      </c>
      <c r="BD12" s="23">
        <f t="array" ref="BD12">IF(AND(BD$4&gt;Resumen_Sprints!$E$7,BD$4&lt;=Resumen_Sprints!$E$7+Resumen_Sprints!$D$7),INDEX('Sprint N°2'!$C$6:$O$6,BD$4-Resumen_Sprints!$E$7),0)</f>
        <v>0</v>
      </c>
      <c r="BE12" s="23">
        <f t="array" ref="BE12">IF(AND(BE$4&gt;Resumen_Sprints!$E$7,BE$4&lt;=Resumen_Sprints!$E$7+Resumen_Sprints!$D$7),INDEX('Sprint N°2'!$C$6:$O$6,BE$4-Resumen_Sprints!$E$7),0)</f>
        <v>0</v>
      </c>
      <c r="BF12" s="23">
        <f t="array" ref="BF12">IF(AND(BF$4&gt;Resumen_Sprints!$E$7,BF$4&lt;=Resumen_Sprints!$E$7+Resumen_Sprints!$D$7),INDEX('Sprint N°2'!$C$6:$O$6,BF$4-Resumen_Sprints!$E$7),0)</f>
        <v>0</v>
      </c>
      <c r="BG12" s="23">
        <f t="array" ref="BG12">IF(AND(BG$4&gt;Resumen_Sprints!$E$7,BG$4&lt;=Resumen_Sprints!$E$7+Resumen_Sprints!$D$7),INDEX('Sprint N°2'!$C$6:$O$6,BG$4-Resumen_Sprints!$E$7),0)</f>
        <v>0</v>
      </c>
      <c r="BH12" s="23">
        <f t="array" ref="BH12">IF(AND(BH$4&gt;Resumen_Sprints!$E$7,BH$4&lt;=Resumen_Sprints!$E$7+Resumen_Sprints!$D$7),INDEX('Sprint N°2'!$C$6:$O$6,BH$4-Resumen_Sprints!$E$7),0)</f>
        <v>0</v>
      </c>
      <c r="BI12" s="23">
        <f t="array" ref="BI12">IF(AND(BI$4&gt;Resumen_Sprints!$E$7,BI$4&lt;=Resumen_Sprints!$E$7+Resumen_Sprints!$D$7),INDEX('Sprint N°2'!$C$6:$O$6,BI$4-Resumen_Sprints!$E$7),0)</f>
        <v>0</v>
      </c>
      <c r="BJ12" s="23">
        <f t="array" ref="BJ12">IF(AND(BJ$4&gt;Resumen_Sprints!$E$7,BJ$4&lt;=Resumen_Sprints!$E$7+Resumen_Sprints!$D$7),INDEX('Sprint N°2'!$C$6:$O$6,BJ$4-Resumen_Sprints!$E$7),0)</f>
        <v>0</v>
      </c>
      <c r="BK12" s="23">
        <f t="array" ref="BK12">IF(AND(BK$4&gt;Resumen_Sprints!$E$7,BK$4&lt;=Resumen_Sprints!$E$7+Resumen_Sprints!$D$7),INDEX('Sprint N°2'!$C$6:$O$6,BK$4-Resumen_Sprints!$E$7),0)</f>
        <v>0</v>
      </c>
      <c r="BL12" s="23">
        <f t="array" ref="BL12">IF(AND(BL$4&gt;Resumen_Sprints!$E$7,BL$4&lt;=Resumen_Sprints!$E$7+Resumen_Sprints!$D$7),INDEX('Sprint N°2'!$C$6:$O$6,BL$4-Resumen_Sprints!$E$7),0)</f>
        <v>0</v>
      </c>
      <c r="BM12" s="23">
        <f t="array" ref="BM12">IF(AND(BM$4&gt;Resumen_Sprints!$E$7,BM$4&lt;=Resumen_Sprints!$E$7+Resumen_Sprints!$D$7),INDEX('Sprint N°2'!$C$6:$O$6,BM$4-Resumen_Sprints!$E$7),0)</f>
        <v>0</v>
      </c>
      <c r="BN12" s="23">
        <f t="array" ref="BN12">IF(AND(BN$4&gt;Resumen_Sprints!$E$7,BN$4&lt;=Resumen_Sprints!$E$7+Resumen_Sprints!$D$7),INDEX('Sprint N°2'!$C$6:$O$6,BN$4-Resumen_Sprints!$E$7),0)</f>
        <v>0</v>
      </c>
      <c r="BO12" s="23">
        <f t="array" ref="BO12">IF(AND(BO$4&gt;Resumen_Sprints!$E$7,BO$4&lt;=Resumen_Sprints!$E$7+Resumen_Sprints!$D$7),INDEX('Sprint N°2'!$C$6:$O$6,BO$4-Resumen_Sprints!$E$7),0)</f>
        <v>0</v>
      </c>
      <c r="BP12" s="23">
        <f t="array" ref="BP12">IF(AND(BP$4&gt;Resumen_Sprints!$E$7,BP$4&lt;=Resumen_Sprints!$E$7+Resumen_Sprints!$D$7),INDEX('Sprint N°2'!$C$6:$O$6,BP$4-Resumen_Sprints!$E$7),0)</f>
        <v>0</v>
      </c>
      <c r="BQ12" s="23">
        <f t="array" ref="BQ12">IF(AND(BQ$4&gt;Resumen_Sprints!$E$7,BQ$4&lt;=Resumen_Sprints!$E$7+Resumen_Sprints!$D$7),INDEX('Sprint N°2'!$C$6:$O$6,BQ$4-Resumen_Sprints!$E$7),0)</f>
        <v>0</v>
      </c>
      <c r="BR12" s="23">
        <f t="array" ref="BR12">IF(AND(BR$4&gt;Resumen_Sprints!$E$7,BR$4&lt;=Resumen_Sprints!$E$7+Resumen_Sprints!$D$7),INDEX('Sprint N°2'!$C$6:$O$6,BR$4-Resumen_Sprints!$E$7),0)</f>
        <v>0</v>
      </c>
      <c r="BS12" s="23">
        <f t="array" ref="BS12">IF(AND(BS$4&gt;Resumen_Sprints!$E$7,BS$4&lt;=Resumen_Sprints!$E$7+Resumen_Sprints!$D$7),INDEX('Sprint N°2'!$C$6:$O$6,BS$4-Resumen_Sprints!$E$7),0)</f>
        <v>0</v>
      </c>
      <c r="BT12" s="23">
        <f t="array" ref="BT12">IF(AND(BT$4&gt;Resumen_Sprints!$E$7,BT$4&lt;=Resumen_Sprints!$E$7+Resumen_Sprints!$D$7),INDEX('Sprint N°2'!$C$6:$O$6,BT$4-Resumen_Sprints!$E$7),0)</f>
        <v>0</v>
      </c>
      <c r="BU12" s="23">
        <f t="array" ref="BU12">IF(AND(BU$4&gt;Resumen_Sprints!$E$7,BU$4&lt;=Resumen_Sprints!$E$7+Resumen_Sprints!$D$7),INDEX('Sprint N°2'!$C$6:$O$6,BU$4-Resumen_Sprints!$E$7),0)</f>
        <v>0</v>
      </c>
      <c r="BV12" s="23">
        <f t="array" ref="BV12">IF(AND(BV$4&gt;Resumen_Sprints!$E$7,BV$4&lt;=Resumen_Sprints!$E$7+Resumen_Sprints!$D$7),INDEX('Sprint N°2'!$C$6:$O$6,BV$4-Resumen_Sprints!$E$7),0)</f>
        <v>0</v>
      </c>
      <c r="BW12" s="23">
        <f t="array" ref="BW12">IF(AND(BW$4&gt;Resumen_Sprints!$E$7,BW$4&lt;=Resumen_Sprints!$E$7+Resumen_Sprints!$D$7),INDEX('Sprint N°2'!$C$6:$O$6,BW$4-Resumen_Sprints!$E$7),0)</f>
        <v>0</v>
      </c>
      <c r="BX12" s="23">
        <f t="array" ref="BX12">IF(AND(BX$4&gt;Resumen_Sprints!$E$7,BX$4&lt;=Resumen_Sprints!$E$7+Resumen_Sprints!$D$7),INDEX('Sprint N°2'!$C$6:$O$6,BX$4-Resumen_Sprints!$E$7),0)</f>
        <v>0</v>
      </c>
      <c r="BY12" s="23">
        <f t="array" ref="BY12">IF(AND(BY$4&gt;Resumen_Sprints!$E$7,BY$4&lt;=Resumen_Sprints!$E$7+Resumen_Sprints!$D$7),INDEX('Sprint N°2'!$C$6:$O$6,BY$4-Resumen_Sprints!$E$7),0)</f>
        <v>0</v>
      </c>
      <c r="BZ12" s="23">
        <f t="array" ref="BZ12">IF(AND(BZ$4&gt;Resumen_Sprints!$E$7,BZ$4&lt;=Resumen_Sprints!$E$7+Resumen_Sprints!$D$7),INDEX('Sprint N°2'!$C$6:$O$6,BZ$4-Resumen_Sprints!$E$7),0)</f>
        <v>0</v>
      </c>
      <c r="CA12" s="23">
        <f t="array" ref="CA12">IF(AND(CA$4&gt;Resumen_Sprints!$E$7,CA$4&lt;=Resumen_Sprints!$E$7+Resumen_Sprints!$D$7),INDEX('Sprint N°2'!$C$6:$O$6,CA$4-Resumen_Sprints!$E$7),0)</f>
        <v>0</v>
      </c>
      <c r="CB12" s="23">
        <f t="array" ref="CB12">IF(AND(CB$4&gt;Resumen_Sprints!$E$7,CB$4&lt;=Resumen_Sprints!$E$7+Resumen_Sprints!$D$7),INDEX('Sprint N°2'!$C$6:$O$6,CB$4-Resumen_Sprints!$E$7),0)</f>
        <v>0</v>
      </c>
      <c r="CC12" s="23">
        <f t="array" ref="CC12">IF(AND(CC$4&gt;Resumen_Sprints!$E$7,CC$4&lt;=Resumen_Sprints!$E$7+Resumen_Sprints!$D$7),INDEX('Sprint N°2'!$C$6:$O$6,CC$4-Resumen_Sprints!$E$7),0)</f>
        <v>0</v>
      </c>
      <c r="CD12" s="23">
        <f t="array" ref="CD12">IF(AND(CD$4&gt;Resumen_Sprints!$E$7,CD$4&lt;=Resumen_Sprints!$E$7+Resumen_Sprints!$D$7),INDEX('Sprint N°2'!$C$6:$O$6,CD$4-Resumen_Sprints!$E$7),0)</f>
        <v>0</v>
      </c>
      <c r="CE12" s="23">
        <f t="array" ref="CE12">IF(AND(CE$4&gt;Resumen_Sprints!$E$7,CE$4&lt;=Resumen_Sprints!$E$7+Resumen_Sprints!$D$7),INDEX('Sprint N°2'!$C$6:$O$6,CE$4-Resumen_Sprints!$E$7),0)</f>
        <v>0</v>
      </c>
      <c r="CF12" s="23">
        <f t="array" ref="CF12">IF(AND(CF$4&gt;Resumen_Sprints!$E$7,CF$4&lt;=Resumen_Sprints!$E$7+Resumen_Sprints!$D$7),INDEX('Sprint N°2'!$C$6:$O$6,CF$4-Resumen_Sprints!$E$7),0)</f>
        <v>0</v>
      </c>
      <c r="CG12" s="23">
        <f t="array" ref="CG12">IF(AND(CG$4&gt;Resumen_Sprints!$E$7,CG$4&lt;=Resumen_Sprints!$E$7+Resumen_Sprints!$D$7),INDEX('Sprint N°2'!$C$6:$O$6,CG$4-Resumen_Sprints!$E$7),0)</f>
        <v>0</v>
      </c>
      <c r="CH12" s="23">
        <f t="array" ref="CH12">IF(AND(CH$4&gt;Resumen_Sprints!$E$7,CH$4&lt;=Resumen_Sprints!$E$7+Resumen_Sprints!$D$7),INDEX('Sprint N°2'!$C$6:$O$6,CH$4-Resumen_Sprints!$E$7),0)</f>
        <v>0</v>
      </c>
      <c r="CI12" s="23">
        <f t="array" ref="CI12">IF(AND(CI$4&gt;Resumen_Sprints!$E$7,CI$4&lt;=Resumen_Sprints!$E$7+Resumen_Sprints!$D$7),INDEX('Sprint N°2'!$C$6:$O$6,CI$4-Resumen_Sprints!$E$7),0)</f>
        <v>0</v>
      </c>
      <c r="CJ12" s="23">
        <f t="array" ref="CJ12">IF(AND(CJ$4&gt;Resumen_Sprints!$E$7,CJ$4&lt;=Resumen_Sprints!$E$7+Resumen_Sprints!$D$7),INDEX('Sprint N°2'!$C$6:$O$6,CJ$4-Resumen_Sprints!$E$7),0)</f>
        <v>0</v>
      </c>
      <c r="CK12" s="23">
        <f t="array" ref="CK12">IF(AND(CK$4&gt;Resumen_Sprints!$E$7,CK$4&lt;=Resumen_Sprints!$E$7+Resumen_Sprints!$D$7),INDEX('Sprint N°2'!$C$6:$O$6,CK$4-Resumen_Sprints!$E$7),0)</f>
        <v>0</v>
      </c>
      <c r="CL12" s="23">
        <f t="array" ref="CL12">IF(AND(CL$4&gt;Resumen_Sprints!$E$7,CL$4&lt;=Resumen_Sprints!$E$7+Resumen_Sprints!$D$7),INDEX('Sprint N°2'!$C$6:$O$6,CL$4-Resumen_Sprints!$E$7),0)</f>
        <v>0</v>
      </c>
      <c r="CM12" s="23">
        <f t="array" ref="CM12">IF(AND(CM$4&gt;Resumen_Sprints!$E$7,CM$4&lt;=Resumen_Sprints!$E$7+Resumen_Sprints!$D$7),INDEX('Sprint N°2'!$C$6:$O$6,CM$4-Resumen_Sprints!$E$7),0)</f>
        <v>0</v>
      </c>
      <c r="CN12" s="23">
        <f t="array" ref="CN12">IF(AND(CN$4&gt;Resumen_Sprints!$E$7,CN$4&lt;=Resumen_Sprints!$E$7+Resumen_Sprints!$D$7),INDEX('Sprint N°2'!$C$6:$O$6,CN$4-Resumen_Sprints!$E$7),0)</f>
        <v>0</v>
      </c>
      <c r="CO12" s="23">
        <f t="array" ref="CO12">IF(AND(CO$4&gt;Resumen_Sprints!$E$7,CO$4&lt;=Resumen_Sprints!$E$7+Resumen_Sprints!$D$7),INDEX('Sprint N°2'!$C$6:$O$6,CO$4-Resumen_Sprints!$E$7),0)</f>
        <v>0</v>
      </c>
      <c r="CP12" s="23">
        <f t="array" ref="CP12">IF(AND(CP$4&gt;Resumen_Sprints!$E$7,CP$4&lt;=Resumen_Sprints!$E$7+Resumen_Sprints!$D$7),INDEX('Sprint N°2'!$C$6:$O$6,CP$4-Resumen_Sprints!$E$7),0)</f>
        <v>0</v>
      </c>
      <c r="CQ12" s="23">
        <f t="array" ref="CQ12">IF(AND(CQ$4&gt;Resumen_Sprints!$E$7,CQ$4&lt;=Resumen_Sprints!$E$7+Resumen_Sprints!$D$7),INDEX('Sprint N°2'!$C$6:$O$6,CQ$4-Resumen_Sprints!$E$7),0)</f>
        <v>0</v>
      </c>
      <c r="CR12" s="23">
        <f t="array" ref="CR12">IF(AND(CR$4&gt;Resumen_Sprints!$E$7,CR$4&lt;=Resumen_Sprints!$E$7+Resumen_Sprints!$D$7),INDEX('Sprint N°2'!$C$6:$O$6,CR$4-Resumen_Sprints!$E$7),0)</f>
        <v>0</v>
      </c>
      <c r="CS12" s="23">
        <f t="array" ref="CS12">IF(AND(CS$4&gt;Resumen_Sprints!$E$7,CS$4&lt;=Resumen_Sprints!$E$7+Resumen_Sprints!$D$7),INDEX('Sprint N°2'!$C$6:$O$6,CS$4-Resumen_Sprints!$E$7),0)</f>
        <v>0</v>
      </c>
      <c r="CT12" s="23">
        <f t="array" ref="CT12">IF(AND(CT$4&gt;Resumen_Sprints!$E$7,CT$4&lt;=Resumen_Sprints!$E$7+Resumen_Sprints!$D$7),INDEX('Sprint N°2'!$C$6:$O$6,CT$4-Resumen_Sprints!$E$7),0)</f>
        <v>0</v>
      </c>
      <c r="CU12" s="25">
        <f t="shared" ref="CU12:CU17" si="2">SUM(C12:CT12)</f>
        <v>16</v>
      </c>
    </row>
    <row r="13" ht="14.25" customHeight="1">
      <c r="A13" s="11" t="str">
        <f>'Sprint N°2'!A7</f>
        <v>Análisis de Requerimientos y Criterios de Aceptación</v>
      </c>
      <c r="B13" s="11">
        <f>'Sprint N°2'!B7</f>
        <v>14</v>
      </c>
      <c r="C13" s="23">
        <f t="array" ref="C13">IF(AND(C$4&gt;Resumen_Sprints!$E$7,C$4&lt;=Resumen_Sprints!$E$7+Resumen_Sprints!$D$7),INDEX('Sprint N°2'!$C$7:$O$7,C$4-Resumen_Sprints!$E$7),0)</f>
        <v>0</v>
      </c>
      <c r="D13" s="23">
        <f t="array" ref="D13">IF(AND(D$4&gt;Resumen_Sprints!$E$7,D$4&lt;=Resumen_Sprints!$E$7+Resumen_Sprints!$D$7),INDEX('Sprint N°2'!$C$7:$O$7,D$4-Resumen_Sprints!$E$7),0)</f>
        <v>0</v>
      </c>
      <c r="E13" s="23">
        <f t="array" ref="E13">IF(AND(E$4&gt;Resumen_Sprints!$E$7,E$4&lt;=Resumen_Sprints!$E$7+Resumen_Sprints!$D$7),INDEX('Sprint N°2'!$C$7:$O$7,E$4-Resumen_Sprints!$E$7),0)</f>
        <v>0</v>
      </c>
      <c r="F13" s="23">
        <f t="array" ref="F13">IF(AND(F$4&gt;Resumen_Sprints!$E$7,F$4&lt;=Resumen_Sprints!$E$7+Resumen_Sprints!$D$7),INDEX('Sprint N°2'!$C$7:$O$7,F$4-Resumen_Sprints!$E$7),0)</f>
        <v>0</v>
      </c>
      <c r="G13" s="23">
        <f t="array" ref="G13">IF(AND(G$4&gt;Resumen_Sprints!$E$7,G$4&lt;=Resumen_Sprints!$E$7+Resumen_Sprints!$D$7),INDEX('Sprint N°2'!$C$7:$O$7,G$4-Resumen_Sprints!$E$7),0)</f>
        <v>0</v>
      </c>
      <c r="H13" s="23">
        <f t="array" ref="H13">IF(AND(H$4&gt;Resumen_Sprints!$E$7,H$4&lt;=Resumen_Sprints!$E$7+Resumen_Sprints!$D$7),INDEX('Sprint N°2'!$C$7:$O$7,H$4-Resumen_Sprints!$E$7),0)</f>
        <v>0</v>
      </c>
      <c r="I13" s="23">
        <f t="array" ref="I13">IF(AND(I$4&gt;Resumen_Sprints!$E$7,I$4&lt;=Resumen_Sprints!$E$7+Resumen_Sprints!$D$7),INDEX('Sprint N°2'!$C$7:$O$7,I$4-Resumen_Sprints!$E$7),0)</f>
        <v>0</v>
      </c>
      <c r="J13" s="23" t="str">
        <f t="array" ref="J13">IF(AND(J$4&gt;Resumen_Sprints!$E$7,J$4&lt;=Resumen_Sprints!$E$7+Resumen_Sprints!$D$7),INDEX('Sprint N°2'!$C$7:$O$7,J$4-Resumen_Sprints!$E$7),0)</f>
        <v/>
      </c>
      <c r="K13" s="23" t="str">
        <f t="array" ref="K13">IF(AND(K$4&gt;Resumen_Sprints!$E$7,K$4&lt;=Resumen_Sprints!$E$7+Resumen_Sprints!$D$7),INDEX('Sprint N°2'!$C$7:$O$7,K$4-Resumen_Sprints!$E$7),0)</f>
        <v/>
      </c>
      <c r="L13" s="23">
        <f t="array" ref="L13">IF(AND(L$4&gt;Resumen_Sprints!$E$7,L$4&lt;=Resumen_Sprints!$E$7+Resumen_Sprints!$D$7),INDEX('Sprint N°2'!$C$7:$O$7,L$4-Resumen_Sprints!$E$7),0)</f>
        <v>4</v>
      </c>
      <c r="M13" s="23">
        <f t="array" ref="M13">IF(AND(M$4&gt;Resumen_Sprints!$E$7,M$4&lt;=Resumen_Sprints!$E$7+Resumen_Sprints!$D$7),INDEX('Sprint N°2'!$C$7:$O$7,M$4-Resumen_Sprints!$E$7),0)</f>
        <v>7</v>
      </c>
      <c r="N13" s="23">
        <f t="array" ref="N13">IF(AND(N$4&gt;Resumen_Sprints!$E$7,N$4&lt;=Resumen_Sprints!$E$7+Resumen_Sprints!$D$7),INDEX('Sprint N°2'!$C$7:$O$7,N$4-Resumen_Sprints!$E$7),0)</f>
        <v>3</v>
      </c>
      <c r="O13" s="23" t="str">
        <f t="array" ref="O13">IF(AND(O$4&gt;Resumen_Sprints!$E$7,O$4&lt;=Resumen_Sprints!$E$7+Resumen_Sprints!$D$7),INDEX('Sprint N°2'!$C$7:$O$7,O$4-Resumen_Sprints!$E$7),0)</f>
        <v/>
      </c>
      <c r="P13" s="23" t="str">
        <f t="array" ref="P13">IF(AND(P$4&gt;Resumen_Sprints!$E$7,P$4&lt;=Resumen_Sprints!$E$7+Resumen_Sprints!$D$7),INDEX('Sprint N°2'!$C$7:$O$7,P$4-Resumen_Sprints!$E$7),0)</f>
        <v/>
      </c>
      <c r="Q13" s="23" t="str">
        <f t="array" ref="Q13">IF(AND(Q$4&gt;Resumen_Sprints!$E$7,Q$4&lt;=Resumen_Sprints!$E$7+Resumen_Sprints!$D$7),INDEX('Sprint N°2'!$C$7:$O$7,Q$4-Resumen_Sprints!$E$7),0)</f>
        <v/>
      </c>
      <c r="R13" s="23" t="str">
        <f t="array" ref="R13">IF(AND(R$4&gt;Resumen_Sprints!$E$7,R$4&lt;=Resumen_Sprints!$E$7+Resumen_Sprints!$D$7),INDEX('Sprint N°2'!$C$7:$O$7,R$4-Resumen_Sprints!$E$7),0)</f>
        <v/>
      </c>
      <c r="S13" s="23" t="str">
        <f t="array" ref="S13">IF(AND(S$4&gt;Resumen_Sprints!$E$7,S$4&lt;=Resumen_Sprints!$E$7+Resumen_Sprints!$D$7),INDEX('Sprint N°2'!$C$7:$O$7,S$4-Resumen_Sprints!$E$7),0)</f>
        <v/>
      </c>
      <c r="T13" s="23" t="str">
        <f t="array" ref="T13">IF(AND(T$4&gt;Resumen_Sprints!$E$7,T$4&lt;=Resumen_Sprints!$E$7+Resumen_Sprints!$D$7),INDEX('Sprint N°2'!$C$7:$O$7,T$4-Resumen_Sprints!$E$7),0)</f>
        <v/>
      </c>
      <c r="U13" s="23" t="str">
        <f t="array" ref="U13">IF(AND(U$4&gt;Resumen_Sprints!$E$7,U$4&lt;=Resumen_Sprints!$E$7+Resumen_Sprints!$D$7),INDEX('Sprint N°2'!$C$7:$O$7,U$4-Resumen_Sprints!$E$7),0)</f>
        <v/>
      </c>
      <c r="V13" s="23" t="str">
        <f t="array" ref="V13">IF(AND(V$4&gt;Resumen_Sprints!$E$7,V$4&lt;=Resumen_Sprints!$E$7+Resumen_Sprints!$D$7),INDEX('Sprint N°2'!$C$7:$O$7,V$4-Resumen_Sprints!$E$7),0)</f>
        <v/>
      </c>
      <c r="W13" s="23">
        <f t="array" ref="W13">IF(AND(W$4&gt;Resumen_Sprints!$E$7,W$4&lt;=Resumen_Sprints!$E$7+Resumen_Sprints!$D$7),INDEX('Sprint N°2'!$C$7:$O$7,W$4-Resumen_Sprints!$E$7),0)</f>
        <v>0</v>
      </c>
      <c r="X13" s="23">
        <f t="array" ref="X13">IF(AND(X$4&gt;Resumen_Sprints!$E$7,X$4&lt;=Resumen_Sprints!$E$7+Resumen_Sprints!$D$7),INDEX('Sprint N°2'!$C$7:$O$7,X$4-Resumen_Sprints!$E$7),0)</f>
        <v>0</v>
      </c>
      <c r="Y13" s="23">
        <f t="array" ref="Y13">IF(AND(Y$4&gt;Resumen_Sprints!$E$7,Y$4&lt;=Resumen_Sprints!$E$7+Resumen_Sprints!$D$7),INDEX('Sprint N°2'!$C$7:$O$7,Y$4-Resumen_Sprints!$E$7),0)</f>
        <v>0</v>
      </c>
      <c r="Z13" s="23">
        <f t="array" ref="Z13">IF(AND(Z$4&gt;Resumen_Sprints!$E$7,Z$4&lt;=Resumen_Sprints!$E$7+Resumen_Sprints!$D$7),INDEX('Sprint N°2'!$C$7:$O$7,Z$4-Resumen_Sprints!$E$7),0)</f>
        <v>0</v>
      </c>
      <c r="AA13" s="23">
        <f t="array" ref="AA13">IF(AND(AA$4&gt;Resumen_Sprints!$E$7,AA$4&lt;=Resumen_Sprints!$E$7+Resumen_Sprints!$D$7),INDEX('Sprint N°2'!$C$7:$O$7,AA$4-Resumen_Sprints!$E$7),0)</f>
        <v>0</v>
      </c>
      <c r="AB13" s="23">
        <f t="array" ref="AB13">IF(AND(AB$4&gt;Resumen_Sprints!$E$7,AB$4&lt;=Resumen_Sprints!$E$7+Resumen_Sprints!$D$7),INDEX('Sprint N°2'!$C$7:$O$7,AB$4-Resumen_Sprints!$E$7),0)</f>
        <v>0</v>
      </c>
      <c r="AC13" s="23">
        <f t="array" ref="AC13">IF(AND(AC$4&gt;Resumen_Sprints!$E$7,AC$4&lt;=Resumen_Sprints!$E$7+Resumen_Sprints!$D$7),INDEX('Sprint N°2'!$C$7:$O$7,AC$4-Resumen_Sprints!$E$7),0)</f>
        <v>0</v>
      </c>
      <c r="AD13" s="23">
        <f t="array" ref="AD13">IF(AND(AD$4&gt;Resumen_Sprints!$E$7,AD$4&lt;=Resumen_Sprints!$E$7+Resumen_Sprints!$D$7),INDEX('Sprint N°2'!$C$7:$O$7,AD$4-Resumen_Sprints!$E$7),0)</f>
        <v>0</v>
      </c>
      <c r="AE13" s="23">
        <f t="array" ref="AE13">IF(AND(AE$4&gt;Resumen_Sprints!$E$7,AE$4&lt;=Resumen_Sprints!$E$7+Resumen_Sprints!$D$7),INDEX('Sprint N°2'!$C$7:$O$7,AE$4-Resumen_Sprints!$E$7),0)</f>
        <v>0</v>
      </c>
      <c r="AF13" s="23">
        <f t="array" ref="AF13">IF(AND(AF$4&gt;Resumen_Sprints!$E$7,AF$4&lt;=Resumen_Sprints!$E$7+Resumen_Sprints!$D$7),INDEX('Sprint N°2'!$C$7:$O$7,AF$4-Resumen_Sprints!$E$7),0)</f>
        <v>0</v>
      </c>
      <c r="AG13" s="23">
        <f t="array" ref="AG13">IF(AND(AG$4&gt;Resumen_Sprints!$E$7,AG$4&lt;=Resumen_Sprints!$E$7+Resumen_Sprints!$D$7),INDEX('Sprint N°2'!$C$7:$O$7,AG$4-Resumen_Sprints!$E$7),0)</f>
        <v>0</v>
      </c>
      <c r="AH13" s="23">
        <f t="array" ref="AH13">IF(AND(AH$4&gt;Resumen_Sprints!$E$7,AH$4&lt;=Resumen_Sprints!$E$7+Resumen_Sprints!$D$7),INDEX('Sprint N°2'!$C$7:$O$7,AH$4-Resumen_Sprints!$E$7),0)</f>
        <v>0</v>
      </c>
      <c r="AI13" s="23">
        <f t="array" ref="AI13">IF(AND(AI$4&gt;Resumen_Sprints!$E$7,AI$4&lt;=Resumen_Sprints!$E$7+Resumen_Sprints!$D$7),INDEX('Sprint N°2'!$C$7:$O$7,AI$4-Resumen_Sprints!$E$7),0)</f>
        <v>0</v>
      </c>
      <c r="AJ13" s="23">
        <f t="array" ref="AJ13">IF(AND(AJ$4&gt;Resumen_Sprints!$E$7,AJ$4&lt;=Resumen_Sprints!$E$7+Resumen_Sprints!$D$7),INDEX('Sprint N°2'!$C$7:$O$7,AJ$4-Resumen_Sprints!$E$7),0)</f>
        <v>0</v>
      </c>
      <c r="AK13" s="23">
        <f t="array" ref="AK13">IF(AND(AK$4&gt;Resumen_Sprints!$E$7,AK$4&lt;=Resumen_Sprints!$E$7+Resumen_Sprints!$D$7),INDEX('Sprint N°2'!$C$7:$O$7,AK$4-Resumen_Sprints!$E$7),0)</f>
        <v>0</v>
      </c>
      <c r="AL13" s="23">
        <f t="array" ref="AL13">IF(AND(AL$4&gt;Resumen_Sprints!$E$7,AL$4&lt;=Resumen_Sprints!$E$7+Resumen_Sprints!$D$7),INDEX('Sprint N°2'!$C$7:$O$7,AL$4-Resumen_Sprints!$E$7),0)</f>
        <v>0</v>
      </c>
      <c r="AM13" s="23">
        <f t="array" ref="AM13">IF(AND(AM$4&gt;Resumen_Sprints!$E$7,AM$4&lt;=Resumen_Sprints!$E$7+Resumen_Sprints!$D$7),INDEX('Sprint N°2'!$C$7:$O$7,AM$4-Resumen_Sprints!$E$7),0)</f>
        <v>0</v>
      </c>
      <c r="AN13" s="23">
        <f t="array" ref="AN13">IF(AND(AN$4&gt;Resumen_Sprints!$E$7,AN$4&lt;=Resumen_Sprints!$E$7+Resumen_Sprints!$D$7),INDEX('Sprint N°2'!$C$7:$O$7,AN$4-Resumen_Sprints!$E$7),0)</f>
        <v>0</v>
      </c>
      <c r="AO13" s="23">
        <f t="array" ref="AO13">IF(AND(AO$4&gt;Resumen_Sprints!$E$7,AO$4&lt;=Resumen_Sprints!$E$7+Resumen_Sprints!$D$7),INDEX('Sprint N°2'!$C$7:$O$7,AO$4-Resumen_Sprints!$E$7),0)</f>
        <v>0</v>
      </c>
      <c r="AP13" s="23">
        <f t="array" ref="AP13">IF(AND(AP$4&gt;Resumen_Sprints!$E$7,AP$4&lt;=Resumen_Sprints!$E$7+Resumen_Sprints!$D$7),INDEX('Sprint N°2'!$C$7:$O$7,AP$4-Resumen_Sprints!$E$7),0)</f>
        <v>0</v>
      </c>
      <c r="AQ13" s="23">
        <f t="array" ref="AQ13">IF(AND(AQ$4&gt;Resumen_Sprints!$E$7,AQ$4&lt;=Resumen_Sprints!$E$7+Resumen_Sprints!$D$7),INDEX('Sprint N°2'!$C$7:$O$7,AQ$4-Resumen_Sprints!$E$7),0)</f>
        <v>0</v>
      </c>
      <c r="AR13" s="23">
        <f t="array" ref="AR13">IF(AND(AR$4&gt;Resumen_Sprints!$E$7,AR$4&lt;=Resumen_Sprints!$E$7+Resumen_Sprints!$D$7),INDEX('Sprint N°2'!$C$7:$O$7,AR$4-Resumen_Sprints!$E$7),0)</f>
        <v>0</v>
      </c>
      <c r="AS13" s="23">
        <f t="array" ref="AS13">IF(AND(AS$4&gt;Resumen_Sprints!$E$7,AS$4&lt;=Resumen_Sprints!$E$7+Resumen_Sprints!$D$7),INDEX('Sprint N°2'!$C$7:$O$7,AS$4-Resumen_Sprints!$E$7),0)</f>
        <v>0</v>
      </c>
      <c r="AT13" s="23">
        <f t="array" ref="AT13">IF(AND(AT$4&gt;Resumen_Sprints!$E$7,AT$4&lt;=Resumen_Sprints!$E$7+Resumen_Sprints!$D$7),INDEX('Sprint N°2'!$C$7:$O$7,AT$4-Resumen_Sprints!$E$7),0)</f>
        <v>0</v>
      </c>
      <c r="AU13" s="23">
        <f t="array" ref="AU13">IF(AND(AU$4&gt;Resumen_Sprints!$E$7,AU$4&lt;=Resumen_Sprints!$E$7+Resumen_Sprints!$D$7),INDEX('Sprint N°2'!$C$7:$O$7,AU$4-Resumen_Sprints!$E$7),0)</f>
        <v>0</v>
      </c>
      <c r="AV13" s="23">
        <f t="array" ref="AV13">IF(AND(AV$4&gt;Resumen_Sprints!$E$7,AV$4&lt;=Resumen_Sprints!$E$7+Resumen_Sprints!$D$7),INDEX('Sprint N°2'!$C$7:$O$7,AV$4-Resumen_Sprints!$E$7),0)</f>
        <v>0</v>
      </c>
      <c r="AW13" s="23">
        <f t="array" ref="AW13">IF(AND(AW$4&gt;Resumen_Sprints!$E$7,AW$4&lt;=Resumen_Sprints!$E$7+Resumen_Sprints!$D$7),INDEX('Sprint N°2'!$C$7:$O$7,AW$4-Resumen_Sprints!$E$7),0)</f>
        <v>0</v>
      </c>
      <c r="AX13" s="23">
        <f t="array" ref="AX13">IF(AND(AX$4&gt;Resumen_Sprints!$E$7,AX$4&lt;=Resumen_Sprints!$E$7+Resumen_Sprints!$D$7),INDEX('Sprint N°2'!$C$7:$O$7,AX$4-Resumen_Sprints!$E$7),0)</f>
        <v>0</v>
      </c>
      <c r="AY13" s="23">
        <f t="array" ref="AY13">IF(AND(AY$4&gt;Resumen_Sprints!$E$7,AY$4&lt;=Resumen_Sprints!$E$7+Resumen_Sprints!$D$7),INDEX('Sprint N°2'!$C$7:$O$7,AY$4-Resumen_Sprints!$E$7),0)</f>
        <v>0</v>
      </c>
      <c r="AZ13" s="23">
        <f t="array" ref="AZ13">IF(AND(AZ$4&gt;Resumen_Sprints!$E$7,AZ$4&lt;=Resumen_Sprints!$E$7+Resumen_Sprints!$D$7),INDEX('Sprint N°2'!$C$7:$O$7,AZ$4-Resumen_Sprints!$E$7),0)</f>
        <v>0</v>
      </c>
      <c r="BA13" s="23">
        <f t="array" ref="BA13">IF(AND(BA$4&gt;Resumen_Sprints!$E$7,BA$4&lt;=Resumen_Sprints!$E$7+Resumen_Sprints!$D$7),INDEX('Sprint N°2'!$C$7:$O$7,BA$4-Resumen_Sprints!$E$7),0)</f>
        <v>0</v>
      </c>
      <c r="BB13" s="23">
        <f t="array" ref="BB13">IF(AND(BB$4&gt;Resumen_Sprints!$E$7,BB$4&lt;=Resumen_Sprints!$E$7+Resumen_Sprints!$D$7),INDEX('Sprint N°2'!$C$7:$O$7,BB$4-Resumen_Sprints!$E$7),0)</f>
        <v>0</v>
      </c>
      <c r="BC13" s="23">
        <f t="array" ref="BC13">IF(AND(BC$4&gt;Resumen_Sprints!$E$7,BC$4&lt;=Resumen_Sprints!$E$7+Resumen_Sprints!$D$7),INDEX('Sprint N°2'!$C$7:$O$7,BC$4-Resumen_Sprints!$E$7),0)</f>
        <v>0</v>
      </c>
      <c r="BD13" s="23">
        <f t="array" ref="BD13">IF(AND(BD$4&gt;Resumen_Sprints!$E$7,BD$4&lt;=Resumen_Sprints!$E$7+Resumen_Sprints!$D$7),INDEX('Sprint N°2'!$C$7:$O$7,BD$4-Resumen_Sprints!$E$7),0)</f>
        <v>0</v>
      </c>
      <c r="BE13" s="23">
        <f t="array" ref="BE13">IF(AND(BE$4&gt;Resumen_Sprints!$E$7,BE$4&lt;=Resumen_Sprints!$E$7+Resumen_Sprints!$D$7),INDEX('Sprint N°2'!$C$7:$O$7,BE$4-Resumen_Sprints!$E$7),0)</f>
        <v>0</v>
      </c>
      <c r="BF13" s="23">
        <f t="array" ref="BF13">IF(AND(BF$4&gt;Resumen_Sprints!$E$7,BF$4&lt;=Resumen_Sprints!$E$7+Resumen_Sprints!$D$7),INDEX('Sprint N°2'!$C$7:$O$7,BF$4-Resumen_Sprints!$E$7),0)</f>
        <v>0</v>
      </c>
      <c r="BG13" s="23">
        <f t="array" ref="BG13">IF(AND(BG$4&gt;Resumen_Sprints!$E$7,BG$4&lt;=Resumen_Sprints!$E$7+Resumen_Sprints!$D$7),INDEX('Sprint N°2'!$C$7:$O$7,BG$4-Resumen_Sprints!$E$7),0)</f>
        <v>0</v>
      </c>
      <c r="BH13" s="23">
        <f t="array" ref="BH13">IF(AND(BH$4&gt;Resumen_Sprints!$E$7,BH$4&lt;=Resumen_Sprints!$E$7+Resumen_Sprints!$D$7),INDEX('Sprint N°2'!$C$7:$O$7,BH$4-Resumen_Sprints!$E$7),0)</f>
        <v>0</v>
      </c>
      <c r="BI13" s="23">
        <f t="array" ref="BI13">IF(AND(BI$4&gt;Resumen_Sprints!$E$7,BI$4&lt;=Resumen_Sprints!$E$7+Resumen_Sprints!$D$7),INDEX('Sprint N°2'!$C$7:$O$7,BI$4-Resumen_Sprints!$E$7),0)</f>
        <v>0</v>
      </c>
      <c r="BJ13" s="23">
        <f t="array" ref="BJ13">IF(AND(BJ$4&gt;Resumen_Sprints!$E$7,BJ$4&lt;=Resumen_Sprints!$E$7+Resumen_Sprints!$D$7),INDEX('Sprint N°2'!$C$7:$O$7,BJ$4-Resumen_Sprints!$E$7),0)</f>
        <v>0</v>
      </c>
      <c r="BK13" s="23">
        <f t="array" ref="BK13">IF(AND(BK$4&gt;Resumen_Sprints!$E$7,BK$4&lt;=Resumen_Sprints!$E$7+Resumen_Sprints!$D$7),INDEX('Sprint N°2'!$C$7:$O$7,BK$4-Resumen_Sprints!$E$7),0)</f>
        <v>0</v>
      </c>
      <c r="BL13" s="23">
        <f t="array" ref="BL13">IF(AND(BL$4&gt;Resumen_Sprints!$E$7,BL$4&lt;=Resumen_Sprints!$E$7+Resumen_Sprints!$D$7),INDEX('Sprint N°2'!$C$7:$O$7,BL$4-Resumen_Sprints!$E$7),0)</f>
        <v>0</v>
      </c>
      <c r="BM13" s="23">
        <f t="array" ref="BM13">IF(AND(BM$4&gt;Resumen_Sprints!$E$7,BM$4&lt;=Resumen_Sprints!$E$7+Resumen_Sprints!$D$7),INDEX('Sprint N°2'!$C$7:$O$7,BM$4-Resumen_Sprints!$E$7),0)</f>
        <v>0</v>
      </c>
      <c r="BN13" s="23">
        <f t="array" ref="BN13">IF(AND(BN$4&gt;Resumen_Sprints!$E$7,BN$4&lt;=Resumen_Sprints!$E$7+Resumen_Sprints!$D$7),INDEX('Sprint N°2'!$C$7:$O$7,BN$4-Resumen_Sprints!$E$7),0)</f>
        <v>0</v>
      </c>
      <c r="BO13" s="23">
        <f t="array" ref="BO13">IF(AND(BO$4&gt;Resumen_Sprints!$E$7,BO$4&lt;=Resumen_Sprints!$E$7+Resumen_Sprints!$D$7),INDEX('Sprint N°2'!$C$7:$O$7,BO$4-Resumen_Sprints!$E$7),0)</f>
        <v>0</v>
      </c>
      <c r="BP13" s="23">
        <f t="array" ref="BP13">IF(AND(BP$4&gt;Resumen_Sprints!$E$7,BP$4&lt;=Resumen_Sprints!$E$7+Resumen_Sprints!$D$7),INDEX('Sprint N°2'!$C$7:$O$7,BP$4-Resumen_Sprints!$E$7),0)</f>
        <v>0</v>
      </c>
      <c r="BQ13" s="23">
        <f t="array" ref="BQ13">IF(AND(BQ$4&gt;Resumen_Sprints!$E$7,BQ$4&lt;=Resumen_Sprints!$E$7+Resumen_Sprints!$D$7),INDEX('Sprint N°2'!$C$7:$O$7,BQ$4-Resumen_Sprints!$E$7),0)</f>
        <v>0</v>
      </c>
      <c r="BR13" s="23">
        <f t="array" ref="BR13">IF(AND(BR$4&gt;Resumen_Sprints!$E$7,BR$4&lt;=Resumen_Sprints!$E$7+Resumen_Sprints!$D$7),INDEX('Sprint N°2'!$C$7:$O$7,BR$4-Resumen_Sprints!$E$7),0)</f>
        <v>0</v>
      </c>
      <c r="BS13" s="23">
        <f t="array" ref="BS13">IF(AND(BS$4&gt;Resumen_Sprints!$E$7,BS$4&lt;=Resumen_Sprints!$E$7+Resumen_Sprints!$D$7),INDEX('Sprint N°2'!$C$7:$O$7,BS$4-Resumen_Sprints!$E$7),0)</f>
        <v>0</v>
      </c>
      <c r="BT13" s="23">
        <f t="array" ref="BT13">IF(AND(BT$4&gt;Resumen_Sprints!$E$7,BT$4&lt;=Resumen_Sprints!$E$7+Resumen_Sprints!$D$7),INDEX('Sprint N°2'!$C$7:$O$7,BT$4-Resumen_Sprints!$E$7),0)</f>
        <v>0</v>
      </c>
      <c r="BU13" s="23">
        <f t="array" ref="BU13">IF(AND(BU$4&gt;Resumen_Sprints!$E$7,BU$4&lt;=Resumen_Sprints!$E$7+Resumen_Sprints!$D$7),INDEX('Sprint N°2'!$C$7:$O$7,BU$4-Resumen_Sprints!$E$7),0)</f>
        <v>0</v>
      </c>
      <c r="BV13" s="23">
        <f t="array" ref="BV13">IF(AND(BV$4&gt;Resumen_Sprints!$E$7,BV$4&lt;=Resumen_Sprints!$E$7+Resumen_Sprints!$D$7),INDEX('Sprint N°2'!$C$7:$O$7,BV$4-Resumen_Sprints!$E$7),0)</f>
        <v>0</v>
      </c>
      <c r="BW13" s="23">
        <f t="array" ref="BW13">IF(AND(BW$4&gt;Resumen_Sprints!$E$7,BW$4&lt;=Resumen_Sprints!$E$7+Resumen_Sprints!$D$7),INDEX('Sprint N°2'!$C$7:$O$7,BW$4-Resumen_Sprints!$E$7),0)</f>
        <v>0</v>
      </c>
      <c r="BX13" s="23">
        <f t="array" ref="BX13">IF(AND(BX$4&gt;Resumen_Sprints!$E$7,BX$4&lt;=Resumen_Sprints!$E$7+Resumen_Sprints!$D$7),INDEX('Sprint N°2'!$C$7:$O$7,BX$4-Resumen_Sprints!$E$7),0)</f>
        <v>0</v>
      </c>
      <c r="BY13" s="23">
        <f t="array" ref="BY13">IF(AND(BY$4&gt;Resumen_Sprints!$E$7,BY$4&lt;=Resumen_Sprints!$E$7+Resumen_Sprints!$D$7),INDEX('Sprint N°2'!$C$7:$O$7,BY$4-Resumen_Sprints!$E$7),0)</f>
        <v>0</v>
      </c>
      <c r="BZ13" s="23">
        <f t="array" ref="BZ13">IF(AND(BZ$4&gt;Resumen_Sprints!$E$7,BZ$4&lt;=Resumen_Sprints!$E$7+Resumen_Sprints!$D$7),INDEX('Sprint N°2'!$C$7:$O$7,BZ$4-Resumen_Sprints!$E$7),0)</f>
        <v>0</v>
      </c>
      <c r="CA13" s="23">
        <f t="array" ref="CA13">IF(AND(CA$4&gt;Resumen_Sprints!$E$7,CA$4&lt;=Resumen_Sprints!$E$7+Resumen_Sprints!$D$7),INDEX('Sprint N°2'!$C$7:$O$7,CA$4-Resumen_Sprints!$E$7),0)</f>
        <v>0</v>
      </c>
      <c r="CB13" s="23">
        <f t="array" ref="CB13">IF(AND(CB$4&gt;Resumen_Sprints!$E$7,CB$4&lt;=Resumen_Sprints!$E$7+Resumen_Sprints!$D$7),INDEX('Sprint N°2'!$C$7:$O$7,CB$4-Resumen_Sprints!$E$7),0)</f>
        <v>0</v>
      </c>
      <c r="CC13" s="23">
        <f t="array" ref="CC13">IF(AND(CC$4&gt;Resumen_Sprints!$E$7,CC$4&lt;=Resumen_Sprints!$E$7+Resumen_Sprints!$D$7),INDEX('Sprint N°2'!$C$7:$O$7,CC$4-Resumen_Sprints!$E$7),0)</f>
        <v>0</v>
      </c>
      <c r="CD13" s="23">
        <f t="array" ref="CD13">IF(AND(CD$4&gt;Resumen_Sprints!$E$7,CD$4&lt;=Resumen_Sprints!$E$7+Resumen_Sprints!$D$7),INDEX('Sprint N°2'!$C$7:$O$7,CD$4-Resumen_Sprints!$E$7),0)</f>
        <v>0</v>
      </c>
      <c r="CE13" s="23">
        <f t="array" ref="CE13">IF(AND(CE$4&gt;Resumen_Sprints!$E$7,CE$4&lt;=Resumen_Sprints!$E$7+Resumen_Sprints!$D$7),INDEX('Sprint N°2'!$C$7:$O$7,CE$4-Resumen_Sprints!$E$7),0)</f>
        <v>0</v>
      </c>
      <c r="CF13" s="23">
        <f t="array" ref="CF13">IF(AND(CF$4&gt;Resumen_Sprints!$E$7,CF$4&lt;=Resumen_Sprints!$E$7+Resumen_Sprints!$D$7),INDEX('Sprint N°2'!$C$7:$O$7,CF$4-Resumen_Sprints!$E$7),0)</f>
        <v>0</v>
      </c>
      <c r="CG13" s="23">
        <f t="array" ref="CG13">IF(AND(CG$4&gt;Resumen_Sprints!$E$7,CG$4&lt;=Resumen_Sprints!$E$7+Resumen_Sprints!$D$7),INDEX('Sprint N°2'!$C$7:$O$7,CG$4-Resumen_Sprints!$E$7),0)</f>
        <v>0</v>
      </c>
      <c r="CH13" s="23">
        <f t="array" ref="CH13">IF(AND(CH$4&gt;Resumen_Sprints!$E$7,CH$4&lt;=Resumen_Sprints!$E$7+Resumen_Sprints!$D$7),INDEX('Sprint N°2'!$C$7:$O$7,CH$4-Resumen_Sprints!$E$7),0)</f>
        <v>0</v>
      </c>
      <c r="CI13" s="23">
        <f t="array" ref="CI13">IF(AND(CI$4&gt;Resumen_Sprints!$E$7,CI$4&lt;=Resumen_Sprints!$E$7+Resumen_Sprints!$D$7),INDEX('Sprint N°2'!$C$7:$O$7,CI$4-Resumen_Sprints!$E$7),0)</f>
        <v>0</v>
      </c>
      <c r="CJ13" s="23">
        <f t="array" ref="CJ13">IF(AND(CJ$4&gt;Resumen_Sprints!$E$7,CJ$4&lt;=Resumen_Sprints!$E$7+Resumen_Sprints!$D$7),INDEX('Sprint N°2'!$C$7:$O$7,CJ$4-Resumen_Sprints!$E$7),0)</f>
        <v>0</v>
      </c>
      <c r="CK13" s="23">
        <f t="array" ref="CK13">IF(AND(CK$4&gt;Resumen_Sprints!$E$7,CK$4&lt;=Resumen_Sprints!$E$7+Resumen_Sprints!$D$7),INDEX('Sprint N°2'!$C$7:$O$7,CK$4-Resumen_Sprints!$E$7),0)</f>
        <v>0</v>
      </c>
      <c r="CL13" s="23">
        <f t="array" ref="CL13">IF(AND(CL$4&gt;Resumen_Sprints!$E$7,CL$4&lt;=Resumen_Sprints!$E$7+Resumen_Sprints!$D$7),INDEX('Sprint N°2'!$C$7:$O$7,CL$4-Resumen_Sprints!$E$7),0)</f>
        <v>0</v>
      </c>
      <c r="CM13" s="23">
        <f t="array" ref="CM13">IF(AND(CM$4&gt;Resumen_Sprints!$E$7,CM$4&lt;=Resumen_Sprints!$E$7+Resumen_Sprints!$D$7),INDEX('Sprint N°2'!$C$7:$O$7,CM$4-Resumen_Sprints!$E$7),0)</f>
        <v>0</v>
      </c>
      <c r="CN13" s="23">
        <f t="array" ref="CN13">IF(AND(CN$4&gt;Resumen_Sprints!$E$7,CN$4&lt;=Resumen_Sprints!$E$7+Resumen_Sprints!$D$7),INDEX('Sprint N°2'!$C$7:$O$7,CN$4-Resumen_Sprints!$E$7),0)</f>
        <v>0</v>
      </c>
      <c r="CO13" s="23">
        <f t="array" ref="CO13">IF(AND(CO$4&gt;Resumen_Sprints!$E$7,CO$4&lt;=Resumen_Sprints!$E$7+Resumen_Sprints!$D$7),INDEX('Sprint N°2'!$C$7:$O$7,CO$4-Resumen_Sprints!$E$7),0)</f>
        <v>0</v>
      </c>
      <c r="CP13" s="23">
        <f t="array" ref="CP13">IF(AND(CP$4&gt;Resumen_Sprints!$E$7,CP$4&lt;=Resumen_Sprints!$E$7+Resumen_Sprints!$D$7),INDEX('Sprint N°2'!$C$7:$O$7,CP$4-Resumen_Sprints!$E$7),0)</f>
        <v>0</v>
      </c>
      <c r="CQ13" s="23">
        <f t="array" ref="CQ13">IF(AND(CQ$4&gt;Resumen_Sprints!$E$7,CQ$4&lt;=Resumen_Sprints!$E$7+Resumen_Sprints!$D$7),INDEX('Sprint N°2'!$C$7:$O$7,CQ$4-Resumen_Sprints!$E$7),0)</f>
        <v>0</v>
      </c>
      <c r="CR13" s="23">
        <f t="array" ref="CR13">IF(AND(CR$4&gt;Resumen_Sprints!$E$7,CR$4&lt;=Resumen_Sprints!$E$7+Resumen_Sprints!$D$7),INDEX('Sprint N°2'!$C$7:$O$7,CR$4-Resumen_Sprints!$E$7),0)</f>
        <v>0</v>
      </c>
      <c r="CS13" s="23">
        <f t="array" ref="CS13">IF(AND(CS$4&gt;Resumen_Sprints!$E$7,CS$4&lt;=Resumen_Sprints!$E$7+Resumen_Sprints!$D$7),INDEX('Sprint N°2'!$C$7:$O$7,CS$4-Resumen_Sprints!$E$7),0)</f>
        <v>0</v>
      </c>
      <c r="CT13" s="23">
        <f t="array" ref="CT13">IF(AND(CT$4&gt;Resumen_Sprints!$E$7,CT$4&lt;=Resumen_Sprints!$E$7+Resumen_Sprints!$D$7),INDEX('Sprint N°2'!$C$7:$O$7,CT$4-Resumen_Sprints!$E$7),0)</f>
        <v>0</v>
      </c>
      <c r="CU13" s="25">
        <f t="shared" si="2"/>
        <v>14</v>
      </c>
    </row>
    <row r="14" ht="14.25" customHeight="1">
      <c r="A14" s="11" t="str">
        <f>'Sprint N°2'!A8</f>
        <v>Diseño de la Solución. Modelo de Datos y UML</v>
      </c>
      <c r="B14" s="11">
        <f>'Sprint N°2'!B8</f>
        <v>23</v>
      </c>
      <c r="C14" s="23">
        <f t="array" ref="C14">IF(AND(C$4&gt;Resumen_Sprints!$E$7,C$4&lt;=Resumen_Sprints!$E$7+Resumen_Sprints!$D$7),INDEX('Sprint N°2'!$C$8:$O$8,C$4-Resumen_Sprints!$E$7),0)</f>
        <v>0</v>
      </c>
      <c r="D14" s="23">
        <f t="array" ref="D14">IF(AND(D$4&gt;Resumen_Sprints!$E$7,D$4&lt;=Resumen_Sprints!$E$7+Resumen_Sprints!$D$7),INDEX('Sprint N°2'!$C$8:$O$8,D$4-Resumen_Sprints!$E$7),0)</f>
        <v>0</v>
      </c>
      <c r="E14" s="23">
        <f t="array" ref="E14">IF(AND(E$4&gt;Resumen_Sprints!$E$7,E$4&lt;=Resumen_Sprints!$E$7+Resumen_Sprints!$D$7),INDEX('Sprint N°2'!$C$8:$O$8,E$4-Resumen_Sprints!$E$7),0)</f>
        <v>0</v>
      </c>
      <c r="F14" s="23">
        <f t="array" ref="F14">IF(AND(F$4&gt;Resumen_Sprints!$E$7,F$4&lt;=Resumen_Sprints!$E$7+Resumen_Sprints!$D$7),INDEX('Sprint N°2'!$C$8:$O$8,F$4-Resumen_Sprints!$E$7),0)</f>
        <v>0</v>
      </c>
      <c r="G14" s="23">
        <f t="array" ref="G14">IF(AND(G$4&gt;Resumen_Sprints!$E$7,G$4&lt;=Resumen_Sprints!$E$7+Resumen_Sprints!$D$7),INDEX('Sprint N°2'!$C$8:$O$8,G$4-Resumen_Sprints!$E$7),0)</f>
        <v>0</v>
      </c>
      <c r="H14" s="23">
        <f t="array" ref="H14">IF(AND(H$4&gt;Resumen_Sprints!$E$7,H$4&lt;=Resumen_Sprints!$E$7+Resumen_Sprints!$D$7),INDEX('Sprint N°2'!$C$8:$O$8,H$4-Resumen_Sprints!$E$7),0)</f>
        <v>0</v>
      </c>
      <c r="I14" s="23">
        <f t="array" ref="I14">IF(AND(I$4&gt;Resumen_Sprints!$E$7,I$4&lt;=Resumen_Sprints!$E$7+Resumen_Sprints!$D$7),INDEX('Sprint N°2'!$C$8:$O$8,I$4-Resumen_Sprints!$E$7),0)</f>
        <v>0</v>
      </c>
      <c r="J14" s="23" t="str">
        <f t="array" ref="J14">IF(AND(J$4&gt;Resumen_Sprints!$E$7,J$4&lt;=Resumen_Sprints!$E$7+Resumen_Sprints!$D$7),INDEX('Sprint N°2'!$C$8:$O$8,J$4-Resumen_Sprints!$E$7),0)</f>
        <v/>
      </c>
      <c r="K14" s="23" t="str">
        <f t="array" ref="K14">IF(AND(K$4&gt;Resumen_Sprints!$E$7,K$4&lt;=Resumen_Sprints!$E$7+Resumen_Sprints!$D$7),INDEX('Sprint N°2'!$C$8:$O$8,K$4-Resumen_Sprints!$E$7),0)</f>
        <v/>
      </c>
      <c r="L14" s="23" t="str">
        <f t="array" ref="L14">IF(AND(L$4&gt;Resumen_Sprints!$E$7,L$4&lt;=Resumen_Sprints!$E$7+Resumen_Sprints!$D$7),INDEX('Sprint N°2'!$C$8:$O$8,L$4-Resumen_Sprints!$E$7),0)</f>
        <v/>
      </c>
      <c r="M14" s="23" t="str">
        <f t="array" ref="M14">IF(AND(M$4&gt;Resumen_Sprints!$E$7,M$4&lt;=Resumen_Sprints!$E$7+Resumen_Sprints!$D$7),INDEX('Sprint N°2'!$C$8:$O$8,M$4-Resumen_Sprints!$E$7),0)</f>
        <v/>
      </c>
      <c r="N14" s="23">
        <f t="array" ref="N14">IF(AND(N$4&gt;Resumen_Sprints!$E$7,N$4&lt;=Resumen_Sprints!$E$7+Resumen_Sprints!$D$7),INDEX('Sprint N°2'!$C$8:$O$8,N$4-Resumen_Sprints!$E$7),0)</f>
        <v>7</v>
      </c>
      <c r="O14" s="23">
        <f t="array" ref="O14">IF(AND(O$4&gt;Resumen_Sprints!$E$7,O$4&lt;=Resumen_Sprints!$E$7+Resumen_Sprints!$D$7),INDEX('Sprint N°2'!$C$8:$O$8,O$4-Resumen_Sprints!$E$7),0)</f>
        <v>6</v>
      </c>
      <c r="P14" s="23">
        <f t="array" ref="P14">IF(AND(P$4&gt;Resumen_Sprints!$E$7,P$4&lt;=Resumen_Sprints!$E$7+Resumen_Sprints!$D$7),INDEX('Sprint N°2'!$C$8:$O$8,P$4-Resumen_Sprints!$E$7),0)</f>
        <v>7</v>
      </c>
      <c r="Q14" s="23">
        <f t="array" ref="Q14">IF(AND(Q$4&gt;Resumen_Sprints!$E$7,Q$4&lt;=Resumen_Sprints!$E$7+Resumen_Sprints!$D$7),INDEX('Sprint N°2'!$C$8:$O$8,Q$4-Resumen_Sprints!$E$7),0)</f>
        <v>2</v>
      </c>
      <c r="R14" s="23" t="str">
        <f t="array" ref="R14">IF(AND(R$4&gt;Resumen_Sprints!$E$7,R$4&lt;=Resumen_Sprints!$E$7+Resumen_Sprints!$D$7),INDEX('Sprint N°2'!$C$8:$O$8,R$4-Resumen_Sprints!$E$7),0)</f>
        <v/>
      </c>
      <c r="S14" s="23" t="str">
        <f t="array" ref="S14">IF(AND(S$4&gt;Resumen_Sprints!$E$7,S$4&lt;=Resumen_Sprints!$E$7+Resumen_Sprints!$D$7),INDEX('Sprint N°2'!$C$8:$O$8,S$4-Resumen_Sprints!$E$7),0)</f>
        <v/>
      </c>
      <c r="T14" s="23" t="str">
        <f t="array" ref="T14">IF(AND(T$4&gt;Resumen_Sprints!$E$7,T$4&lt;=Resumen_Sprints!$E$7+Resumen_Sprints!$D$7),INDEX('Sprint N°2'!$C$8:$O$8,T$4-Resumen_Sprints!$E$7),0)</f>
        <v/>
      </c>
      <c r="U14" s="23" t="str">
        <f t="array" ref="U14">IF(AND(U$4&gt;Resumen_Sprints!$E$7,U$4&lt;=Resumen_Sprints!$E$7+Resumen_Sprints!$D$7),INDEX('Sprint N°2'!$C$8:$O$8,U$4-Resumen_Sprints!$E$7),0)</f>
        <v/>
      </c>
      <c r="V14" s="23" t="str">
        <f t="array" ref="V14">IF(AND(V$4&gt;Resumen_Sprints!$E$7,V$4&lt;=Resumen_Sprints!$E$7+Resumen_Sprints!$D$7),INDEX('Sprint N°2'!$C$8:$O$8,V$4-Resumen_Sprints!$E$7),0)</f>
        <v/>
      </c>
      <c r="W14" s="23">
        <f t="array" ref="W14">IF(AND(W$4&gt;Resumen_Sprints!$E$7,W$4&lt;=Resumen_Sprints!$E$7+Resumen_Sprints!$D$7),INDEX('Sprint N°2'!$C$8:$O$8,W$4-Resumen_Sprints!$E$7),0)</f>
        <v>0</v>
      </c>
      <c r="X14" s="23">
        <f t="array" ref="X14">IF(AND(X$4&gt;Resumen_Sprints!$E$7,X$4&lt;=Resumen_Sprints!$E$7+Resumen_Sprints!$D$7),INDEX('Sprint N°2'!$C$8:$O$8,X$4-Resumen_Sprints!$E$7),0)</f>
        <v>0</v>
      </c>
      <c r="Y14" s="23">
        <f t="array" ref="Y14">IF(AND(Y$4&gt;Resumen_Sprints!$E$7,Y$4&lt;=Resumen_Sprints!$E$7+Resumen_Sprints!$D$7),INDEX('Sprint N°2'!$C$8:$O$8,Y$4-Resumen_Sprints!$E$7),0)</f>
        <v>0</v>
      </c>
      <c r="Z14" s="23">
        <f t="array" ref="Z14">IF(AND(Z$4&gt;Resumen_Sprints!$E$7,Z$4&lt;=Resumen_Sprints!$E$7+Resumen_Sprints!$D$7),INDEX('Sprint N°2'!$C$8:$O$8,Z$4-Resumen_Sprints!$E$7),0)</f>
        <v>0</v>
      </c>
      <c r="AA14" s="23">
        <f t="array" ref="AA14">IF(AND(AA$4&gt;Resumen_Sprints!$E$7,AA$4&lt;=Resumen_Sprints!$E$7+Resumen_Sprints!$D$7),INDEX('Sprint N°2'!$C$8:$O$8,AA$4-Resumen_Sprints!$E$7),0)</f>
        <v>0</v>
      </c>
      <c r="AB14" s="23">
        <f t="array" ref="AB14">IF(AND(AB$4&gt;Resumen_Sprints!$E$7,AB$4&lt;=Resumen_Sprints!$E$7+Resumen_Sprints!$D$7),INDEX('Sprint N°2'!$C$8:$O$8,AB$4-Resumen_Sprints!$E$7),0)</f>
        <v>0</v>
      </c>
      <c r="AC14" s="23">
        <f t="array" ref="AC14">IF(AND(AC$4&gt;Resumen_Sprints!$E$7,AC$4&lt;=Resumen_Sprints!$E$7+Resumen_Sprints!$D$7),INDEX('Sprint N°2'!$C$8:$O$8,AC$4-Resumen_Sprints!$E$7),0)</f>
        <v>0</v>
      </c>
      <c r="AD14" s="23">
        <f t="array" ref="AD14">IF(AND(AD$4&gt;Resumen_Sprints!$E$7,AD$4&lt;=Resumen_Sprints!$E$7+Resumen_Sprints!$D$7),INDEX('Sprint N°2'!$C$8:$O$8,AD$4-Resumen_Sprints!$E$7),0)</f>
        <v>0</v>
      </c>
      <c r="AE14" s="23">
        <f t="array" ref="AE14">IF(AND(AE$4&gt;Resumen_Sprints!$E$7,AE$4&lt;=Resumen_Sprints!$E$7+Resumen_Sprints!$D$7),INDEX('Sprint N°2'!$C$8:$O$8,AE$4-Resumen_Sprints!$E$7),0)</f>
        <v>0</v>
      </c>
      <c r="AF14" s="23">
        <f t="array" ref="AF14">IF(AND(AF$4&gt;Resumen_Sprints!$E$7,AF$4&lt;=Resumen_Sprints!$E$7+Resumen_Sprints!$D$7),INDEX('Sprint N°2'!$C$8:$O$8,AF$4-Resumen_Sprints!$E$7),0)</f>
        <v>0</v>
      </c>
      <c r="AG14" s="23">
        <f t="array" ref="AG14">IF(AND(AG$4&gt;Resumen_Sprints!$E$7,AG$4&lt;=Resumen_Sprints!$E$7+Resumen_Sprints!$D$7),INDEX('Sprint N°2'!$C$8:$O$8,AG$4-Resumen_Sprints!$E$7),0)</f>
        <v>0</v>
      </c>
      <c r="AH14" s="23">
        <f t="array" ref="AH14">IF(AND(AH$4&gt;Resumen_Sprints!$E$7,AH$4&lt;=Resumen_Sprints!$E$7+Resumen_Sprints!$D$7),INDEX('Sprint N°2'!$C$8:$O$8,AH$4-Resumen_Sprints!$E$7),0)</f>
        <v>0</v>
      </c>
      <c r="AI14" s="23">
        <f t="array" ref="AI14">IF(AND(AI$4&gt;Resumen_Sprints!$E$7,AI$4&lt;=Resumen_Sprints!$E$7+Resumen_Sprints!$D$7),INDEX('Sprint N°2'!$C$8:$O$8,AI$4-Resumen_Sprints!$E$7),0)</f>
        <v>0</v>
      </c>
      <c r="AJ14" s="23">
        <f t="array" ref="AJ14">IF(AND(AJ$4&gt;Resumen_Sprints!$E$7,AJ$4&lt;=Resumen_Sprints!$E$7+Resumen_Sprints!$D$7),INDEX('Sprint N°2'!$C$8:$O$8,AJ$4-Resumen_Sprints!$E$7),0)</f>
        <v>0</v>
      </c>
      <c r="AK14" s="23">
        <f t="array" ref="AK14">IF(AND(AK$4&gt;Resumen_Sprints!$E$7,AK$4&lt;=Resumen_Sprints!$E$7+Resumen_Sprints!$D$7),INDEX('Sprint N°2'!$C$8:$O$8,AK$4-Resumen_Sprints!$E$7),0)</f>
        <v>0</v>
      </c>
      <c r="AL14" s="23">
        <f t="array" ref="AL14">IF(AND(AL$4&gt;Resumen_Sprints!$E$7,AL$4&lt;=Resumen_Sprints!$E$7+Resumen_Sprints!$D$7),INDEX('Sprint N°2'!$C$8:$O$8,AL$4-Resumen_Sprints!$E$7),0)</f>
        <v>0</v>
      </c>
      <c r="AM14" s="23">
        <f t="array" ref="AM14">IF(AND(AM$4&gt;Resumen_Sprints!$E$7,AM$4&lt;=Resumen_Sprints!$E$7+Resumen_Sprints!$D$7),INDEX('Sprint N°2'!$C$8:$O$8,AM$4-Resumen_Sprints!$E$7),0)</f>
        <v>0</v>
      </c>
      <c r="AN14" s="23">
        <f t="array" ref="AN14">IF(AND(AN$4&gt;Resumen_Sprints!$E$7,AN$4&lt;=Resumen_Sprints!$E$7+Resumen_Sprints!$D$7),INDEX('Sprint N°2'!$C$8:$O$8,AN$4-Resumen_Sprints!$E$7),0)</f>
        <v>0</v>
      </c>
      <c r="AO14" s="23">
        <f t="array" ref="AO14">IF(AND(AO$4&gt;Resumen_Sprints!$E$7,AO$4&lt;=Resumen_Sprints!$E$7+Resumen_Sprints!$D$7),INDEX('Sprint N°2'!$C$8:$O$8,AO$4-Resumen_Sprints!$E$7),0)</f>
        <v>0</v>
      </c>
      <c r="AP14" s="23">
        <f t="array" ref="AP14">IF(AND(AP$4&gt;Resumen_Sprints!$E$7,AP$4&lt;=Resumen_Sprints!$E$7+Resumen_Sprints!$D$7),INDEX('Sprint N°2'!$C$8:$O$8,AP$4-Resumen_Sprints!$E$7),0)</f>
        <v>0</v>
      </c>
      <c r="AQ14" s="23">
        <f t="array" ref="AQ14">IF(AND(AQ$4&gt;Resumen_Sprints!$E$7,AQ$4&lt;=Resumen_Sprints!$E$7+Resumen_Sprints!$D$7),INDEX('Sprint N°2'!$C$8:$O$8,AQ$4-Resumen_Sprints!$E$7),0)</f>
        <v>0</v>
      </c>
      <c r="AR14" s="23">
        <f t="array" ref="AR14">IF(AND(AR$4&gt;Resumen_Sprints!$E$7,AR$4&lt;=Resumen_Sprints!$E$7+Resumen_Sprints!$D$7),INDEX('Sprint N°2'!$C$8:$O$8,AR$4-Resumen_Sprints!$E$7),0)</f>
        <v>0</v>
      </c>
      <c r="AS14" s="23">
        <f t="array" ref="AS14">IF(AND(AS$4&gt;Resumen_Sprints!$E$7,AS$4&lt;=Resumen_Sprints!$E$7+Resumen_Sprints!$D$7),INDEX('Sprint N°2'!$C$8:$O$8,AS$4-Resumen_Sprints!$E$7),0)</f>
        <v>0</v>
      </c>
      <c r="AT14" s="23">
        <f t="array" ref="AT14">IF(AND(AT$4&gt;Resumen_Sprints!$E$7,AT$4&lt;=Resumen_Sprints!$E$7+Resumen_Sprints!$D$7),INDEX('Sprint N°2'!$C$8:$O$8,AT$4-Resumen_Sprints!$E$7),0)</f>
        <v>0</v>
      </c>
      <c r="AU14" s="23">
        <f t="array" ref="AU14">IF(AND(AU$4&gt;Resumen_Sprints!$E$7,AU$4&lt;=Resumen_Sprints!$E$7+Resumen_Sprints!$D$7),INDEX('Sprint N°2'!$C$8:$O$8,AU$4-Resumen_Sprints!$E$7),0)</f>
        <v>0</v>
      </c>
      <c r="AV14" s="23">
        <f t="array" ref="AV14">IF(AND(AV$4&gt;Resumen_Sprints!$E$7,AV$4&lt;=Resumen_Sprints!$E$7+Resumen_Sprints!$D$7),INDEX('Sprint N°2'!$C$8:$O$8,AV$4-Resumen_Sprints!$E$7),0)</f>
        <v>0</v>
      </c>
      <c r="AW14" s="23">
        <f t="array" ref="AW14">IF(AND(AW$4&gt;Resumen_Sprints!$E$7,AW$4&lt;=Resumen_Sprints!$E$7+Resumen_Sprints!$D$7),INDEX('Sprint N°2'!$C$8:$O$8,AW$4-Resumen_Sprints!$E$7),0)</f>
        <v>0</v>
      </c>
      <c r="AX14" s="23">
        <f t="array" ref="AX14">IF(AND(AX$4&gt;Resumen_Sprints!$E$7,AX$4&lt;=Resumen_Sprints!$E$7+Resumen_Sprints!$D$7),INDEX('Sprint N°2'!$C$8:$O$8,AX$4-Resumen_Sprints!$E$7),0)</f>
        <v>0</v>
      </c>
      <c r="AY14" s="23">
        <f t="array" ref="AY14">IF(AND(AY$4&gt;Resumen_Sprints!$E$7,AY$4&lt;=Resumen_Sprints!$E$7+Resumen_Sprints!$D$7),INDEX('Sprint N°2'!$C$8:$O$8,AY$4-Resumen_Sprints!$E$7),0)</f>
        <v>0</v>
      </c>
      <c r="AZ14" s="23">
        <f t="array" ref="AZ14">IF(AND(AZ$4&gt;Resumen_Sprints!$E$7,AZ$4&lt;=Resumen_Sprints!$E$7+Resumen_Sprints!$D$7),INDEX('Sprint N°2'!$C$8:$O$8,AZ$4-Resumen_Sprints!$E$7),0)</f>
        <v>0</v>
      </c>
      <c r="BA14" s="23">
        <f t="array" ref="BA14">IF(AND(BA$4&gt;Resumen_Sprints!$E$7,BA$4&lt;=Resumen_Sprints!$E$7+Resumen_Sprints!$D$7),INDEX('Sprint N°2'!$C$8:$O$8,BA$4-Resumen_Sprints!$E$7),0)</f>
        <v>0</v>
      </c>
      <c r="BB14" s="23">
        <f t="array" ref="BB14">IF(AND(BB$4&gt;Resumen_Sprints!$E$7,BB$4&lt;=Resumen_Sprints!$E$7+Resumen_Sprints!$D$7),INDEX('Sprint N°2'!$C$8:$O$8,BB$4-Resumen_Sprints!$E$7),0)</f>
        <v>0</v>
      </c>
      <c r="BC14" s="23">
        <f t="array" ref="BC14">IF(AND(BC$4&gt;Resumen_Sprints!$E$7,BC$4&lt;=Resumen_Sprints!$E$7+Resumen_Sprints!$D$7),INDEX('Sprint N°2'!$C$8:$O$8,BC$4-Resumen_Sprints!$E$7),0)</f>
        <v>0</v>
      </c>
      <c r="BD14" s="23">
        <f t="array" ref="BD14">IF(AND(BD$4&gt;Resumen_Sprints!$E$7,BD$4&lt;=Resumen_Sprints!$E$7+Resumen_Sprints!$D$7),INDEX('Sprint N°2'!$C$8:$O$8,BD$4-Resumen_Sprints!$E$7),0)</f>
        <v>0</v>
      </c>
      <c r="BE14" s="23">
        <f t="array" ref="BE14">IF(AND(BE$4&gt;Resumen_Sprints!$E$7,BE$4&lt;=Resumen_Sprints!$E$7+Resumen_Sprints!$D$7),INDEX('Sprint N°2'!$C$8:$O$8,BE$4-Resumen_Sprints!$E$7),0)</f>
        <v>0</v>
      </c>
      <c r="BF14" s="23">
        <f t="array" ref="BF14">IF(AND(BF$4&gt;Resumen_Sprints!$E$7,BF$4&lt;=Resumen_Sprints!$E$7+Resumen_Sprints!$D$7),INDEX('Sprint N°2'!$C$8:$O$8,BF$4-Resumen_Sprints!$E$7),0)</f>
        <v>0</v>
      </c>
      <c r="BG14" s="23">
        <f t="array" ref="BG14">IF(AND(BG$4&gt;Resumen_Sprints!$E$7,BG$4&lt;=Resumen_Sprints!$E$7+Resumen_Sprints!$D$7),INDEX('Sprint N°2'!$C$8:$O$8,BG$4-Resumen_Sprints!$E$7),0)</f>
        <v>0</v>
      </c>
      <c r="BH14" s="23">
        <f t="array" ref="BH14">IF(AND(BH$4&gt;Resumen_Sprints!$E$7,BH$4&lt;=Resumen_Sprints!$E$7+Resumen_Sprints!$D$7),INDEX('Sprint N°2'!$C$8:$O$8,BH$4-Resumen_Sprints!$E$7),0)</f>
        <v>0</v>
      </c>
      <c r="BI14" s="23">
        <f t="array" ref="BI14">IF(AND(BI$4&gt;Resumen_Sprints!$E$7,BI$4&lt;=Resumen_Sprints!$E$7+Resumen_Sprints!$D$7),INDEX('Sprint N°2'!$C$8:$O$8,BI$4-Resumen_Sprints!$E$7),0)</f>
        <v>0</v>
      </c>
      <c r="BJ14" s="23">
        <f t="array" ref="BJ14">IF(AND(BJ$4&gt;Resumen_Sprints!$E$7,BJ$4&lt;=Resumen_Sprints!$E$7+Resumen_Sprints!$D$7),INDEX('Sprint N°2'!$C$8:$O$8,BJ$4-Resumen_Sprints!$E$7),0)</f>
        <v>0</v>
      </c>
      <c r="BK14" s="23">
        <f t="array" ref="BK14">IF(AND(BK$4&gt;Resumen_Sprints!$E$7,BK$4&lt;=Resumen_Sprints!$E$7+Resumen_Sprints!$D$7),INDEX('Sprint N°2'!$C$8:$O$8,BK$4-Resumen_Sprints!$E$7),0)</f>
        <v>0</v>
      </c>
      <c r="BL14" s="23">
        <f t="array" ref="BL14">IF(AND(BL$4&gt;Resumen_Sprints!$E$7,BL$4&lt;=Resumen_Sprints!$E$7+Resumen_Sprints!$D$7),INDEX('Sprint N°2'!$C$8:$O$8,BL$4-Resumen_Sprints!$E$7),0)</f>
        <v>0</v>
      </c>
      <c r="BM14" s="23">
        <f t="array" ref="BM14">IF(AND(BM$4&gt;Resumen_Sprints!$E$7,BM$4&lt;=Resumen_Sprints!$E$7+Resumen_Sprints!$D$7),INDEX('Sprint N°2'!$C$8:$O$8,BM$4-Resumen_Sprints!$E$7),0)</f>
        <v>0</v>
      </c>
      <c r="BN14" s="23">
        <f t="array" ref="BN14">IF(AND(BN$4&gt;Resumen_Sprints!$E$7,BN$4&lt;=Resumen_Sprints!$E$7+Resumen_Sprints!$D$7),INDEX('Sprint N°2'!$C$8:$O$8,BN$4-Resumen_Sprints!$E$7),0)</f>
        <v>0</v>
      </c>
      <c r="BO14" s="23">
        <f t="array" ref="BO14">IF(AND(BO$4&gt;Resumen_Sprints!$E$7,BO$4&lt;=Resumen_Sprints!$E$7+Resumen_Sprints!$D$7),INDEX('Sprint N°2'!$C$8:$O$8,BO$4-Resumen_Sprints!$E$7),0)</f>
        <v>0</v>
      </c>
      <c r="BP14" s="23">
        <f t="array" ref="BP14">IF(AND(BP$4&gt;Resumen_Sprints!$E$7,BP$4&lt;=Resumen_Sprints!$E$7+Resumen_Sprints!$D$7),INDEX('Sprint N°2'!$C$8:$O$8,BP$4-Resumen_Sprints!$E$7),0)</f>
        <v>0</v>
      </c>
      <c r="BQ14" s="23">
        <f t="array" ref="BQ14">IF(AND(BQ$4&gt;Resumen_Sprints!$E$7,BQ$4&lt;=Resumen_Sprints!$E$7+Resumen_Sprints!$D$7),INDEX('Sprint N°2'!$C$8:$O$8,BQ$4-Resumen_Sprints!$E$7),0)</f>
        <v>0</v>
      </c>
      <c r="BR14" s="23">
        <f t="array" ref="BR14">IF(AND(BR$4&gt;Resumen_Sprints!$E$7,BR$4&lt;=Resumen_Sprints!$E$7+Resumen_Sprints!$D$7),INDEX('Sprint N°2'!$C$8:$O$8,BR$4-Resumen_Sprints!$E$7),0)</f>
        <v>0</v>
      </c>
      <c r="BS14" s="23">
        <f t="array" ref="BS14">IF(AND(BS$4&gt;Resumen_Sprints!$E$7,BS$4&lt;=Resumen_Sprints!$E$7+Resumen_Sprints!$D$7),INDEX('Sprint N°2'!$C$8:$O$8,BS$4-Resumen_Sprints!$E$7),0)</f>
        <v>0</v>
      </c>
      <c r="BT14" s="23">
        <f t="array" ref="BT14">IF(AND(BT$4&gt;Resumen_Sprints!$E$7,BT$4&lt;=Resumen_Sprints!$E$7+Resumen_Sprints!$D$7),INDEX('Sprint N°2'!$C$8:$O$8,BT$4-Resumen_Sprints!$E$7),0)</f>
        <v>0</v>
      </c>
      <c r="BU14" s="23">
        <f t="array" ref="BU14">IF(AND(BU$4&gt;Resumen_Sprints!$E$7,BU$4&lt;=Resumen_Sprints!$E$7+Resumen_Sprints!$D$7),INDEX('Sprint N°2'!$C$8:$O$8,BU$4-Resumen_Sprints!$E$7),0)</f>
        <v>0</v>
      </c>
      <c r="BV14" s="23">
        <f t="array" ref="BV14">IF(AND(BV$4&gt;Resumen_Sprints!$E$7,BV$4&lt;=Resumen_Sprints!$E$7+Resumen_Sprints!$D$7),INDEX('Sprint N°2'!$C$8:$O$8,BV$4-Resumen_Sprints!$E$7),0)</f>
        <v>0</v>
      </c>
      <c r="BW14" s="23">
        <f t="array" ref="BW14">IF(AND(BW$4&gt;Resumen_Sprints!$E$7,BW$4&lt;=Resumen_Sprints!$E$7+Resumen_Sprints!$D$7),INDEX('Sprint N°2'!$C$8:$O$8,BW$4-Resumen_Sprints!$E$7),0)</f>
        <v>0</v>
      </c>
      <c r="BX14" s="23">
        <f t="array" ref="BX14">IF(AND(BX$4&gt;Resumen_Sprints!$E$7,BX$4&lt;=Resumen_Sprints!$E$7+Resumen_Sprints!$D$7),INDEX('Sprint N°2'!$C$8:$O$8,BX$4-Resumen_Sprints!$E$7),0)</f>
        <v>0</v>
      </c>
      <c r="BY14" s="23">
        <f t="array" ref="BY14">IF(AND(BY$4&gt;Resumen_Sprints!$E$7,BY$4&lt;=Resumen_Sprints!$E$7+Resumen_Sprints!$D$7),INDEX('Sprint N°2'!$C$8:$O$8,BY$4-Resumen_Sprints!$E$7),0)</f>
        <v>0</v>
      </c>
      <c r="BZ14" s="23">
        <f t="array" ref="BZ14">IF(AND(BZ$4&gt;Resumen_Sprints!$E$7,BZ$4&lt;=Resumen_Sprints!$E$7+Resumen_Sprints!$D$7),INDEX('Sprint N°2'!$C$8:$O$8,BZ$4-Resumen_Sprints!$E$7),0)</f>
        <v>0</v>
      </c>
      <c r="CA14" s="23">
        <f t="array" ref="CA14">IF(AND(CA$4&gt;Resumen_Sprints!$E$7,CA$4&lt;=Resumen_Sprints!$E$7+Resumen_Sprints!$D$7),INDEX('Sprint N°2'!$C$8:$O$8,CA$4-Resumen_Sprints!$E$7),0)</f>
        <v>0</v>
      </c>
      <c r="CB14" s="23">
        <f t="array" ref="CB14">IF(AND(CB$4&gt;Resumen_Sprints!$E$7,CB$4&lt;=Resumen_Sprints!$E$7+Resumen_Sprints!$D$7),INDEX('Sprint N°2'!$C$8:$O$8,CB$4-Resumen_Sprints!$E$7),0)</f>
        <v>0</v>
      </c>
      <c r="CC14" s="23">
        <f t="array" ref="CC14">IF(AND(CC$4&gt;Resumen_Sprints!$E$7,CC$4&lt;=Resumen_Sprints!$E$7+Resumen_Sprints!$D$7),INDEX('Sprint N°2'!$C$8:$O$8,CC$4-Resumen_Sprints!$E$7),0)</f>
        <v>0</v>
      </c>
      <c r="CD14" s="23">
        <f t="array" ref="CD14">IF(AND(CD$4&gt;Resumen_Sprints!$E$7,CD$4&lt;=Resumen_Sprints!$E$7+Resumen_Sprints!$D$7),INDEX('Sprint N°2'!$C$8:$O$8,CD$4-Resumen_Sprints!$E$7),0)</f>
        <v>0</v>
      </c>
      <c r="CE14" s="23">
        <f t="array" ref="CE14">IF(AND(CE$4&gt;Resumen_Sprints!$E$7,CE$4&lt;=Resumen_Sprints!$E$7+Resumen_Sprints!$D$7),INDEX('Sprint N°2'!$C$8:$O$8,CE$4-Resumen_Sprints!$E$7),0)</f>
        <v>0</v>
      </c>
      <c r="CF14" s="23">
        <f t="array" ref="CF14">IF(AND(CF$4&gt;Resumen_Sprints!$E$7,CF$4&lt;=Resumen_Sprints!$E$7+Resumen_Sprints!$D$7),INDEX('Sprint N°2'!$C$8:$O$8,CF$4-Resumen_Sprints!$E$7),0)</f>
        <v>0</v>
      </c>
      <c r="CG14" s="23">
        <f t="array" ref="CG14">IF(AND(CG$4&gt;Resumen_Sprints!$E$7,CG$4&lt;=Resumen_Sprints!$E$7+Resumen_Sprints!$D$7),INDEX('Sprint N°2'!$C$8:$O$8,CG$4-Resumen_Sprints!$E$7),0)</f>
        <v>0</v>
      </c>
      <c r="CH14" s="23">
        <f t="array" ref="CH14">IF(AND(CH$4&gt;Resumen_Sprints!$E$7,CH$4&lt;=Resumen_Sprints!$E$7+Resumen_Sprints!$D$7),INDEX('Sprint N°2'!$C$8:$O$8,CH$4-Resumen_Sprints!$E$7),0)</f>
        <v>0</v>
      </c>
      <c r="CI14" s="23">
        <f t="array" ref="CI14">IF(AND(CI$4&gt;Resumen_Sprints!$E$7,CI$4&lt;=Resumen_Sprints!$E$7+Resumen_Sprints!$D$7),INDEX('Sprint N°2'!$C$8:$O$8,CI$4-Resumen_Sprints!$E$7),0)</f>
        <v>0</v>
      </c>
      <c r="CJ14" s="23">
        <f t="array" ref="CJ14">IF(AND(CJ$4&gt;Resumen_Sprints!$E$7,CJ$4&lt;=Resumen_Sprints!$E$7+Resumen_Sprints!$D$7),INDEX('Sprint N°2'!$C$8:$O$8,CJ$4-Resumen_Sprints!$E$7),0)</f>
        <v>0</v>
      </c>
      <c r="CK14" s="23">
        <f t="array" ref="CK14">IF(AND(CK$4&gt;Resumen_Sprints!$E$7,CK$4&lt;=Resumen_Sprints!$E$7+Resumen_Sprints!$D$7),INDEX('Sprint N°2'!$C$8:$O$8,CK$4-Resumen_Sprints!$E$7),0)</f>
        <v>0</v>
      </c>
      <c r="CL14" s="23">
        <f t="array" ref="CL14">IF(AND(CL$4&gt;Resumen_Sprints!$E$7,CL$4&lt;=Resumen_Sprints!$E$7+Resumen_Sprints!$D$7),INDEX('Sprint N°2'!$C$8:$O$8,CL$4-Resumen_Sprints!$E$7),0)</f>
        <v>0</v>
      </c>
      <c r="CM14" s="23">
        <f t="array" ref="CM14">IF(AND(CM$4&gt;Resumen_Sprints!$E$7,CM$4&lt;=Resumen_Sprints!$E$7+Resumen_Sprints!$D$7),INDEX('Sprint N°2'!$C$8:$O$8,CM$4-Resumen_Sprints!$E$7),0)</f>
        <v>0</v>
      </c>
      <c r="CN14" s="23">
        <f t="array" ref="CN14">IF(AND(CN$4&gt;Resumen_Sprints!$E$7,CN$4&lt;=Resumen_Sprints!$E$7+Resumen_Sprints!$D$7),INDEX('Sprint N°2'!$C$8:$O$8,CN$4-Resumen_Sprints!$E$7),0)</f>
        <v>0</v>
      </c>
      <c r="CO14" s="23">
        <f t="array" ref="CO14">IF(AND(CO$4&gt;Resumen_Sprints!$E$7,CO$4&lt;=Resumen_Sprints!$E$7+Resumen_Sprints!$D$7),INDEX('Sprint N°2'!$C$8:$O$8,CO$4-Resumen_Sprints!$E$7),0)</f>
        <v>0</v>
      </c>
      <c r="CP14" s="23">
        <f t="array" ref="CP14">IF(AND(CP$4&gt;Resumen_Sprints!$E$7,CP$4&lt;=Resumen_Sprints!$E$7+Resumen_Sprints!$D$7),INDEX('Sprint N°2'!$C$8:$O$8,CP$4-Resumen_Sprints!$E$7),0)</f>
        <v>0</v>
      </c>
      <c r="CQ14" s="23">
        <f t="array" ref="CQ14">IF(AND(CQ$4&gt;Resumen_Sprints!$E$7,CQ$4&lt;=Resumen_Sprints!$E$7+Resumen_Sprints!$D$7),INDEX('Sprint N°2'!$C$8:$O$8,CQ$4-Resumen_Sprints!$E$7),0)</f>
        <v>0</v>
      </c>
      <c r="CR14" s="23">
        <f t="array" ref="CR14">IF(AND(CR$4&gt;Resumen_Sprints!$E$7,CR$4&lt;=Resumen_Sprints!$E$7+Resumen_Sprints!$D$7),INDEX('Sprint N°2'!$C$8:$O$8,CR$4-Resumen_Sprints!$E$7),0)</f>
        <v>0</v>
      </c>
      <c r="CS14" s="23">
        <f t="array" ref="CS14">IF(AND(CS$4&gt;Resumen_Sprints!$E$7,CS$4&lt;=Resumen_Sprints!$E$7+Resumen_Sprints!$D$7),INDEX('Sprint N°2'!$C$8:$O$8,CS$4-Resumen_Sprints!$E$7),0)</f>
        <v>0</v>
      </c>
      <c r="CT14" s="23">
        <f t="array" ref="CT14">IF(AND(CT$4&gt;Resumen_Sprints!$E$7,CT$4&lt;=Resumen_Sprints!$E$7+Resumen_Sprints!$D$7),INDEX('Sprint N°2'!$C$8:$O$8,CT$4-Resumen_Sprints!$E$7),0)</f>
        <v>0</v>
      </c>
      <c r="CU14" s="25">
        <f t="shared" si="2"/>
        <v>22</v>
      </c>
    </row>
    <row r="15" ht="14.25" customHeight="1">
      <c r="A15" s="11" t="str">
        <f>'Sprint N°2'!A9</f>
        <v>Diseño de Prototipos de Interfaz</v>
      </c>
      <c r="B15" s="11">
        <f>'Sprint N°2'!B9</f>
        <v>18</v>
      </c>
      <c r="C15" s="23">
        <f t="array" ref="C15">IF(AND(C$4&gt;Resumen_Sprints!$E$7,C$4&lt;=Resumen_Sprints!$E$7+Resumen_Sprints!$D$7),INDEX('Sprint N°2'!$C$9:$O$9,C$4-Resumen_Sprints!$E$7),0)</f>
        <v>0</v>
      </c>
      <c r="D15" s="23">
        <f t="array" ref="D15">IF(AND(D$4&gt;Resumen_Sprints!$E$7,D$4&lt;=Resumen_Sprints!$E$7+Resumen_Sprints!$D$7),INDEX('Sprint N°2'!$C$9:$O$9,D$4-Resumen_Sprints!$E$7),0)</f>
        <v>0</v>
      </c>
      <c r="E15" s="23">
        <f t="array" ref="E15">IF(AND(E$4&gt;Resumen_Sprints!$E$7,E$4&lt;=Resumen_Sprints!$E$7+Resumen_Sprints!$D$7),INDEX('Sprint N°2'!$C$9:$O$9,E$4-Resumen_Sprints!$E$7),0)</f>
        <v>0</v>
      </c>
      <c r="F15" s="23">
        <f t="array" ref="F15">IF(AND(F$4&gt;Resumen_Sprints!$E$7,F$4&lt;=Resumen_Sprints!$E$7+Resumen_Sprints!$D$7),INDEX('Sprint N°2'!$C$9:$O$9,F$4-Resumen_Sprints!$E$7),0)</f>
        <v>0</v>
      </c>
      <c r="G15" s="23">
        <f t="array" ref="G15">IF(AND(G$4&gt;Resumen_Sprints!$E$7,G$4&lt;=Resumen_Sprints!$E$7+Resumen_Sprints!$D$7),INDEX('Sprint N°2'!$C$9:$O$9,G$4-Resumen_Sprints!$E$7),0)</f>
        <v>0</v>
      </c>
      <c r="H15" s="23">
        <f t="array" ref="H15">IF(AND(H$4&gt;Resumen_Sprints!$E$7,H$4&lt;=Resumen_Sprints!$E$7+Resumen_Sprints!$D$7),INDEX('Sprint N°2'!$C$9:$O$9,H$4-Resumen_Sprints!$E$7),0)</f>
        <v>0</v>
      </c>
      <c r="I15" s="23">
        <f t="array" ref="I15">IF(AND(I$4&gt;Resumen_Sprints!$E$7,I$4&lt;=Resumen_Sprints!$E$7+Resumen_Sprints!$D$7),INDEX('Sprint N°2'!$C$9:$O$9,I$4-Resumen_Sprints!$E$7),0)</f>
        <v>0</v>
      </c>
      <c r="J15" s="23" t="str">
        <f t="array" ref="J15">IF(AND(J$4&gt;Resumen_Sprints!$E$7,J$4&lt;=Resumen_Sprints!$E$7+Resumen_Sprints!$D$7),INDEX('Sprint N°2'!$C$9:$O$9,J$4-Resumen_Sprints!$E$7),0)</f>
        <v/>
      </c>
      <c r="K15" s="23" t="str">
        <f t="array" ref="K15">IF(AND(K$4&gt;Resumen_Sprints!$E$7,K$4&lt;=Resumen_Sprints!$E$7+Resumen_Sprints!$D$7),INDEX('Sprint N°2'!$C$9:$O$9,K$4-Resumen_Sprints!$E$7),0)</f>
        <v/>
      </c>
      <c r="L15" s="23" t="str">
        <f t="array" ref="L15">IF(AND(L$4&gt;Resumen_Sprints!$E$7,L$4&lt;=Resumen_Sprints!$E$7+Resumen_Sprints!$D$7),INDEX('Sprint N°2'!$C$9:$O$9,L$4-Resumen_Sprints!$E$7),0)</f>
        <v/>
      </c>
      <c r="M15" s="23" t="str">
        <f t="array" ref="M15">IF(AND(M$4&gt;Resumen_Sprints!$E$7,M$4&lt;=Resumen_Sprints!$E$7+Resumen_Sprints!$D$7),INDEX('Sprint N°2'!$C$9:$O$9,M$4-Resumen_Sprints!$E$7),0)</f>
        <v/>
      </c>
      <c r="N15" s="23" t="str">
        <f t="array" ref="N15">IF(AND(N$4&gt;Resumen_Sprints!$E$7,N$4&lt;=Resumen_Sprints!$E$7+Resumen_Sprints!$D$7),INDEX('Sprint N°2'!$C$9:$O$9,N$4-Resumen_Sprints!$E$7),0)</f>
        <v/>
      </c>
      <c r="O15" s="23" t="str">
        <f t="array" ref="O15">IF(AND(O$4&gt;Resumen_Sprints!$E$7,O$4&lt;=Resumen_Sprints!$E$7+Resumen_Sprints!$D$7),INDEX('Sprint N°2'!$C$9:$O$9,O$4-Resumen_Sprints!$E$7),0)</f>
        <v/>
      </c>
      <c r="P15" s="23" t="str">
        <f t="array" ref="P15">IF(AND(P$4&gt;Resumen_Sprints!$E$7,P$4&lt;=Resumen_Sprints!$E$7+Resumen_Sprints!$D$7),INDEX('Sprint N°2'!$C$9:$O$9,P$4-Resumen_Sprints!$E$7),0)</f>
        <v/>
      </c>
      <c r="Q15" s="23">
        <f t="array" ref="Q15">IF(AND(Q$4&gt;Resumen_Sprints!$E$7,Q$4&lt;=Resumen_Sprints!$E$7+Resumen_Sprints!$D$7),INDEX('Sprint N°2'!$C$9:$O$9,Q$4-Resumen_Sprints!$E$7),0)</f>
        <v>6</v>
      </c>
      <c r="R15" s="23">
        <f t="array" ref="R15">IF(AND(R$4&gt;Resumen_Sprints!$E$7,R$4&lt;=Resumen_Sprints!$E$7+Resumen_Sprints!$D$7),INDEX('Sprint N°2'!$C$9:$O$9,R$4-Resumen_Sprints!$E$7),0)</f>
        <v>10</v>
      </c>
      <c r="S15" s="23">
        <f t="array" ref="S15">IF(AND(S$4&gt;Resumen_Sprints!$E$7,S$4&lt;=Resumen_Sprints!$E$7+Resumen_Sprints!$D$7),INDEX('Sprint N°2'!$C$9:$O$9,S$4-Resumen_Sprints!$E$7),0)</f>
        <v>2</v>
      </c>
      <c r="T15" s="23" t="str">
        <f t="array" ref="T15">IF(AND(T$4&gt;Resumen_Sprints!$E$7,T$4&lt;=Resumen_Sprints!$E$7+Resumen_Sprints!$D$7),INDEX('Sprint N°2'!$C$9:$O$9,T$4-Resumen_Sprints!$E$7),0)</f>
        <v/>
      </c>
      <c r="U15" s="23" t="str">
        <f t="array" ref="U15">IF(AND(U$4&gt;Resumen_Sprints!$E$7,U$4&lt;=Resumen_Sprints!$E$7+Resumen_Sprints!$D$7),INDEX('Sprint N°2'!$C$9:$O$9,U$4-Resumen_Sprints!$E$7),0)</f>
        <v/>
      </c>
      <c r="V15" s="23" t="str">
        <f t="array" ref="V15">IF(AND(V$4&gt;Resumen_Sprints!$E$7,V$4&lt;=Resumen_Sprints!$E$7+Resumen_Sprints!$D$7),INDEX('Sprint N°2'!$C$9:$O$9,V$4-Resumen_Sprints!$E$7),0)</f>
        <v/>
      </c>
      <c r="W15" s="23">
        <f t="array" ref="W15">IF(AND(W$4&gt;Resumen_Sprints!$E$7,W$4&lt;=Resumen_Sprints!$E$7+Resumen_Sprints!$D$7),INDEX('Sprint N°2'!$C$9:$O$9,W$4-Resumen_Sprints!$E$7),0)</f>
        <v>0</v>
      </c>
      <c r="X15" s="23">
        <f t="array" ref="X15">IF(AND(X$4&gt;Resumen_Sprints!$E$7,X$4&lt;=Resumen_Sprints!$E$7+Resumen_Sprints!$D$7),INDEX('Sprint N°2'!$C$9:$O$9,X$4-Resumen_Sprints!$E$7),0)</f>
        <v>0</v>
      </c>
      <c r="Y15" s="23">
        <f t="array" ref="Y15">IF(AND(Y$4&gt;Resumen_Sprints!$E$7,Y$4&lt;=Resumen_Sprints!$E$7+Resumen_Sprints!$D$7),INDEX('Sprint N°2'!$C$9:$O$9,Y$4-Resumen_Sprints!$E$7),0)</f>
        <v>0</v>
      </c>
      <c r="Z15" s="23">
        <f t="array" ref="Z15">IF(AND(Z$4&gt;Resumen_Sprints!$E$7,Z$4&lt;=Resumen_Sprints!$E$7+Resumen_Sprints!$D$7),INDEX('Sprint N°2'!$C$9:$O$9,Z$4-Resumen_Sprints!$E$7),0)</f>
        <v>0</v>
      </c>
      <c r="AA15" s="23">
        <f t="array" ref="AA15">IF(AND(AA$4&gt;Resumen_Sprints!$E$7,AA$4&lt;=Resumen_Sprints!$E$7+Resumen_Sprints!$D$7),INDEX('Sprint N°2'!$C$9:$O$9,AA$4-Resumen_Sprints!$E$7),0)</f>
        <v>0</v>
      </c>
      <c r="AB15" s="23">
        <f t="array" ref="AB15">IF(AND(AB$4&gt;Resumen_Sprints!$E$7,AB$4&lt;=Resumen_Sprints!$E$7+Resumen_Sprints!$D$7),INDEX('Sprint N°2'!$C$9:$O$9,AB$4-Resumen_Sprints!$E$7),0)</f>
        <v>0</v>
      </c>
      <c r="AC15" s="23">
        <f t="array" ref="AC15">IF(AND(AC$4&gt;Resumen_Sprints!$E$7,AC$4&lt;=Resumen_Sprints!$E$7+Resumen_Sprints!$D$7),INDEX('Sprint N°2'!$C$9:$O$9,AC$4-Resumen_Sprints!$E$7),0)</f>
        <v>0</v>
      </c>
      <c r="AD15" s="23">
        <f t="array" ref="AD15">IF(AND(AD$4&gt;Resumen_Sprints!$E$7,AD$4&lt;=Resumen_Sprints!$E$7+Resumen_Sprints!$D$7),INDEX('Sprint N°2'!$C$9:$O$9,AD$4-Resumen_Sprints!$E$7),0)</f>
        <v>0</v>
      </c>
      <c r="AE15" s="23">
        <f t="array" ref="AE15">IF(AND(AE$4&gt;Resumen_Sprints!$E$7,AE$4&lt;=Resumen_Sprints!$E$7+Resumen_Sprints!$D$7),INDEX('Sprint N°2'!$C$9:$O$9,AE$4-Resumen_Sprints!$E$7),0)</f>
        <v>0</v>
      </c>
      <c r="AF15" s="23">
        <f t="array" ref="AF15">IF(AND(AF$4&gt;Resumen_Sprints!$E$7,AF$4&lt;=Resumen_Sprints!$E$7+Resumen_Sprints!$D$7),INDEX('Sprint N°2'!$C$9:$O$9,AF$4-Resumen_Sprints!$E$7),0)</f>
        <v>0</v>
      </c>
      <c r="AG15" s="23">
        <f t="array" ref="AG15">IF(AND(AG$4&gt;Resumen_Sprints!$E$7,AG$4&lt;=Resumen_Sprints!$E$7+Resumen_Sprints!$D$7),INDEX('Sprint N°2'!$C$9:$O$9,AG$4-Resumen_Sprints!$E$7),0)</f>
        <v>0</v>
      </c>
      <c r="AH15" s="23">
        <f t="array" ref="AH15">IF(AND(AH$4&gt;Resumen_Sprints!$E$7,AH$4&lt;=Resumen_Sprints!$E$7+Resumen_Sprints!$D$7),INDEX('Sprint N°2'!$C$9:$O$9,AH$4-Resumen_Sprints!$E$7),0)</f>
        <v>0</v>
      </c>
      <c r="AI15" s="23">
        <f t="array" ref="AI15">IF(AND(AI$4&gt;Resumen_Sprints!$E$7,AI$4&lt;=Resumen_Sprints!$E$7+Resumen_Sprints!$D$7),INDEX('Sprint N°2'!$C$9:$O$9,AI$4-Resumen_Sprints!$E$7),0)</f>
        <v>0</v>
      </c>
      <c r="AJ15" s="23">
        <f t="array" ref="AJ15">IF(AND(AJ$4&gt;Resumen_Sprints!$E$7,AJ$4&lt;=Resumen_Sprints!$E$7+Resumen_Sprints!$D$7),INDEX('Sprint N°2'!$C$9:$O$9,AJ$4-Resumen_Sprints!$E$7),0)</f>
        <v>0</v>
      </c>
      <c r="AK15" s="23">
        <f t="array" ref="AK15">IF(AND(AK$4&gt;Resumen_Sprints!$E$7,AK$4&lt;=Resumen_Sprints!$E$7+Resumen_Sprints!$D$7),INDEX('Sprint N°2'!$C$9:$O$9,AK$4-Resumen_Sprints!$E$7),0)</f>
        <v>0</v>
      </c>
      <c r="AL15" s="23">
        <f t="array" ref="AL15">IF(AND(AL$4&gt;Resumen_Sprints!$E$7,AL$4&lt;=Resumen_Sprints!$E$7+Resumen_Sprints!$D$7),INDEX('Sprint N°2'!$C$9:$O$9,AL$4-Resumen_Sprints!$E$7),0)</f>
        <v>0</v>
      </c>
      <c r="AM15" s="23">
        <f t="array" ref="AM15">IF(AND(AM$4&gt;Resumen_Sprints!$E$7,AM$4&lt;=Resumen_Sprints!$E$7+Resumen_Sprints!$D$7),INDEX('Sprint N°2'!$C$9:$O$9,AM$4-Resumen_Sprints!$E$7),0)</f>
        <v>0</v>
      </c>
      <c r="AN15" s="23">
        <f t="array" ref="AN15">IF(AND(AN$4&gt;Resumen_Sprints!$E$7,AN$4&lt;=Resumen_Sprints!$E$7+Resumen_Sprints!$D$7),INDEX('Sprint N°2'!$C$9:$O$9,AN$4-Resumen_Sprints!$E$7),0)</f>
        <v>0</v>
      </c>
      <c r="AO15" s="23">
        <f t="array" ref="AO15">IF(AND(AO$4&gt;Resumen_Sprints!$E$7,AO$4&lt;=Resumen_Sprints!$E$7+Resumen_Sprints!$D$7),INDEX('Sprint N°2'!$C$9:$O$9,AO$4-Resumen_Sprints!$E$7),0)</f>
        <v>0</v>
      </c>
      <c r="AP15" s="23">
        <f t="array" ref="AP15">IF(AND(AP$4&gt;Resumen_Sprints!$E$7,AP$4&lt;=Resumen_Sprints!$E$7+Resumen_Sprints!$D$7),INDEX('Sprint N°2'!$C$9:$O$9,AP$4-Resumen_Sprints!$E$7),0)</f>
        <v>0</v>
      </c>
      <c r="AQ15" s="23">
        <f t="array" ref="AQ15">IF(AND(AQ$4&gt;Resumen_Sprints!$E$7,AQ$4&lt;=Resumen_Sprints!$E$7+Resumen_Sprints!$D$7),INDEX('Sprint N°2'!$C$9:$O$9,AQ$4-Resumen_Sprints!$E$7),0)</f>
        <v>0</v>
      </c>
      <c r="AR15" s="23">
        <f t="array" ref="AR15">IF(AND(AR$4&gt;Resumen_Sprints!$E$7,AR$4&lt;=Resumen_Sprints!$E$7+Resumen_Sprints!$D$7),INDEX('Sprint N°2'!$C$9:$O$9,AR$4-Resumen_Sprints!$E$7),0)</f>
        <v>0</v>
      </c>
      <c r="AS15" s="23">
        <f t="array" ref="AS15">IF(AND(AS$4&gt;Resumen_Sprints!$E$7,AS$4&lt;=Resumen_Sprints!$E$7+Resumen_Sprints!$D$7),INDEX('Sprint N°2'!$C$9:$O$9,AS$4-Resumen_Sprints!$E$7),0)</f>
        <v>0</v>
      </c>
      <c r="AT15" s="23">
        <f t="array" ref="AT15">IF(AND(AT$4&gt;Resumen_Sprints!$E$7,AT$4&lt;=Resumen_Sprints!$E$7+Resumen_Sprints!$D$7),INDEX('Sprint N°2'!$C$9:$O$9,AT$4-Resumen_Sprints!$E$7),0)</f>
        <v>0</v>
      </c>
      <c r="AU15" s="23">
        <f t="array" ref="AU15">IF(AND(AU$4&gt;Resumen_Sprints!$E$7,AU$4&lt;=Resumen_Sprints!$E$7+Resumen_Sprints!$D$7),INDEX('Sprint N°2'!$C$9:$O$9,AU$4-Resumen_Sprints!$E$7),0)</f>
        <v>0</v>
      </c>
      <c r="AV15" s="23">
        <f t="array" ref="AV15">IF(AND(AV$4&gt;Resumen_Sprints!$E$7,AV$4&lt;=Resumen_Sprints!$E$7+Resumen_Sprints!$D$7),INDEX('Sprint N°2'!$C$9:$O$9,AV$4-Resumen_Sprints!$E$7),0)</f>
        <v>0</v>
      </c>
      <c r="AW15" s="23">
        <f t="array" ref="AW15">IF(AND(AW$4&gt;Resumen_Sprints!$E$7,AW$4&lt;=Resumen_Sprints!$E$7+Resumen_Sprints!$D$7),INDEX('Sprint N°2'!$C$9:$O$9,AW$4-Resumen_Sprints!$E$7),0)</f>
        <v>0</v>
      </c>
      <c r="AX15" s="23">
        <f t="array" ref="AX15">IF(AND(AX$4&gt;Resumen_Sprints!$E$7,AX$4&lt;=Resumen_Sprints!$E$7+Resumen_Sprints!$D$7),INDEX('Sprint N°2'!$C$9:$O$9,AX$4-Resumen_Sprints!$E$7),0)</f>
        <v>0</v>
      </c>
      <c r="AY15" s="23">
        <f t="array" ref="AY15">IF(AND(AY$4&gt;Resumen_Sprints!$E$7,AY$4&lt;=Resumen_Sprints!$E$7+Resumen_Sprints!$D$7),INDEX('Sprint N°2'!$C$9:$O$9,AY$4-Resumen_Sprints!$E$7),0)</f>
        <v>0</v>
      </c>
      <c r="AZ15" s="23">
        <f t="array" ref="AZ15">IF(AND(AZ$4&gt;Resumen_Sprints!$E$7,AZ$4&lt;=Resumen_Sprints!$E$7+Resumen_Sprints!$D$7),INDEX('Sprint N°2'!$C$9:$O$9,AZ$4-Resumen_Sprints!$E$7),0)</f>
        <v>0</v>
      </c>
      <c r="BA15" s="23">
        <f t="array" ref="BA15">IF(AND(BA$4&gt;Resumen_Sprints!$E$7,BA$4&lt;=Resumen_Sprints!$E$7+Resumen_Sprints!$D$7),INDEX('Sprint N°2'!$C$9:$O$9,BA$4-Resumen_Sprints!$E$7),0)</f>
        <v>0</v>
      </c>
      <c r="BB15" s="23">
        <f t="array" ref="BB15">IF(AND(BB$4&gt;Resumen_Sprints!$E$7,BB$4&lt;=Resumen_Sprints!$E$7+Resumen_Sprints!$D$7),INDEX('Sprint N°2'!$C$9:$O$9,BB$4-Resumen_Sprints!$E$7),0)</f>
        <v>0</v>
      </c>
      <c r="BC15" s="23">
        <f t="array" ref="BC15">IF(AND(BC$4&gt;Resumen_Sprints!$E$7,BC$4&lt;=Resumen_Sprints!$E$7+Resumen_Sprints!$D$7),INDEX('Sprint N°2'!$C$9:$O$9,BC$4-Resumen_Sprints!$E$7),0)</f>
        <v>0</v>
      </c>
      <c r="BD15" s="23">
        <f t="array" ref="BD15">IF(AND(BD$4&gt;Resumen_Sprints!$E$7,BD$4&lt;=Resumen_Sprints!$E$7+Resumen_Sprints!$D$7),INDEX('Sprint N°2'!$C$9:$O$9,BD$4-Resumen_Sprints!$E$7),0)</f>
        <v>0</v>
      </c>
      <c r="BE15" s="23">
        <f t="array" ref="BE15">IF(AND(BE$4&gt;Resumen_Sprints!$E$7,BE$4&lt;=Resumen_Sprints!$E$7+Resumen_Sprints!$D$7),INDEX('Sprint N°2'!$C$9:$O$9,BE$4-Resumen_Sprints!$E$7),0)</f>
        <v>0</v>
      </c>
      <c r="BF15" s="23">
        <f t="array" ref="BF15">IF(AND(BF$4&gt;Resumen_Sprints!$E$7,BF$4&lt;=Resumen_Sprints!$E$7+Resumen_Sprints!$D$7),INDEX('Sprint N°2'!$C$9:$O$9,BF$4-Resumen_Sprints!$E$7),0)</f>
        <v>0</v>
      </c>
      <c r="BG15" s="23">
        <f t="array" ref="BG15">IF(AND(BG$4&gt;Resumen_Sprints!$E$7,BG$4&lt;=Resumen_Sprints!$E$7+Resumen_Sprints!$D$7),INDEX('Sprint N°2'!$C$9:$O$9,BG$4-Resumen_Sprints!$E$7),0)</f>
        <v>0</v>
      </c>
      <c r="BH15" s="23">
        <f t="array" ref="BH15">IF(AND(BH$4&gt;Resumen_Sprints!$E$7,BH$4&lt;=Resumen_Sprints!$E$7+Resumen_Sprints!$D$7),INDEX('Sprint N°2'!$C$9:$O$9,BH$4-Resumen_Sprints!$E$7),0)</f>
        <v>0</v>
      </c>
      <c r="BI15" s="23">
        <f t="array" ref="BI15">IF(AND(BI$4&gt;Resumen_Sprints!$E$7,BI$4&lt;=Resumen_Sprints!$E$7+Resumen_Sprints!$D$7),INDEX('Sprint N°2'!$C$9:$O$9,BI$4-Resumen_Sprints!$E$7),0)</f>
        <v>0</v>
      </c>
      <c r="BJ15" s="23">
        <f t="array" ref="BJ15">IF(AND(BJ$4&gt;Resumen_Sprints!$E$7,BJ$4&lt;=Resumen_Sprints!$E$7+Resumen_Sprints!$D$7),INDEX('Sprint N°2'!$C$9:$O$9,BJ$4-Resumen_Sprints!$E$7),0)</f>
        <v>0</v>
      </c>
      <c r="BK15" s="23">
        <f t="array" ref="BK15">IF(AND(BK$4&gt;Resumen_Sprints!$E$7,BK$4&lt;=Resumen_Sprints!$E$7+Resumen_Sprints!$D$7),INDEX('Sprint N°2'!$C$9:$O$9,BK$4-Resumen_Sprints!$E$7),0)</f>
        <v>0</v>
      </c>
      <c r="BL15" s="23">
        <f t="array" ref="BL15">IF(AND(BL$4&gt;Resumen_Sprints!$E$7,BL$4&lt;=Resumen_Sprints!$E$7+Resumen_Sprints!$D$7),INDEX('Sprint N°2'!$C$9:$O$9,BL$4-Resumen_Sprints!$E$7),0)</f>
        <v>0</v>
      </c>
      <c r="BM15" s="23">
        <f t="array" ref="BM15">IF(AND(BM$4&gt;Resumen_Sprints!$E$7,BM$4&lt;=Resumen_Sprints!$E$7+Resumen_Sprints!$D$7),INDEX('Sprint N°2'!$C$9:$O$9,BM$4-Resumen_Sprints!$E$7),0)</f>
        <v>0</v>
      </c>
      <c r="BN15" s="23">
        <f t="array" ref="BN15">IF(AND(BN$4&gt;Resumen_Sprints!$E$7,BN$4&lt;=Resumen_Sprints!$E$7+Resumen_Sprints!$D$7),INDEX('Sprint N°2'!$C$9:$O$9,BN$4-Resumen_Sprints!$E$7),0)</f>
        <v>0</v>
      </c>
      <c r="BO15" s="23">
        <f t="array" ref="BO15">IF(AND(BO$4&gt;Resumen_Sprints!$E$7,BO$4&lt;=Resumen_Sprints!$E$7+Resumen_Sprints!$D$7),INDEX('Sprint N°2'!$C$9:$O$9,BO$4-Resumen_Sprints!$E$7),0)</f>
        <v>0</v>
      </c>
      <c r="BP15" s="23">
        <f t="array" ref="BP15">IF(AND(BP$4&gt;Resumen_Sprints!$E$7,BP$4&lt;=Resumen_Sprints!$E$7+Resumen_Sprints!$D$7),INDEX('Sprint N°2'!$C$9:$O$9,BP$4-Resumen_Sprints!$E$7),0)</f>
        <v>0</v>
      </c>
      <c r="BQ15" s="23">
        <f t="array" ref="BQ15">IF(AND(BQ$4&gt;Resumen_Sprints!$E$7,BQ$4&lt;=Resumen_Sprints!$E$7+Resumen_Sprints!$D$7),INDEX('Sprint N°2'!$C$9:$O$9,BQ$4-Resumen_Sprints!$E$7),0)</f>
        <v>0</v>
      </c>
      <c r="BR15" s="23">
        <f t="array" ref="BR15">IF(AND(BR$4&gt;Resumen_Sprints!$E$7,BR$4&lt;=Resumen_Sprints!$E$7+Resumen_Sprints!$D$7),INDEX('Sprint N°2'!$C$9:$O$9,BR$4-Resumen_Sprints!$E$7),0)</f>
        <v>0</v>
      </c>
      <c r="BS15" s="23">
        <f t="array" ref="BS15">IF(AND(BS$4&gt;Resumen_Sprints!$E$7,BS$4&lt;=Resumen_Sprints!$E$7+Resumen_Sprints!$D$7),INDEX('Sprint N°2'!$C$9:$O$9,BS$4-Resumen_Sprints!$E$7),0)</f>
        <v>0</v>
      </c>
      <c r="BT15" s="23">
        <f t="array" ref="BT15">IF(AND(BT$4&gt;Resumen_Sprints!$E$7,BT$4&lt;=Resumen_Sprints!$E$7+Resumen_Sprints!$D$7),INDEX('Sprint N°2'!$C$9:$O$9,BT$4-Resumen_Sprints!$E$7),0)</f>
        <v>0</v>
      </c>
      <c r="BU15" s="23">
        <f t="array" ref="BU15">IF(AND(BU$4&gt;Resumen_Sprints!$E$7,BU$4&lt;=Resumen_Sprints!$E$7+Resumen_Sprints!$D$7),INDEX('Sprint N°2'!$C$9:$O$9,BU$4-Resumen_Sprints!$E$7),0)</f>
        <v>0</v>
      </c>
      <c r="BV15" s="23">
        <f t="array" ref="BV15">IF(AND(BV$4&gt;Resumen_Sprints!$E$7,BV$4&lt;=Resumen_Sprints!$E$7+Resumen_Sprints!$D$7),INDEX('Sprint N°2'!$C$9:$O$9,BV$4-Resumen_Sprints!$E$7),0)</f>
        <v>0</v>
      </c>
      <c r="BW15" s="23">
        <f t="array" ref="BW15">IF(AND(BW$4&gt;Resumen_Sprints!$E$7,BW$4&lt;=Resumen_Sprints!$E$7+Resumen_Sprints!$D$7),INDEX('Sprint N°2'!$C$9:$O$9,BW$4-Resumen_Sprints!$E$7),0)</f>
        <v>0</v>
      </c>
      <c r="BX15" s="23">
        <f t="array" ref="BX15">IF(AND(BX$4&gt;Resumen_Sprints!$E$7,BX$4&lt;=Resumen_Sprints!$E$7+Resumen_Sprints!$D$7),INDEX('Sprint N°2'!$C$9:$O$9,BX$4-Resumen_Sprints!$E$7),0)</f>
        <v>0</v>
      </c>
      <c r="BY15" s="23">
        <f t="array" ref="BY15">IF(AND(BY$4&gt;Resumen_Sprints!$E$7,BY$4&lt;=Resumen_Sprints!$E$7+Resumen_Sprints!$D$7),INDEX('Sprint N°2'!$C$9:$O$9,BY$4-Resumen_Sprints!$E$7),0)</f>
        <v>0</v>
      </c>
      <c r="BZ15" s="23">
        <f t="array" ref="BZ15">IF(AND(BZ$4&gt;Resumen_Sprints!$E$7,BZ$4&lt;=Resumen_Sprints!$E$7+Resumen_Sprints!$D$7),INDEX('Sprint N°2'!$C$9:$O$9,BZ$4-Resumen_Sprints!$E$7),0)</f>
        <v>0</v>
      </c>
      <c r="CA15" s="23">
        <f t="array" ref="CA15">IF(AND(CA$4&gt;Resumen_Sprints!$E$7,CA$4&lt;=Resumen_Sprints!$E$7+Resumen_Sprints!$D$7),INDEX('Sprint N°2'!$C$9:$O$9,CA$4-Resumen_Sprints!$E$7),0)</f>
        <v>0</v>
      </c>
      <c r="CB15" s="23">
        <f t="array" ref="CB15">IF(AND(CB$4&gt;Resumen_Sprints!$E$7,CB$4&lt;=Resumen_Sprints!$E$7+Resumen_Sprints!$D$7),INDEX('Sprint N°2'!$C$9:$O$9,CB$4-Resumen_Sprints!$E$7),0)</f>
        <v>0</v>
      </c>
      <c r="CC15" s="23">
        <f t="array" ref="CC15">IF(AND(CC$4&gt;Resumen_Sprints!$E$7,CC$4&lt;=Resumen_Sprints!$E$7+Resumen_Sprints!$D$7),INDEX('Sprint N°2'!$C$9:$O$9,CC$4-Resumen_Sprints!$E$7),0)</f>
        <v>0</v>
      </c>
      <c r="CD15" s="23">
        <f t="array" ref="CD15">IF(AND(CD$4&gt;Resumen_Sprints!$E$7,CD$4&lt;=Resumen_Sprints!$E$7+Resumen_Sprints!$D$7),INDEX('Sprint N°2'!$C$9:$O$9,CD$4-Resumen_Sprints!$E$7),0)</f>
        <v>0</v>
      </c>
      <c r="CE15" s="23">
        <f t="array" ref="CE15">IF(AND(CE$4&gt;Resumen_Sprints!$E$7,CE$4&lt;=Resumen_Sprints!$E$7+Resumen_Sprints!$D$7),INDEX('Sprint N°2'!$C$9:$O$9,CE$4-Resumen_Sprints!$E$7),0)</f>
        <v>0</v>
      </c>
      <c r="CF15" s="23">
        <f t="array" ref="CF15">IF(AND(CF$4&gt;Resumen_Sprints!$E$7,CF$4&lt;=Resumen_Sprints!$E$7+Resumen_Sprints!$D$7),INDEX('Sprint N°2'!$C$9:$O$9,CF$4-Resumen_Sprints!$E$7),0)</f>
        <v>0</v>
      </c>
      <c r="CG15" s="23">
        <f t="array" ref="CG15">IF(AND(CG$4&gt;Resumen_Sprints!$E$7,CG$4&lt;=Resumen_Sprints!$E$7+Resumen_Sprints!$D$7),INDEX('Sprint N°2'!$C$9:$O$9,CG$4-Resumen_Sprints!$E$7),0)</f>
        <v>0</v>
      </c>
      <c r="CH15" s="23">
        <f t="array" ref="CH15">IF(AND(CH$4&gt;Resumen_Sprints!$E$7,CH$4&lt;=Resumen_Sprints!$E$7+Resumen_Sprints!$D$7),INDEX('Sprint N°2'!$C$9:$O$9,CH$4-Resumen_Sprints!$E$7),0)</f>
        <v>0</v>
      </c>
      <c r="CI15" s="23">
        <f t="array" ref="CI15">IF(AND(CI$4&gt;Resumen_Sprints!$E$7,CI$4&lt;=Resumen_Sprints!$E$7+Resumen_Sprints!$D$7),INDEX('Sprint N°2'!$C$9:$O$9,CI$4-Resumen_Sprints!$E$7),0)</f>
        <v>0</v>
      </c>
      <c r="CJ15" s="23">
        <f t="array" ref="CJ15">IF(AND(CJ$4&gt;Resumen_Sprints!$E$7,CJ$4&lt;=Resumen_Sprints!$E$7+Resumen_Sprints!$D$7),INDEX('Sprint N°2'!$C$9:$O$9,CJ$4-Resumen_Sprints!$E$7),0)</f>
        <v>0</v>
      </c>
      <c r="CK15" s="23">
        <f t="array" ref="CK15">IF(AND(CK$4&gt;Resumen_Sprints!$E$7,CK$4&lt;=Resumen_Sprints!$E$7+Resumen_Sprints!$D$7),INDEX('Sprint N°2'!$C$9:$O$9,CK$4-Resumen_Sprints!$E$7),0)</f>
        <v>0</v>
      </c>
      <c r="CL15" s="23">
        <f t="array" ref="CL15">IF(AND(CL$4&gt;Resumen_Sprints!$E$7,CL$4&lt;=Resumen_Sprints!$E$7+Resumen_Sprints!$D$7),INDEX('Sprint N°2'!$C$9:$O$9,CL$4-Resumen_Sprints!$E$7),0)</f>
        <v>0</v>
      </c>
      <c r="CM15" s="23">
        <f t="array" ref="CM15">IF(AND(CM$4&gt;Resumen_Sprints!$E$7,CM$4&lt;=Resumen_Sprints!$E$7+Resumen_Sprints!$D$7),INDEX('Sprint N°2'!$C$9:$O$9,CM$4-Resumen_Sprints!$E$7),0)</f>
        <v>0</v>
      </c>
      <c r="CN15" s="23">
        <f t="array" ref="CN15">IF(AND(CN$4&gt;Resumen_Sprints!$E$7,CN$4&lt;=Resumen_Sprints!$E$7+Resumen_Sprints!$D$7),INDEX('Sprint N°2'!$C$9:$O$9,CN$4-Resumen_Sprints!$E$7),0)</f>
        <v>0</v>
      </c>
      <c r="CO15" s="23">
        <f t="array" ref="CO15">IF(AND(CO$4&gt;Resumen_Sprints!$E$7,CO$4&lt;=Resumen_Sprints!$E$7+Resumen_Sprints!$D$7),INDEX('Sprint N°2'!$C$9:$O$9,CO$4-Resumen_Sprints!$E$7),0)</f>
        <v>0</v>
      </c>
      <c r="CP15" s="23">
        <f t="array" ref="CP15">IF(AND(CP$4&gt;Resumen_Sprints!$E$7,CP$4&lt;=Resumen_Sprints!$E$7+Resumen_Sprints!$D$7),INDEX('Sprint N°2'!$C$9:$O$9,CP$4-Resumen_Sprints!$E$7),0)</f>
        <v>0</v>
      </c>
      <c r="CQ15" s="23">
        <f t="array" ref="CQ15">IF(AND(CQ$4&gt;Resumen_Sprints!$E$7,CQ$4&lt;=Resumen_Sprints!$E$7+Resumen_Sprints!$D$7),INDEX('Sprint N°2'!$C$9:$O$9,CQ$4-Resumen_Sprints!$E$7),0)</f>
        <v>0</v>
      </c>
      <c r="CR15" s="23">
        <f t="array" ref="CR15">IF(AND(CR$4&gt;Resumen_Sprints!$E$7,CR$4&lt;=Resumen_Sprints!$E$7+Resumen_Sprints!$D$7),INDEX('Sprint N°2'!$C$9:$O$9,CR$4-Resumen_Sprints!$E$7),0)</f>
        <v>0</v>
      </c>
      <c r="CS15" s="23">
        <f t="array" ref="CS15">IF(AND(CS$4&gt;Resumen_Sprints!$E$7,CS$4&lt;=Resumen_Sprints!$E$7+Resumen_Sprints!$D$7),INDEX('Sprint N°2'!$C$9:$O$9,CS$4-Resumen_Sprints!$E$7),0)</f>
        <v>0</v>
      </c>
      <c r="CT15" s="23">
        <f t="array" ref="CT15">IF(AND(CT$4&gt;Resumen_Sprints!$E$7,CT$4&lt;=Resumen_Sprints!$E$7+Resumen_Sprints!$D$7),INDEX('Sprint N°2'!$C$9:$O$9,CT$4-Resumen_Sprints!$E$7),0)</f>
        <v>0</v>
      </c>
      <c r="CU15" s="25">
        <f t="shared" si="2"/>
        <v>18</v>
      </c>
    </row>
    <row r="16" ht="14.25" customHeight="1">
      <c r="A16" s="11" t="str">
        <f>'Sprint N°2'!A10</f>
        <v>Diseño del Algoritmo de Cubicación</v>
      </c>
      <c r="B16" s="11">
        <f>'Sprint N°2'!B10</f>
        <v>11</v>
      </c>
      <c r="C16" s="23">
        <f t="array" ref="C16">IF(AND(C$4&gt;Resumen_Sprints!$E$7,C$4&lt;=Resumen_Sprints!$E$7+Resumen_Sprints!$D$7),INDEX('Sprint N°2'!$C$10:$O$10,C$4-Resumen_Sprints!$E$7),0)</f>
        <v>0</v>
      </c>
      <c r="D16" s="23">
        <f t="array" ref="D16">IF(AND(D$4&gt;Resumen_Sprints!$E$7,D$4&lt;=Resumen_Sprints!$E$7+Resumen_Sprints!$D$7),INDEX('Sprint N°2'!$C$10:$O$10,D$4-Resumen_Sprints!$E$7),0)</f>
        <v>0</v>
      </c>
      <c r="E16" s="23">
        <f t="array" ref="E16">IF(AND(E$4&gt;Resumen_Sprints!$E$7,E$4&lt;=Resumen_Sprints!$E$7+Resumen_Sprints!$D$7),INDEX('Sprint N°2'!$C$10:$O$10,E$4-Resumen_Sprints!$E$7),0)</f>
        <v>0</v>
      </c>
      <c r="F16" s="23">
        <f t="array" ref="F16">IF(AND(F$4&gt;Resumen_Sprints!$E$7,F$4&lt;=Resumen_Sprints!$E$7+Resumen_Sprints!$D$7),INDEX('Sprint N°2'!$C$10:$O$10,F$4-Resumen_Sprints!$E$7),0)</f>
        <v>0</v>
      </c>
      <c r="G16" s="23">
        <f t="array" ref="G16">IF(AND(G$4&gt;Resumen_Sprints!$E$7,G$4&lt;=Resumen_Sprints!$E$7+Resumen_Sprints!$D$7),INDEX('Sprint N°2'!$C$10:$O$10,G$4-Resumen_Sprints!$E$7),0)</f>
        <v>0</v>
      </c>
      <c r="H16" s="23">
        <f t="array" ref="H16">IF(AND(H$4&gt;Resumen_Sprints!$E$7,H$4&lt;=Resumen_Sprints!$E$7+Resumen_Sprints!$D$7),INDEX('Sprint N°2'!$C$10:$O$10,H$4-Resumen_Sprints!$E$7),0)</f>
        <v>0</v>
      </c>
      <c r="I16" s="23">
        <f t="array" ref="I16">IF(AND(I$4&gt;Resumen_Sprints!$E$7,I$4&lt;=Resumen_Sprints!$E$7+Resumen_Sprints!$D$7),INDEX('Sprint N°2'!$C$10:$O$10,I$4-Resumen_Sprints!$E$7),0)</f>
        <v>0</v>
      </c>
      <c r="J16" s="23" t="str">
        <f t="array" ref="J16">IF(AND(J$4&gt;Resumen_Sprints!$E$7,J$4&lt;=Resumen_Sprints!$E$7+Resumen_Sprints!$D$7),INDEX('Sprint N°2'!$C$10:$O$10,J$4-Resumen_Sprints!$E$7),0)</f>
        <v/>
      </c>
      <c r="K16" s="23" t="str">
        <f t="array" ref="K16">IF(AND(K$4&gt;Resumen_Sprints!$E$7,K$4&lt;=Resumen_Sprints!$E$7+Resumen_Sprints!$D$7),INDEX('Sprint N°2'!$C$10:$O$10,K$4-Resumen_Sprints!$E$7),0)</f>
        <v/>
      </c>
      <c r="L16" s="23" t="str">
        <f t="array" ref="L16">IF(AND(L$4&gt;Resumen_Sprints!$E$7,L$4&lt;=Resumen_Sprints!$E$7+Resumen_Sprints!$D$7),INDEX('Sprint N°2'!$C$10:$O$10,L$4-Resumen_Sprints!$E$7),0)</f>
        <v/>
      </c>
      <c r="M16" s="23" t="str">
        <f t="array" ref="M16">IF(AND(M$4&gt;Resumen_Sprints!$E$7,M$4&lt;=Resumen_Sprints!$E$7+Resumen_Sprints!$D$7),INDEX('Sprint N°2'!$C$10:$O$10,M$4-Resumen_Sprints!$E$7),0)</f>
        <v/>
      </c>
      <c r="N16" s="23" t="str">
        <f t="array" ref="N16">IF(AND(N$4&gt;Resumen_Sprints!$E$7,N$4&lt;=Resumen_Sprints!$E$7+Resumen_Sprints!$D$7),INDEX('Sprint N°2'!$C$10:$O$10,N$4-Resumen_Sprints!$E$7),0)</f>
        <v/>
      </c>
      <c r="O16" s="23" t="str">
        <f t="array" ref="O16">IF(AND(O$4&gt;Resumen_Sprints!$E$7,O$4&lt;=Resumen_Sprints!$E$7+Resumen_Sprints!$D$7),INDEX('Sprint N°2'!$C$10:$O$10,O$4-Resumen_Sprints!$E$7),0)</f>
        <v/>
      </c>
      <c r="P16" s="23" t="str">
        <f t="array" ref="P16">IF(AND(P$4&gt;Resumen_Sprints!$E$7,P$4&lt;=Resumen_Sprints!$E$7+Resumen_Sprints!$D$7),INDEX('Sprint N°2'!$C$10:$O$10,P$4-Resumen_Sprints!$E$7),0)</f>
        <v/>
      </c>
      <c r="Q16" s="23" t="str">
        <f t="array" ref="Q16">IF(AND(Q$4&gt;Resumen_Sprints!$E$7,Q$4&lt;=Resumen_Sprints!$E$7+Resumen_Sprints!$D$7),INDEX('Sprint N°2'!$C$10:$O$10,Q$4-Resumen_Sprints!$E$7),0)</f>
        <v/>
      </c>
      <c r="R16" s="23" t="str">
        <f t="array" ref="R16">IF(AND(R$4&gt;Resumen_Sprints!$E$7,R$4&lt;=Resumen_Sprints!$E$7+Resumen_Sprints!$D$7),INDEX('Sprint N°2'!$C$10:$O$10,R$4-Resumen_Sprints!$E$7),0)</f>
        <v/>
      </c>
      <c r="S16" s="23">
        <f t="array" ref="S16">IF(AND(S$4&gt;Resumen_Sprints!$E$7,S$4&lt;=Resumen_Sprints!$E$7+Resumen_Sprints!$D$7),INDEX('Sprint N°2'!$C$10:$O$10,S$4-Resumen_Sprints!$E$7),0)</f>
        <v>6</v>
      </c>
      <c r="T16" s="23">
        <f t="array" ref="T16">IF(AND(T$4&gt;Resumen_Sprints!$E$7,T$4&lt;=Resumen_Sprints!$E$7+Resumen_Sprints!$D$7),INDEX('Sprint N°2'!$C$10:$O$10,T$4-Resumen_Sprints!$E$7),0)</f>
        <v>6</v>
      </c>
      <c r="U16" s="23" t="str">
        <f t="array" ref="U16">IF(AND(U$4&gt;Resumen_Sprints!$E$7,U$4&lt;=Resumen_Sprints!$E$7+Resumen_Sprints!$D$7),INDEX('Sprint N°2'!$C$10:$O$10,U$4-Resumen_Sprints!$E$7),0)</f>
        <v/>
      </c>
      <c r="V16" s="23" t="str">
        <f t="array" ref="V16">IF(AND(V$4&gt;Resumen_Sprints!$E$7,V$4&lt;=Resumen_Sprints!$E$7+Resumen_Sprints!$D$7),INDEX('Sprint N°2'!$C$10:$O$10,V$4-Resumen_Sprints!$E$7),0)</f>
        <v/>
      </c>
      <c r="W16" s="23">
        <f t="array" ref="W16">IF(AND(W$4&gt;Resumen_Sprints!$E$7,W$4&lt;=Resumen_Sprints!$E$7+Resumen_Sprints!$D$7),INDEX('Sprint N°2'!$C$10:$O$10,W$4-Resumen_Sprints!$E$7),0)</f>
        <v>0</v>
      </c>
      <c r="X16" s="23">
        <f t="array" ref="X16">IF(AND(X$4&gt;Resumen_Sprints!$E$7,X$4&lt;=Resumen_Sprints!$E$7+Resumen_Sprints!$D$7),INDEX('Sprint N°2'!$C$10:$O$10,X$4-Resumen_Sprints!$E$7),0)</f>
        <v>0</v>
      </c>
      <c r="Y16" s="23">
        <f t="array" ref="Y16">IF(AND(Y$4&gt;Resumen_Sprints!$E$7,Y$4&lt;=Resumen_Sprints!$E$7+Resumen_Sprints!$D$7),INDEX('Sprint N°2'!$C$10:$O$10,Y$4-Resumen_Sprints!$E$7),0)</f>
        <v>0</v>
      </c>
      <c r="Z16" s="23">
        <f t="array" ref="Z16">IF(AND(Z$4&gt;Resumen_Sprints!$E$7,Z$4&lt;=Resumen_Sprints!$E$7+Resumen_Sprints!$D$7),INDEX('Sprint N°2'!$C$10:$O$10,Z$4-Resumen_Sprints!$E$7),0)</f>
        <v>0</v>
      </c>
      <c r="AA16" s="23">
        <f t="array" ref="AA16">IF(AND(AA$4&gt;Resumen_Sprints!$E$7,AA$4&lt;=Resumen_Sprints!$E$7+Resumen_Sprints!$D$7),INDEX('Sprint N°2'!$C$10:$O$10,AA$4-Resumen_Sprints!$E$7),0)</f>
        <v>0</v>
      </c>
      <c r="AB16" s="23">
        <f t="array" ref="AB16">IF(AND(AB$4&gt;Resumen_Sprints!$E$7,AB$4&lt;=Resumen_Sprints!$E$7+Resumen_Sprints!$D$7),INDEX('Sprint N°2'!$C$10:$O$10,AB$4-Resumen_Sprints!$E$7),0)</f>
        <v>0</v>
      </c>
      <c r="AC16" s="23">
        <f t="array" ref="AC16">IF(AND(AC$4&gt;Resumen_Sprints!$E$7,AC$4&lt;=Resumen_Sprints!$E$7+Resumen_Sprints!$D$7),INDEX('Sprint N°2'!$C$10:$O$10,AC$4-Resumen_Sprints!$E$7),0)</f>
        <v>0</v>
      </c>
      <c r="AD16" s="23">
        <f t="array" ref="AD16">IF(AND(AD$4&gt;Resumen_Sprints!$E$7,AD$4&lt;=Resumen_Sprints!$E$7+Resumen_Sprints!$D$7),INDEX('Sprint N°2'!$C$10:$O$10,AD$4-Resumen_Sprints!$E$7),0)</f>
        <v>0</v>
      </c>
      <c r="AE16" s="23">
        <f t="array" ref="AE16">IF(AND(AE$4&gt;Resumen_Sprints!$E$7,AE$4&lt;=Resumen_Sprints!$E$7+Resumen_Sprints!$D$7),INDEX('Sprint N°2'!$C$10:$O$10,AE$4-Resumen_Sprints!$E$7),0)</f>
        <v>0</v>
      </c>
      <c r="AF16" s="23">
        <f t="array" ref="AF16">IF(AND(AF$4&gt;Resumen_Sprints!$E$7,AF$4&lt;=Resumen_Sprints!$E$7+Resumen_Sprints!$D$7),INDEX('Sprint N°2'!$C$10:$O$10,AF$4-Resumen_Sprints!$E$7),0)</f>
        <v>0</v>
      </c>
      <c r="AG16" s="23">
        <f t="array" ref="AG16">IF(AND(AG$4&gt;Resumen_Sprints!$E$7,AG$4&lt;=Resumen_Sprints!$E$7+Resumen_Sprints!$D$7),INDEX('Sprint N°2'!$C$10:$O$10,AG$4-Resumen_Sprints!$E$7),0)</f>
        <v>0</v>
      </c>
      <c r="AH16" s="23">
        <f t="array" ref="AH16">IF(AND(AH$4&gt;Resumen_Sprints!$E$7,AH$4&lt;=Resumen_Sprints!$E$7+Resumen_Sprints!$D$7),INDEX('Sprint N°2'!$C$10:$O$10,AH$4-Resumen_Sprints!$E$7),0)</f>
        <v>0</v>
      </c>
      <c r="AI16" s="23">
        <f t="array" ref="AI16">IF(AND(AI$4&gt;Resumen_Sprints!$E$7,AI$4&lt;=Resumen_Sprints!$E$7+Resumen_Sprints!$D$7),INDEX('Sprint N°2'!$C$10:$O$10,AI$4-Resumen_Sprints!$E$7),0)</f>
        <v>0</v>
      </c>
      <c r="AJ16" s="23">
        <f t="array" ref="AJ16">IF(AND(AJ$4&gt;Resumen_Sprints!$E$7,AJ$4&lt;=Resumen_Sprints!$E$7+Resumen_Sprints!$D$7),INDEX('Sprint N°2'!$C$10:$O$10,AJ$4-Resumen_Sprints!$E$7),0)</f>
        <v>0</v>
      </c>
      <c r="AK16" s="23">
        <f t="array" ref="AK16">IF(AND(AK$4&gt;Resumen_Sprints!$E$7,AK$4&lt;=Resumen_Sprints!$E$7+Resumen_Sprints!$D$7),INDEX('Sprint N°2'!$C$10:$O$10,AK$4-Resumen_Sprints!$E$7),0)</f>
        <v>0</v>
      </c>
      <c r="AL16" s="23">
        <f t="array" ref="AL16">IF(AND(AL$4&gt;Resumen_Sprints!$E$7,AL$4&lt;=Resumen_Sprints!$E$7+Resumen_Sprints!$D$7),INDEX('Sprint N°2'!$C$10:$O$10,AL$4-Resumen_Sprints!$E$7),0)</f>
        <v>0</v>
      </c>
      <c r="AM16" s="23">
        <f t="array" ref="AM16">IF(AND(AM$4&gt;Resumen_Sprints!$E$7,AM$4&lt;=Resumen_Sprints!$E$7+Resumen_Sprints!$D$7),INDEX('Sprint N°2'!$C$10:$O$10,AM$4-Resumen_Sprints!$E$7),0)</f>
        <v>0</v>
      </c>
      <c r="AN16" s="23">
        <f t="array" ref="AN16">IF(AND(AN$4&gt;Resumen_Sprints!$E$7,AN$4&lt;=Resumen_Sprints!$E$7+Resumen_Sprints!$D$7),INDEX('Sprint N°2'!$C$10:$O$10,AN$4-Resumen_Sprints!$E$7),0)</f>
        <v>0</v>
      </c>
      <c r="AO16" s="23">
        <f t="array" ref="AO16">IF(AND(AO$4&gt;Resumen_Sprints!$E$7,AO$4&lt;=Resumen_Sprints!$E$7+Resumen_Sprints!$D$7),INDEX('Sprint N°2'!$C$10:$O$10,AO$4-Resumen_Sprints!$E$7),0)</f>
        <v>0</v>
      </c>
      <c r="AP16" s="23">
        <f t="array" ref="AP16">IF(AND(AP$4&gt;Resumen_Sprints!$E$7,AP$4&lt;=Resumen_Sprints!$E$7+Resumen_Sprints!$D$7),INDEX('Sprint N°2'!$C$10:$O$10,AP$4-Resumen_Sprints!$E$7),0)</f>
        <v>0</v>
      </c>
      <c r="AQ16" s="23">
        <f t="array" ref="AQ16">IF(AND(AQ$4&gt;Resumen_Sprints!$E$7,AQ$4&lt;=Resumen_Sprints!$E$7+Resumen_Sprints!$D$7),INDEX('Sprint N°2'!$C$10:$O$10,AQ$4-Resumen_Sprints!$E$7),0)</f>
        <v>0</v>
      </c>
      <c r="AR16" s="23">
        <f t="array" ref="AR16">IF(AND(AR$4&gt;Resumen_Sprints!$E$7,AR$4&lt;=Resumen_Sprints!$E$7+Resumen_Sprints!$D$7),INDEX('Sprint N°2'!$C$10:$O$10,AR$4-Resumen_Sprints!$E$7),0)</f>
        <v>0</v>
      </c>
      <c r="AS16" s="23">
        <f t="array" ref="AS16">IF(AND(AS$4&gt;Resumen_Sprints!$E$7,AS$4&lt;=Resumen_Sprints!$E$7+Resumen_Sprints!$D$7),INDEX('Sprint N°2'!$C$10:$O$10,AS$4-Resumen_Sprints!$E$7),0)</f>
        <v>0</v>
      </c>
      <c r="AT16" s="23">
        <f t="array" ref="AT16">IF(AND(AT$4&gt;Resumen_Sprints!$E$7,AT$4&lt;=Resumen_Sprints!$E$7+Resumen_Sprints!$D$7),INDEX('Sprint N°2'!$C$10:$O$10,AT$4-Resumen_Sprints!$E$7),0)</f>
        <v>0</v>
      </c>
      <c r="AU16" s="23">
        <f t="array" ref="AU16">IF(AND(AU$4&gt;Resumen_Sprints!$E$7,AU$4&lt;=Resumen_Sprints!$E$7+Resumen_Sprints!$D$7),INDEX('Sprint N°2'!$C$10:$O$10,AU$4-Resumen_Sprints!$E$7),0)</f>
        <v>0</v>
      </c>
      <c r="AV16" s="23">
        <f t="array" ref="AV16">IF(AND(AV$4&gt;Resumen_Sprints!$E$7,AV$4&lt;=Resumen_Sprints!$E$7+Resumen_Sprints!$D$7),INDEX('Sprint N°2'!$C$10:$O$10,AV$4-Resumen_Sprints!$E$7),0)</f>
        <v>0</v>
      </c>
      <c r="AW16" s="23">
        <f t="array" ref="AW16">IF(AND(AW$4&gt;Resumen_Sprints!$E$7,AW$4&lt;=Resumen_Sprints!$E$7+Resumen_Sprints!$D$7),INDEX('Sprint N°2'!$C$10:$O$10,AW$4-Resumen_Sprints!$E$7),0)</f>
        <v>0</v>
      </c>
      <c r="AX16" s="23">
        <f t="array" ref="AX16">IF(AND(AX$4&gt;Resumen_Sprints!$E$7,AX$4&lt;=Resumen_Sprints!$E$7+Resumen_Sprints!$D$7),INDEX('Sprint N°2'!$C$10:$O$10,AX$4-Resumen_Sprints!$E$7),0)</f>
        <v>0</v>
      </c>
      <c r="AY16" s="23">
        <f t="array" ref="AY16">IF(AND(AY$4&gt;Resumen_Sprints!$E$7,AY$4&lt;=Resumen_Sprints!$E$7+Resumen_Sprints!$D$7),INDEX('Sprint N°2'!$C$10:$O$10,AY$4-Resumen_Sprints!$E$7),0)</f>
        <v>0</v>
      </c>
      <c r="AZ16" s="23">
        <f t="array" ref="AZ16">IF(AND(AZ$4&gt;Resumen_Sprints!$E$7,AZ$4&lt;=Resumen_Sprints!$E$7+Resumen_Sprints!$D$7),INDEX('Sprint N°2'!$C$10:$O$10,AZ$4-Resumen_Sprints!$E$7),0)</f>
        <v>0</v>
      </c>
      <c r="BA16" s="23">
        <f t="array" ref="BA16">IF(AND(BA$4&gt;Resumen_Sprints!$E$7,BA$4&lt;=Resumen_Sprints!$E$7+Resumen_Sprints!$D$7),INDEX('Sprint N°2'!$C$10:$O$10,BA$4-Resumen_Sprints!$E$7),0)</f>
        <v>0</v>
      </c>
      <c r="BB16" s="23">
        <f t="array" ref="BB16">IF(AND(BB$4&gt;Resumen_Sprints!$E$7,BB$4&lt;=Resumen_Sprints!$E$7+Resumen_Sprints!$D$7),INDEX('Sprint N°2'!$C$10:$O$10,BB$4-Resumen_Sprints!$E$7),0)</f>
        <v>0</v>
      </c>
      <c r="BC16" s="23">
        <f t="array" ref="BC16">IF(AND(BC$4&gt;Resumen_Sprints!$E$7,BC$4&lt;=Resumen_Sprints!$E$7+Resumen_Sprints!$D$7),INDEX('Sprint N°2'!$C$10:$O$10,BC$4-Resumen_Sprints!$E$7),0)</f>
        <v>0</v>
      </c>
      <c r="BD16" s="23">
        <f t="array" ref="BD16">IF(AND(BD$4&gt;Resumen_Sprints!$E$7,BD$4&lt;=Resumen_Sprints!$E$7+Resumen_Sprints!$D$7),INDEX('Sprint N°2'!$C$10:$O$10,BD$4-Resumen_Sprints!$E$7),0)</f>
        <v>0</v>
      </c>
      <c r="BE16" s="23">
        <f t="array" ref="BE16">IF(AND(BE$4&gt;Resumen_Sprints!$E$7,BE$4&lt;=Resumen_Sprints!$E$7+Resumen_Sprints!$D$7),INDEX('Sprint N°2'!$C$10:$O$10,BE$4-Resumen_Sprints!$E$7),0)</f>
        <v>0</v>
      </c>
      <c r="BF16" s="23">
        <f t="array" ref="BF16">IF(AND(BF$4&gt;Resumen_Sprints!$E$7,BF$4&lt;=Resumen_Sprints!$E$7+Resumen_Sprints!$D$7),INDEX('Sprint N°2'!$C$10:$O$10,BF$4-Resumen_Sprints!$E$7),0)</f>
        <v>0</v>
      </c>
      <c r="BG16" s="23">
        <f t="array" ref="BG16">IF(AND(BG$4&gt;Resumen_Sprints!$E$7,BG$4&lt;=Resumen_Sprints!$E$7+Resumen_Sprints!$D$7),INDEX('Sprint N°2'!$C$10:$O$10,BG$4-Resumen_Sprints!$E$7),0)</f>
        <v>0</v>
      </c>
      <c r="BH16" s="23">
        <f t="array" ref="BH16">IF(AND(BH$4&gt;Resumen_Sprints!$E$7,BH$4&lt;=Resumen_Sprints!$E$7+Resumen_Sprints!$D$7),INDEX('Sprint N°2'!$C$10:$O$10,BH$4-Resumen_Sprints!$E$7),0)</f>
        <v>0</v>
      </c>
      <c r="BI16" s="23">
        <f t="array" ref="BI16">IF(AND(BI$4&gt;Resumen_Sprints!$E$7,BI$4&lt;=Resumen_Sprints!$E$7+Resumen_Sprints!$D$7),INDEX('Sprint N°2'!$C$10:$O$10,BI$4-Resumen_Sprints!$E$7),0)</f>
        <v>0</v>
      </c>
      <c r="BJ16" s="23">
        <f t="array" ref="BJ16">IF(AND(BJ$4&gt;Resumen_Sprints!$E$7,BJ$4&lt;=Resumen_Sprints!$E$7+Resumen_Sprints!$D$7),INDEX('Sprint N°2'!$C$10:$O$10,BJ$4-Resumen_Sprints!$E$7),0)</f>
        <v>0</v>
      </c>
      <c r="BK16" s="23">
        <f t="array" ref="BK16">IF(AND(BK$4&gt;Resumen_Sprints!$E$7,BK$4&lt;=Resumen_Sprints!$E$7+Resumen_Sprints!$D$7),INDEX('Sprint N°2'!$C$10:$O$10,BK$4-Resumen_Sprints!$E$7),0)</f>
        <v>0</v>
      </c>
      <c r="BL16" s="23">
        <f t="array" ref="BL16">IF(AND(BL$4&gt;Resumen_Sprints!$E$7,BL$4&lt;=Resumen_Sprints!$E$7+Resumen_Sprints!$D$7),INDEX('Sprint N°2'!$C$10:$O$10,BL$4-Resumen_Sprints!$E$7),0)</f>
        <v>0</v>
      </c>
      <c r="BM16" s="23">
        <f t="array" ref="BM16">IF(AND(BM$4&gt;Resumen_Sprints!$E$7,BM$4&lt;=Resumen_Sprints!$E$7+Resumen_Sprints!$D$7),INDEX('Sprint N°2'!$C$10:$O$10,BM$4-Resumen_Sprints!$E$7),0)</f>
        <v>0</v>
      </c>
      <c r="BN16" s="23">
        <f t="array" ref="BN16">IF(AND(BN$4&gt;Resumen_Sprints!$E$7,BN$4&lt;=Resumen_Sprints!$E$7+Resumen_Sprints!$D$7),INDEX('Sprint N°2'!$C$10:$O$10,BN$4-Resumen_Sprints!$E$7),0)</f>
        <v>0</v>
      </c>
      <c r="BO16" s="23">
        <f t="array" ref="BO16">IF(AND(BO$4&gt;Resumen_Sprints!$E$7,BO$4&lt;=Resumen_Sprints!$E$7+Resumen_Sprints!$D$7),INDEX('Sprint N°2'!$C$10:$O$10,BO$4-Resumen_Sprints!$E$7),0)</f>
        <v>0</v>
      </c>
      <c r="BP16" s="23">
        <f t="array" ref="BP16">IF(AND(BP$4&gt;Resumen_Sprints!$E$7,BP$4&lt;=Resumen_Sprints!$E$7+Resumen_Sprints!$D$7),INDEX('Sprint N°2'!$C$10:$O$10,BP$4-Resumen_Sprints!$E$7),0)</f>
        <v>0</v>
      </c>
      <c r="BQ16" s="23">
        <f t="array" ref="BQ16">IF(AND(BQ$4&gt;Resumen_Sprints!$E$7,BQ$4&lt;=Resumen_Sprints!$E$7+Resumen_Sprints!$D$7),INDEX('Sprint N°2'!$C$10:$O$10,BQ$4-Resumen_Sprints!$E$7),0)</f>
        <v>0</v>
      </c>
      <c r="BR16" s="23">
        <f t="array" ref="BR16">IF(AND(BR$4&gt;Resumen_Sprints!$E$7,BR$4&lt;=Resumen_Sprints!$E$7+Resumen_Sprints!$D$7),INDEX('Sprint N°2'!$C$10:$O$10,BR$4-Resumen_Sprints!$E$7),0)</f>
        <v>0</v>
      </c>
      <c r="BS16" s="23">
        <f t="array" ref="BS16">IF(AND(BS$4&gt;Resumen_Sprints!$E$7,BS$4&lt;=Resumen_Sprints!$E$7+Resumen_Sprints!$D$7),INDEX('Sprint N°2'!$C$10:$O$10,BS$4-Resumen_Sprints!$E$7),0)</f>
        <v>0</v>
      </c>
      <c r="BT16" s="23">
        <f t="array" ref="BT16">IF(AND(BT$4&gt;Resumen_Sprints!$E$7,BT$4&lt;=Resumen_Sprints!$E$7+Resumen_Sprints!$D$7),INDEX('Sprint N°2'!$C$10:$O$10,BT$4-Resumen_Sprints!$E$7),0)</f>
        <v>0</v>
      </c>
      <c r="BU16" s="23">
        <f t="array" ref="BU16">IF(AND(BU$4&gt;Resumen_Sprints!$E$7,BU$4&lt;=Resumen_Sprints!$E$7+Resumen_Sprints!$D$7),INDEX('Sprint N°2'!$C$10:$O$10,BU$4-Resumen_Sprints!$E$7),0)</f>
        <v>0</v>
      </c>
      <c r="BV16" s="23">
        <f t="array" ref="BV16">IF(AND(BV$4&gt;Resumen_Sprints!$E$7,BV$4&lt;=Resumen_Sprints!$E$7+Resumen_Sprints!$D$7),INDEX('Sprint N°2'!$C$10:$O$10,BV$4-Resumen_Sprints!$E$7),0)</f>
        <v>0</v>
      </c>
      <c r="BW16" s="23">
        <f t="array" ref="BW16">IF(AND(BW$4&gt;Resumen_Sprints!$E$7,BW$4&lt;=Resumen_Sprints!$E$7+Resumen_Sprints!$D$7),INDEX('Sprint N°2'!$C$10:$O$10,BW$4-Resumen_Sprints!$E$7),0)</f>
        <v>0</v>
      </c>
      <c r="BX16" s="23">
        <f t="array" ref="BX16">IF(AND(BX$4&gt;Resumen_Sprints!$E$7,BX$4&lt;=Resumen_Sprints!$E$7+Resumen_Sprints!$D$7),INDEX('Sprint N°2'!$C$10:$O$10,BX$4-Resumen_Sprints!$E$7),0)</f>
        <v>0</v>
      </c>
      <c r="BY16" s="23">
        <f t="array" ref="BY16">IF(AND(BY$4&gt;Resumen_Sprints!$E$7,BY$4&lt;=Resumen_Sprints!$E$7+Resumen_Sprints!$D$7),INDEX('Sprint N°2'!$C$10:$O$10,BY$4-Resumen_Sprints!$E$7),0)</f>
        <v>0</v>
      </c>
      <c r="BZ16" s="23">
        <f t="array" ref="BZ16">IF(AND(BZ$4&gt;Resumen_Sprints!$E$7,BZ$4&lt;=Resumen_Sprints!$E$7+Resumen_Sprints!$D$7),INDEX('Sprint N°2'!$C$10:$O$10,BZ$4-Resumen_Sprints!$E$7),0)</f>
        <v>0</v>
      </c>
      <c r="CA16" s="23">
        <f t="array" ref="CA16">IF(AND(CA$4&gt;Resumen_Sprints!$E$7,CA$4&lt;=Resumen_Sprints!$E$7+Resumen_Sprints!$D$7),INDEX('Sprint N°2'!$C$10:$O$10,CA$4-Resumen_Sprints!$E$7),0)</f>
        <v>0</v>
      </c>
      <c r="CB16" s="23">
        <f t="array" ref="CB16">IF(AND(CB$4&gt;Resumen_Sprints!$E$7,CB$4&lt;=Resumen_Sprints!$E$7+Resumen_Sprints!$D$7),INDEX('Sprint N°2'!$C$10:$O$10,CB$4-Resumen_Sprints!$E$7),0)</f>
        <v>0</v>
      </c>
      <c r="CC16" s="23">
        <f t="array" ref="CC16">IF(AND(CC$4&gt;Resumen_Sprints!$E$7,CC$4&lt;=Resumen_Sprints!$E$7+Resumen_Sprints!$D$7),INDEX('Sprint N°2'!$C$10:$O$10,CC$4-Resumen_Sprints!$E$7),0)</f>
        <v>0</v>
      </c>
      <c r="CD16" s="23">
        <f t="array" ref="CD16">IF(AND(CD$4&gt;Resumen_Sprints!$E$7,CD$4&lt;=Resumen_Sprints!$E$7+Resumen_Sprints!$D$7),INDEX('Sprint N°2'!$C$10:$O$10,CD$4-Resumen_Sprints!$E$7),0)</f>
        <v>0</v>
      </c>
      <c r="CE16" s="23">
        <f t="array" ref="CE16">IF(AND(CE$4&gt;Resumen_Sprints!$E$7,CE$4&lt;=Resumen_Sprints!$E$7+Resumen_Sprints!$D$7),INDEX('Sprint N°2'!$C$10:$O$10,CE$4-Resumen_Sprints!$E$7),0)</f>
        <v>0</v>
      </c>
      <c r="CF16" s="23">
        <f t="array" ref="CF16">IF(AND(CF$4&gt;Resumen_Sprints!$E$7,CF$4&lt;=Resumen_Sprints!$E$7+Resumen_Sprints!$D$7),INDEX('Sprint N°2'!$C$10:$O$10,CF$4-Resumen_Sprints!$E$7),0)</f>
        <v>0</v>
      </c>
      <c r="CG16" s="23">
        <f t="array" ref="CG16">IF(AND(CG$4&gt;Resumen_Sprints!$E$7,CG$4&lt;=Resumen_Sprints!$E$7+Resumen_Sprints!$D$7),INDEX('Sprint N°2'!$C$10:$O$10,CG$4-Resumen_Sprints!$E$7),0)</f>
        <v>0</v>
      </c>
      <c r="CH16" s="23">
        <f t="array" ref="CH16">IF(AND(CH$4&gt;Resumen_Sprints!$E$7,CH$4&lt;=Resumen_Sprints!$E$7+Resumen_Sprints!$D$7),INDEX('Sprint N°2'!$C$10:$O$10,CH$4-Resumen_Sprints!$E$7),0)</f>
        <v>0</v>
      </c>
      <c r="CI16" s="23">
        <f t="array" ref="CI16">IF(AND(CI$4&gt;Resumen_Sprints!$E$7,CI$4&lt;=Resumen_Sprints!$E$7+Resumen_Sprints!$D$7),INDEX('Sprint N°2'!$C$10:$O$10,CI$4-Resumen_Sprints!$E$7),0)</f>
        <v>0</v>
      </c>
      <c r="CJ16" s="23">
        <f t="array" ref="CJ16">IF(AND(CJ$4&gt;Resumen_Sprints!$E$7,CJ$4&lt;=Resumen_Sprints!$E$7+Resumen_Sprints!$D$7),INDEX('Sprint N°2'!$C$10:$O$10,CJ$4-Resumen_Sprints!$E$7),0)</f>
        <v>0</v>
      </c>
      <c r="CK16" s="23">
        <f t="array" ref="CK16">IF(AND(CK$4&gt;Resumen_Sprints!$E$7,CK$4&lt;=Resumen_Sprints!$E$7+Resumen_Sprints!$D$7),INDEX('Sprint N°2'!$C$10:$O$10,CK$4-Resumen_Sprints!$E$7),0)</f>
        <v>0</v>
      </c>
      <c r="CL16" s="23">
        <f t="array" ref="CL16">IF(AND(CL$4&gt;Resumen_Sprints!$E$7,CL$4&lt;=Resumen_Sprints!$E$7+Resumen_Sprints!$D$7),INDEX('Sprint N°2'!$C$10:$O$10,CL$4-Resumen_Sprints!$E$7),0)</f>
        <v>0</v>
      </c>
      <c r="CM16" s="23">
        <f t="array" ref="CM16">IF(AND(CM$4&gt;Resumen_Sprints!$E$7,CM$4&lt;=Resumen_Sprints!$E$7+Resumen_Sprints!$D$7),INDEX('Sprint N°2'!$C$10:$O$10,CM$4-Resumen_Sprints!$E$7),0)</f>
        <v>0</v>
      </c>
      <c r="CN16" s="23">
        <f t="array" ref="CN16">IF(AND(CN$4&gt;Resumen_Sprints!$E$7,CN$4&lt;=Resumen_Sprints!$E$7+Resumen_Sprints!$D$7),INDEX('Sprint N°2'!$C$10:$O$10,CN$4-Resumen_Sprints!$E$7),0)</f>
        <v>0</v>
      </c>
      <c r="CO16" s="23">
        <f t="array" ref="CO16">IF(AND(CO$4&gt;Resumen_Sprints!$E$7,CO$4&lt;=Resumen_Sprints!$E$7+Resumen_Sprints!$D$7),INDEX('Sprint N°2'!$C$10:$O$10,CO$4-Resumen_Sprints!$E$7),0)</f>
        <v>0</v>
      </c>
      <c r="CP16" s="23">
        <f t="array" ref="CP16">IF(AND(CP$4&gt;Resumen_Sprints!$E$7,CP$4&lt;=Resumen_Sprints!$E$7+Resumen_Sprints!$D$7),INDEX('Sprint N°2'!$C$10:$O$10,CP$4-Resumen_Sprints!$E$7),0)</f>
        <v>0</v>
      </c>
      <c r="CQ16" s="23">
        <f t="array" ref="CQ16">IF(AND(CQ$4&gt;Resumen_Sprints!$E$7,CQ$4&lt;=Resumen_Sprints!$E$7+Resumen_Sprints!$D$7),INDEX('Sprint N°2'!$C$10:$O$10,CQ$4-Resumen_Sprints!$E$7),0)</f>
        <v>0</v>
      </c>
      <c r="CR16" s="23">
        <f t="array" ref="CR16">IF(AND(CR$4&gt;Resumen_Sprints!$E$7,CR$4&lt;=Resumen_Sprints!$E$7+Resumen_Sprints!$D$7),INDEX('Sprint N°2'!$C$10:$O$10,CR$4-Resumen_Sprints!$E$7),0)</f>
        <v>0</v>
      </c>
      <c r="CS16" s="23">
        <f t="array" ref="CS16">IF(AND(CS$4&gt;Resumen_Sprints!$E$7,CS$4&lt;=Resumen_Sprints!$E$7+Resumen_Sprints!$D$7),INDEX('Sprint N°2'!$C$10:$O$10,CS$4-Resumen_Sprints!$E$7),0)</f>
        <v>0</v>
      </c>
      <c r="CT16" s="23">
        <f t="array" ref="CT16">IF(AND(CT$4&gt;Resumen_Sprints!$E$7,CT$4&lt;=Resumen_Sprints!$E$7+Resumen_Sprints!$D$7),INDEX('Sprint N°2'!$C$10:$O$10,CT$4-Resumen_Sprints!$E$7),0)</f>
        <v>0</v>
      </c>
      <c r="CU16" s="25">
        <f t="shared" si="2"/>
        <v>12</v>
      </c>
    </row>
    <row r="17" ht="14.25" customHeight="1">
      <c r="A17" s="11" t="str">
        <f>'Sprint N°2'!A11</f>
        <v>Plan de Proyecto y Product Backlog Priorizado</v>
      </c>
      <c r="B17" s="11">
        <f>'Sprint N°2'!B11</f>
        <v>16</v>
      </c>
      <c r="C17" s="23">
        <f t="array" ref="C17">IF(AND(C$4&gt;Resumen_Sprints!$E$7,C$4&lt;=Resumen_Sprints!$E$7+Resumen_Sprints!$D$7),INDEX('Sprint N°2'!$C$11:$O$11,C$4-Resumen_Sprints!$E$7),0)</f>
        <v>0</v>
      </c>
      <c r="D17" s="23">
        <f t="array" ref="D17">IF(AND(D$4&gt;Resumen_Sprints!$E$7,D$4&lt;=Resumen_Sprints!$E$7+Resumen_Sprints!$D$7),INDEX('Sprint N°2'!$C$11:$O$11,D$4-Resumen_Sprints!$E$7),0)</f>
        <v>0</v>
      </c>
      <c r="E17" s="23">
        <f t="array" ref="E17">IF(AND(E$4&gt;Resumen_Sprints!$E$7,E$4&lt;=Resumen_Sprints!$E$7+Resumen_Sprints!$D$7),INDEX('Sprint N°2'!$C$11:$O$11,E$4-Resumen_Sprints!$E$7),0)</f>
        <v>0</v>
      </c>
      <c r="F17" s="23">
        <f t="array" ref="F17">IF(AND(F$4&gt;Resumen_Sprints!$E$7,F$4&lt;=Resumen_Sprints!$E$7+Resumen_Sprints!$D$7),INDEX('Sprint N°2'!$C$11:$O$11,F$4-Resumen_Sprints!$E$7),0)</f>
        <v>0</v>
      </c>
      <c r="G17" s="23">
        <f t="array" ref="G17">IF(AND(G$4&gt;Resumen_Sprints!$E$7,G$4&lt;=Resumen_Sprints!$E$7+Resumen_Sprints!$D$7),INDEX('Sprint N°2'!$C$11:$O$11,G$4-Resumen_Sprints!$E$7),0)</f>
        <v>0</v>
      </c>
      <c r="H17" s="23">
        <f t="array" ref="H17">IF(AND(H$4&gt;Resumen_Sprints!$E$7,H$4&lt;=Resumen_Sprints!$E$7+Resumen_Sprints!$D$7),INDEX('Sprint N°2'!$C$11:$O$11,H$4-Resumen_Sprints!$E$7),0)</f>
        <v>0</v>
      </c>
      <c r="I17" s="23">
        <f t="array" ref="I17">IF(AND(I$4&gt;Resumen_Sprints!$E$7,I$4&lt;=Resumen_Sprints!$E$7+Resumen_Sprints!$D$7),INDEX('Sprint N°2'!$C$11:$O$11,I$4-Resumen_Sprints!$E$7),0)</f>
        <v>0</v>
      </c>
      <c r="J17" s="23" t="str">
        <f t="array" ref="J17">IF(AND(J$4&gt;Resumen_Sprints!$E$7,J$4&lt;=Resumen_Sprints!$E$7+Resumen_Sprints!$D$7),INDEX('Sprint N°2'!$C$11:$O$11,J$4-Resumen_Sprints!$E$7),0)</f>
        <v/>
      </c>
      <c r="K17" s="23" t="str">
        <f t="array" ref="K17">IF(AND(K$4&gt;Resumen_Sprints!$E$7,K$4&lt;=Resumen_Sprints!$E$7+Resumen_Sprints!$D$7),INDEX('Sprint N°2'!$C$11:$O$11,K$4-Resumen_Sprints!$E$7),0)</f>
        <v/>
      </c>
      <c r="L17" s="23" t="str">
        <f t="array" ref="L17">IF(AND(L$4&gt;Resumen_Sprints!$E$7,L$4&lt;=Resumen_Sprints!$E$7+Resumen_Sprints!$D$7),INDEX('Sprint N°2'!$C$11:$O$11,L$4-Resumen_Sprints!$E$7),0)</f>
        <v/>
      </c>
      <c r="M17" s="23" t="str">
        <f t="array" ref="M17">IF(AND(M$4&gt;Resumen_Sprints!$E$7,M$4&lt;=Resumen_Sprints!$E$7+Resumen_Sprints!$D$7),INDEX('Sprint N°2'!$C$11:$O$11,M$4-Resumen_Sprints!$E$7),0)</f>
        <v/>
      </c>
      <c r="N17" s="23" t="str">
        <f t="array" ref="N17">IF(AND(N$4&gt;Resumen_Sprints!$E$7,N$4&lt;=Resumen_Sprints!$E$7+Resumen_Sprints!$D$7),INDEX('Sprint N°2'!$C$11:$O$11,N$4-Resumen_Sprints!$E$7),0)</f>
        <v/>
      </c>
      <c r="O17" s="23" t="str">
        <f t="array" ref="O17">IF(AND(O$4&gt;Resumen_Sprints!$E$7,O$4&lt;=Resumen_Sprints!$E$7+Resumen_Sprints!$D$7),INDEX('Sprint N°2'!$C$11:$O$11,O$4-Resumen_Sprints!$E$7),0)</f>
        <v/>
      </c>
      <c r="P17" s="23" t="str">
        <f t="array" ref="P17">IF(AND(P$4&gt;Resumen_Sprints!$E$7,P$4&lt;=Resumen_Sprints!$E$7+Resumen_Sprints!$D$7),INDEX('Sprint N°2'!$C$11:$O$11,P$4-Resumen_Sprints!$E$7),0)</f>
        <v/>
      </c>
      <c r="Q17" s="23" t="str">
        <f t="array" ref="Q17">IF(AND(Q$4&gt;Resumen_Sprints!$E$7,Q$4&lt;=Resumen_Sprints!$E$7+Resumen_Sprints!$D$7),INDEX('Sprint N°2'!$C$11:$O$11,Q$4-Resumen_Sprints!$E$7),0)</f>
        <v/>
      </c>
      <c r="R17" s="23" t="str">
        <f t="array" ref="R17">IF(AND(R$4&gt;Resumen_Sprints!$E$7,R$4&lt;=Resumen_Sprints!$E$7+Resumen_Sprints!$D$7),INDEX('Sprint N°2'!$C$11:$O$11,R$4-Resumen_Sprints!$E$7),0)</f>
        <v/>
      </c>
      <c r="S17" s="23" t="str">
        <f t="array" ref="S17">IF(AND(S$4&gt;Resumen_Sprints!$E$7,S$4&lt;=Resumen_Sprints!$E$7+Resumen_Sprints!$D$7),INDEX('Sprint N°2'!$C$11:$O$11,S$4-Resumen_Sprints!$E$7),0)</f>
        <v/>
      </c>
      <c r="T17" s="23">
        <f t="array" ref="T17">IF(AND(T$4&gt;Resumen_Sprints!$E$7,T$4&lt;=Resumen_Sprints!$E$7+Resumen_Sprints!$D$7),INDEX('Sprint N°2'!$C$11:$O$11,T$4-Resumen_Sprints!$E$7),0)</f>
        <v>1</v>
      </c>
      <c r="U17" s="23">
        <f t="array" ref="U17">IF(AND(U$4&gt;Resumen_Sprints!$E$7,U$4&lt;=Resumen_Sprints!$E$7+Resumen_Sprints!$D$7),INDEX('Sprint N°2'!$C$11:$O$11,U$4-Resumen_Sprints!$E$7),0)</f>
        <v>10</v>
      </c>
      <c r="V17" s="23">
        <f t="array" ref="V17">IF(AND(V$4&gt;Resumen_Sprints!$E$7,V$4&lt;=Resumen_Sprints!$E$7+Resumen_Sprints!$D$7),INDEX('Sprint N°2'!$C$11:$O$11,V$4-Resumen_Sprints!$E$7),0)</f>
        <v>5</v>
      </c>
      <c r="W17" s="23">
        <f t="array" ref="W17">IF(AND(W$4&gt;Resumen_Sprints!$E$7,W$4&lt;=Resumen_Sprints!$E$7+Resumen_Sprints!$D$7),INDEX('Sprint N°2'!$C$11:$O$11,W$4-Resumen_Sprints!$E$7),0)</f>
        <v>0</v>
      </c>
      <c r="X17" s="23">
        <f t="array" ref="X17">IF(AND(X$4&gt;Resumen_Sprints!$E$7,X$4&lt;=Resumen_Sprints!$E$7+Resumen_Sprints!$D$7),INDEX('Sprint N°2'!$C$11:$O$11,X$4-Resumen_Sprints!$E$7),0)</f>
        <v>0</v>
      </c>
      <c r="Y17" s="23">
        <f t="array" ref="Y17">IF(AND(Y$4&gt;Resumen_Sprints!$E$7,Y$4&lt;=Resumen_Sprints!$E$7+Resumen_Sprints!$D$7),INDEX('Sprint N°2'!$C$11:$O$11,Y$4-Resumen_Sprints!$E$7),0)</f>
        <v>0</v>
      </c>
      <c r="Z17" s="23">
        <f t="array" ref="Z17">IF(AND(Z$4&gt;Resumen_Sprints!$E$7,Z$4&lt;=Resumen_Sprints!$E$7+Resumen_Sprints!$D$7),INDEX('Sprint N°2'!$C$11:$O$11,Z$4-Resumen_Sprints!$E$7),0)</f>
        <v>0</v>
      </c>
      <c r="AA17" s="23">
        <f t="array" ref="AA17">IF(AND(AA$4&gt;Resumen_Sprints!$E$7,AA$4&lt;=Resumen_Sprints!$E$7+Resumen_Sprints!$D$7),INDEX('Sprint N°2'!$C$11:$O$11,AA$4-Resumen_Sprints!$E$7),0)</f>
        <v>0</v>
      </c>
      <c r="AB17" s="23">
        <f t="array" ref="AB17">IF(AND(AB$4&gt;Resumen_Sprints!$E$7,AB$4&lt;=Resumen_Sprints!$E$7+Resumen_Sprints!$D$7),INDEX('Sprint N°2'!$C$11:$O$11,AB$4-Resumen_Sprints!$E$7),0)</f>
        <v>0</v>
      </c>
      <c r="AC17" s="23">
        <f t="array" ref="AC17">IF(AND(AC$4&gt;Resumen_Sprints!$E$7,AC$4&lt;=Resumen_Sprints!$E$7+Resumen_Sprints!$D$7),INDEX('Sprint N°2'!$C$11:$O$11,AC$4-Resumen_Sprints!$E$7),0)</f>
        <v>0</v>
      </c>
      <c r="AD17" s="23">
        <f t="array" ref="AD17">IF(AND(AD$4&gt;Resumen_Sprints!$E$7,AD$4&lt;=Resumen_Sprints!$E$7+Resumen_Sprints!$D$7),INDEX('Sprint N°2'!$C$11:$O$11,AD$4-Resumen_Sprints!$E$7),0)</f>
        <v>0</v>
      </c>
      <c r="AE17" s="23">
        <f t="array" ref="AE17">IF(AND(AE$4&gt;Resumen_Sprints!$E$7,AE$4&lt;=Resumen_Sprints!$E$7+Resumen_Sprints!$D$7),INDEX('Sprint N°2'!$C$11:$O$11,AE$4-Resumen_Sprints!$E$7),0)</f>
        <v>0</v>
      </c>
      <c r="AF17" s="23">
        <f t="array" ref="AF17">IF(AND(AF$4&gt;Resumen_Sprints!$E$7,AF$4&lt;=Resumen_Sprints!$E$7+Resumen_Sprints!$D$7),INDEX('Sprint N°2'!$C$11:$O$11,AF$4-Resumen_Sprints!$E$7),0)</f>
        <v>0</v>
      </c>
      <c r="AG17" s="23">
        <f t="array" ref="AG17">IF(AND(AG$4&gt;Resumen_Sprints!$E$7,AG$4&lt;=Resumen_Sprints!$E$7+Resumen_Sprints!$D$7),INDEX('Sprint N°2'!$C$11:$O$11,AG$4-Resumen_Sprints!$E$7),0)</f>
        <v>0</v>
      </c>
      <c r="AH17" s="23">
        <f t="array" ref="AH17">IF(AND(AH$4&gt;Resumen_Sprints!$E$7,AH$4&lt;=Resumen_Sprints!$E$7+Resumen_Sprints!$D$7),INDEX('Sprint N°2'!$C$11:$O$11,AH$4-Resumen_Sprints!$E$7),0)</f>
        <v>0</v>
      </c>
      <c r="AI17" s="23">
        <f t="array" ref="AI17">IF(AND(AI$4&gt;Resumen_Sprints!$E$7,AI$4&lt;=Resumen_Sprints!$E$7+Resumen_Sprints!$D$7),INDEX('Sprint N°2'!$C$11:$O$11,AI$4-Resumen_Sprints!$E$7),0)</f>
        <v>0</v>
      </c>
      <c r="AJ17" s="23">
        <f t="array" ref="AJ17">IF(AND(AJ$4&gt;Resumen_Sprints!$E$7,AJ$4&lt;=Resumen_Sprints!$E$7+Resumen_Sprints!$D$7),INDEX('Sprint N°2'!$C$11:$O$11,AJ$4-Resumen_Sprints!$E$7),0)</f>
        <v>0</v>
      </c>
      <c r="AK17" s="23">
        <f t="array" ref="AK17">IF(AND(AK$4&gt;Resumen_Sprints!$E$7,AK$4&lt;=Resumen_Sprints!$E$7+Resumen_Sprints!$D$7),INDEX('Sprint N°2'!$C$11:$O$11,AK$4-Resumen_Sprints!$E$7),0)</f>
        <v>0</v>
      </c>
      <c r="AL17" s="23">
        <f t="array" ref="AL17">IF(AND(AL$4&gt;Resumen_Sprints!$E$7,AL$4&lt;=Resumen_Sprints!$E$7+Resumen_Sprints!$D$7),INDEX('Sprint N°2'!$C$11:$O$11,AL$4-Resumen_Sprints!$E$7),0)</f>
        <v>0</v>
      </c>
      <c r="AM17" s="23">
        <f t="array" ref="AM17">IF(AND(AM$4&gt;Resumen_Sprints!$E$7,AM$4&lt;=Resumen_Sprints!$E$7+Resumen_Sprints!$D$7),INDEX('Sprint N°2'!$C$11:$O$11,AM$4-Resumen_Sprints!$E$7),0)</f>
        <v>0</v>
      </c>
      <c r="AN17" s="23">
        <f t="array" ref="AN17">IF(AND(AN$4&gt;Resumen_Sprints!$E$7,AN$4&lt;=Resumen_Sprints!$E$7+Resumen_Sprints!$D$7),INDEX('Sprint N°2'!$C$11:$O$11,AN$4-Resumen_Sprints!$E$7),0)</f>
        <v>0</v>
      </c>
      <c r="AO17" s="23">
        <f t="array" ref="AO17">IF(AND(AO$4&gt;Resumen_Sprints!$E$7,AO$4&lt;=Resumen_Sprints!$E$7+Resumen_Sprints!$D$7),INDEX('Sprint N°2'!$C$11:$O$11,AO$4-Resumen_Sprints!$E$7),0)</f>
        <v>0</v>
      </c>
      <c r="AP17" s="23">
        <f t="array" ref="AP17">IF(AND(AP$4&gt;Resumen_Sprints!$E$7,AP$4&lt;=Resumen_Sprints!$E$7+Resumen_Sprints!$D$7),INDEX('Sprint N°2'!$C$11:$O$11,AP$4-Resumen_Sprints!$E$7),0)</f>
        <v>0</v>
      </c>
      <c r="AQ17" s="23">
        <f t="array" ref="AQ17">IF(AND(AQ$4&gt;Resumen_Sprints!$E$7,AQ$4&lt;=Resumen_Sprints!$E$7+Resumen_Sprints!$D$7),INDEX('Sprint N°2'!$C$11:$O$11,AQ$4-Resumen_Sprints!$E$7),0)</f>
        <v>0</v>
      </c>
      <c r="AR17" s="23">
        <f t="array" ref="AR17">IF(AND(AR$4&gt;Resumen_Sprints!$E$7,AR$4&lt;=Resumen_Sprints!$E$7+Resumen_Sprints!$D$7),INDEX('Sprint N°2'!$C$11:$O$11,AR$4-Resumen_Sprints!$E$7),0)</f>
        <v>0</v>
      </c>
      <c r="AS17" s="23">
        <f t="array" ref="AS17">IF(AND(AS$4&gt;Resumen_Sprints!$E$7,AS$4&lt;=Resumen_Sprints!$E$7+Resumen_Sprints!$D$7),INDEX('Sprint N°2'!$C$11:$O$11,AS$4-Resumen_Sprints!$E$7),0)</f>
        <v>0</v>
      </c>
      <c r="AT17" s="23">
        <f t="array" ref="AT17">IF(AND(AT$4&gt;Resumen_Sprints!$E$7,AT$4&lt;=Resumen_Sprints!$E$7+Resumen_Sprints!$D$7),INDEX('Sprint N°2'!$C$11:$O$11,AT$4-Resumen_Sprints!$E$7),0)</f>
        <v>0</v>
      </c>
      <c r="AU17" s="23">
        <f t="array" ref="AU17">IF(AND(AU$4&gt;Resumen_Sprints!$E$7,AU$4&lt;=Resumen_Sprints!$E$7+Resumen_Sprints!$D$7),INDEX('Sprint N°2'!$C$11:$O$11,AU$4-Resumen_Sprints!$E$7),0)</f>
        <v>0</v>
      </c>
      <c r="AV17" s="23">
        <f t="array" ref="AV17">IF(AND(AV$4&gt;Resumen_Sprints!$E$7,AV$4&lt;=Resumen_Sprints!$E$7+Resumen_Sprints!$D$7),INDEX('Sprint N°2'!$C$11:$O$11,AV$4-Resumen_Sprints!$E$7),0)</f>
        <v>0</v>
      </c>
      <c r="AW17" s="23">
        <f t="array" ref="AW17">IF(AND(AW$4&gt;Resumen_Sprints!$E$7,AW$4&lt;=Resumen_Sprints!$E$7+Resumen_Sprints!$D$7),INDEX('Sprint N°2'!$C$11:$O$11,AW$4-Resumen_Sprints!$E$7),0)</f>
        <v>0</v>
      </c>
      <c r="AX17" s="23">
        <f t="array" ref="AX17">IF(AND(AX$4&gt;Resumen_Sprints!$E$7,AX$4&lt;=Resumen_Sprints!$E$7+Resumen_Sprints!$D$7),INDEX('Sprint N°2'!$C$11:$O$11,AX$4-Resumen_Sprints!$E$7),0)</f>
        <v>0</v>
      </c>
      <c r="AY17" s="23">
        <f t="array" ref="AY17">IF(AND(AY$4&gt;Resumen_Sprints!$E$7,AY$4&lt;=Resumen_Sprints!$E$7+Resumen_Sprints!$D$7),INDEX('Sprint N°2'!$C$11:$O$11,AY$4-Resumen_Sprints!$E$7),0)</f>
        <v>0</v>
      </c>
      <c r="AZ17" s="23">
        <f t="array" ref="AZ17">IF(AND(AZ$4&gt;Resumen_Sprints!$E$7,AZ$4&lt;=Resumen_Sprints!$E$7+Resumen_Sprints!$D$7),INDEX('Sprint N°2'!$C$11:$O$11,AZ$4-Resumen_Sprints!$E$7),0)</f>
        <v>0</v>
      </c>
      <c r="BA17" s="23">
        <f t="array" ref="BA17">IF(AND(BA$4&gt;Resumen_Sprints!$E$7,BA$4&lt;=Resumen_Sprints!$E$7+Resumen_Sprints!$D$7),INDEX('Sprint N°2'!$C$11:$O$11,BA$4-Resumen_Sprints!$E$7),0)</f>
        <v>0</v>
      </c>
      <c r="BB17" s="23">
        <f t="array" ref="BB17">IF(AND(BB$4&gt;Resumen_Sprints!$E$7,BB$4&lt;=Resumen_Sprints!$E$7+Resumen_Sprints!$D$7),INDEX('Sprint N°2'!$C$11:$O$11,BB$4-Resumen_Sprints!$E$7),0)</f>
        <v>0</v>
      </c>
      <c r="BC17" s="23">
        <f t="array" ref="BC17">IF(AND(BC$4&gt;Resumen_Sprints!$E$7,BC$4&lt;=Resumen_Sprints!$E$7+Resumen_Sprints!$D$7),INDEX('Sprint N°2'!$C$11:$O$11,BC$4-Resumen_Sprints!$E$7),0)</f>
        <v>0</v>
      </c>
      <c r="BD17" s="23">
        <f t="array" ref="BD17">IF(AND(BD$4&gt;Resumen_Sprints!$E$7,BD$4&lt;=Resumen_Sprints!$E$7+Resumen_Sprints!$D$7),INDEX('Sprint N°2'!$C$11:$O$11,BD$4-Resumen_Sprints!$E$7),0)</f>
        <v>0</v>
      </c>
      <c r="BE17" s="23">
        <f t="array" ref="BE17">IF(AND(BE$4&gt;Resumen_Sprints!$E$7,BE$4&lt;=Resumen_Sprints!$E$7+Resumen_Sprints!$D$7),INDEX('Sprint N°2'!$C$11:$O$11,BE$4-Resumen_Sprints!$E$7),0)</f>
        <v>0</v>
      </c>
      <c r="BF17" s="23">
        <f t="array" ref="BF17">IF(AND(BF$4&gt;Resumen_Sprints!$E$7,BF$4&lt;=Resumen_Sprints!$E$7+Resumen_Sprints!$D$7),INDEX('Sprint N°2'!$C$11:$O$11,BF$4-Resumen_Sprints!$E$7),0)</f>
        <v>0</v>
      </c>
      <c r="BG17" s="23">
        <f t="array" ref="BG17">IF(AND(BG$4&gt;Resumen_Sprints!$E$7,BG$4&lt;=Resumen_Sprints!$E$7+Resumen_Sprints!$D$7),INDEX('Sprint N°2'!$C$11:$O$11,BG$4-Resumen_Sprints!$E$7),0)</f>
        <v>0</v>
      </c>
      <c r="BH17" s="23">
        <f t="array" ref="BH17">IF(AND(BH$4&gt;Resumen_Sprints!$E$7,BH$4&lt;=Resumen_Sprints!$E$7+Resumen_Sprints!$D$7),INDEX('Sprint N°2'!$C$11:$O$11,BH$4-Resumen_Sprints!$E$7),0)</f>
        <v>0</v>
      </c>
      <c r="BI17" s="23">
        <f t="array" ref="BI17">IF(AND(BI$4&gt;Resumen_Sprints!$E$7,BI$4&lt;=Resumen_Sprints!$E$7+Resumen_Sprints!$D$7),INDEX('Sprint N°2'!$C$11:$O$11,BI$4-Resumen_Sprints!$E$7),0)</f>
        <v>0</v>
      </c>
      <c r="BJ17" s="23">
        <f t="array" ref="BJ17">IF(AND(BJ$4&gt;Resumen_Sprints!$E$7,BJ$4&lt;=Resumen_Sprints!$E$7+Resumen_Sprints!$D$7),INDEX('Sprint N°2'!$C$11:$O$11,BJ$4-Resumen_Sprints!$E$7),0)</f>
        <v>0</v>
      </c>
      <c r="BK17" s="23">
        <f t="array" ref="BK17">IF(AND(BK$4&gt;Resumen_Sprints!$E$7,BK$4&lt;=Resumen_Sprints!$E$7+Resumen_Sprints!$D$7),INDEX('Sprint N°2'!$C$11:$O$11,BK$4-Resumen_Sprints!$E$7),0)</f>
        <v>0</v>
      </c>
      <c r="BL17" s="23">
        <f t="array" ref="BL17">IF(AND(BL$4&gt;Resumen_Sprints!$E$7,BL$4&lt;=Resumen_Sprints!$E$7+Resumen_Sprints!$D$7),INDEX('Sprint N°2'!$C$11:$O$11,BL$4-Resumen_Sprints!$E$7),0)</f>
        <v>0</v>
      </c>
      <c r="BM17" s="23">
        <f t="array" ref="BM17">IF(AND(BM$4&gt;Resumen_Sprints!$E$7,BM$4&lt;=Resumen_Sprints!$E$7+Resumen_Sprints!$D$7),INDEX('Sprint N°2'!$C$11:$O$11,BM$4-Resumen_Sprints!$E$7),0)</f>
        <v>0</v>
      </c>
      <c r="BN17" s="23">
        <f t="array" ref="BN17">IF(AND(BN$4&gt;Resumen_Sprints!$E$7,BN$4&lt;=Resumen_Sprints!$E$7+Resumen_Sprints!$D$7),INDEX('Sprint N°2'!$C$11:$O$11,BN$4-Resumen_Sprints!$E$7),0)</f>
        <v>0</v>
      </c>
      <c r="BO17" s="23">
        <f t="array" ref="BO17">IF(AND(BO$4&gt;Resumen_Sprints!$E$7,BO$4&lt;=Resumen_Sprints!$E$7+Resumen_Sprints!$D$7),INDEX('Sprint N°2'!$C$11:$O$11,BO$4-Resumen_Sprints!$E$7),0)</f>
        <v>0</v>
      </c>
      <c r="BP17" s="23">
        <f t="array" ref="BP17">IF(AND(BP$4&gt;Resumen_Sprints!$E$7,BP$4&lt;=Resumen_Sprints!$E$7+Resumen_Sprints!$D$7),INDEX('Sprint N°2'!$C$11:$O$11,BP$4-Resumen_Sprints!$E$7),0)</f>
        <v>0</v>
      </c>
      <c r="BQ17" s="23">
        <f t="array" ref="BQ17">IF(AND(BQ$4&gt;Resumen_Sprints!$E$7,BQ$4&lt;=Resumen_Sprints!$E$7+Resumen_Sprints!$D$7),INDEX('Sprint N°2'!$C$11:$O$11,BQ$4-Resumen_Sprints!$E$7),0)</f>
        <v>0</v>
      </c>
      <c r="BR17" s="23">
        <f t="array" ref="BR17">IF(AND(BR$4&gt;Resumen_Sprints!$E$7,BR$4&lt;=Resumen_Sprints!$E$7+Resumen_Sprints!$D$7),INDEX('Sprint N°2'!$C$11:$O$11,BR$4-Resumen_Sprints!$E$7),0)</f>
        <v>0</v>
      </c>
      <c r="BS17" s="23">
        <f t="array" ref="BS17">IF(AND(BS$4&gt;Resumen_Sprints!$E$7,BS$4&lt;=Resumen_Sprints!$E$7+Resumen_Sprints!$D$7),INDEX('Sprint N°2'!$C$11:$O$11,BS$4-Resumen_Sprints!$E$7),0)</f>
        <v>0</v>
      </c>
      <c r="BT17" s="23">
        <f t="array" ref="BT17">IF(AND(BT$4&gt;Resumen_Sprints!$E$7,BT$4&lt;=Resumen_Sprints!$E$7+Resumen_Sprints!$D$7),INDEX('Sprint N°2'!$C$11:$O$11,BT$4-Resumen_Sprints!$E$7),0)</f>
        <v>0</v>
      </c>
      <c r="BU17" s="23">
        <f t="array" ref="BU17">IF(AND(BU$4&gt;Resumen_Sprints!$E$7,BU$4&lt;=Resumen_Sprints!$E$7+Resumen_Sprints!$D$7),INDEX('Sprint N°2'!$C$11:$O$11,BU$4-Resumen_Sprints!$E$7),0)</f>
        <v>0</v>
      </c>
      <c r="BV17" s="23">
        <f t="array" ref="BV17">IF(AND(BV$4&gt;Resumen_Sprints!$E$7,BV$4&lt;=Resumen_Sprints!$E$7+Resumen_Sprints!$D$7),INDEX('Sprint N°2'!$C$11:$O$11,BV$4-Resumen_Sprints!$E$7),0)</f>
        <v>0</v>
      </c>
      <c r="BW17" s="23">
        <f t="array" ref="BW17">IF(AND(BW$4&gt;Resumen_Sprints!$E$7,BW$4&lt;=Resumen_Sprints!$E$7+Resumen_Sprints!$D$7),INDEX('Sprint N°2'!$C$11:$O$11,BW$4-Resumen_Sprints!$E$7),0)</f>
        <v>0</v>
      </c>
      <c r="BX17" s="23">
        <f t="array" ref="BX17">IF(AND(BX$4&gt;Resumen_Sprints!$E$7,BX$4&lt;=Resumen_Sprints!$E$7+Resumen_Sprints!$D$7),INDEX('Sprint N°2'!$C$11:$O$11,BX$4-Resumen_Sprints!$E$7),0)</f>
        <v>0</v>
      </c>
      <c r="BY17" s="23">
        <f t="array" ref="BY17">IF(AND(BY$4&gt;Resumen_Sprints!$E$7,BY$4&lt;=Resumen_Sprints!$E$7+Resumen_Sprints!$D$7),INDEX('Sprint N°2'!$C$11:$O$11,BY$4-Resumen_Sprints!$E$7),0)</f>
        <v>0</v>
      </c>
      <c r="BZ17" s="23">
        <f t="array" ref="BZ17">IF(AND(BZ$4&gt;Resumen_Sprints!$E$7,BZ$4&lt;=Resumen_Sprints!$E$7+Resumen_Sprints!$D$7),INDEX('Sprint N°2'!$C$11:$O$11,BZ$4-Resumen_Sprints!$E$7),0)</f>
        <v>0</v>
      </c>
      <c r="CA17" s="23">
        <f t="array" ref="CA17">IF(AND(CA$4&gt;Resumen_Sprints!$E$7,CA$4&lt;=Resumen_Sprints!$E$7+Resumen_Sprints!$D$7),INDEX('Sprint N°2'!$C$11:$O$11,CA$4-Resumen_Sprints!$E$7),0)</f>
        <v>0</v>
      </c>
      <c r="CB17" s="23">
        <f t="array" ref="CB17">IF(AND(CB$4&gt;Resumen_Sprints!$E$7,CB$4&lt;=Resumen_Sprints!$E$7+Resumen_Sprints!$D$7),INDEX('Sprint N°2'!$C$11:$O$11,CB$4-Resumen_Sprints!$E$7),0)</f>
        <v>0</v>
      </c>
      <c r="CC17" s="23">
        <f t="array" ref="CC17">IF(AND(CC$4&gt;Resumen_Sprints!$E$7,CC$4&lt;=Resumen_Sprints!$E$7+Resumen_Sprints!$D$7),INDEX('Sprint N°2'!$C$11:$O$11,CC$4-Resumen_Sprints!$E$7),0)</f>
        <v>0</v>
      </c>
      <c r="CD17" s="23">
        <f t="array" ref="CD17">IF(AND(CD$4&gt;Resumen_Sprints!$E$7,CD$4&lt;=Resumen_Sprints!$E$7+Resumen_Sprints!$D$7),INDEX('Sprint N°2'!$C$11:$O$11,CD$4-Resumen_Sprints!$E$7),0)</f>
        <v>0</v>
      </c>
      <c r="CE17" s="23">
        <f t="array" ref="CE17">IF(AND(CE$4&gt;Resumen_Sprints!$E$7,CE$4&lt;=Resumen_Sprints!$E$7+Resumen_Sprints!$D$7),INDEX('Sprint N°2'!$C$11:$O$11,CE$4-Resumen_Sprints!$E$7),0)</f>
        <v>0</v>
      </c>
      <c r="CF17" s="23">
        <f t="array" ref="CF17">IF(AND(CF$4&gt;Resumen_Sprints!$E$7,CF$4&lt;=Resumen_Sprints!$E$7+Resumen_Sprints!$D$7),INDEX('Sprint N°2'!$C$11:$O$11,CF$4-Resumen_Sprints!$E$7),0)</f>
        <v>0</v>
      </c>
      <c r="CG17" s="23">
        <f t="array" ref="CG17">IF(AND(CG$4&gt;Resumen_Sprints!$E$7,CG$4&lt;=Resumen_Sprints!$E$7+Resumen_Sprints!$D$7),INDEX('Sprint N°2'!$C$11:$O$11,CG$4-Resumen_Sprints!$E$7),0)</f>
        <v>0</v>
      </c>
      <c r="CH17" s="23">
        <f t="array" ref="CH17">IF(AND(CH$4&gt;Resumen_Sprints!$E$7,CH$4&lt;=Resumen_Sprints!$E$7+Resumen_Sprints!$D$7),INDEX('Sprint N°2'!$C$11:$O$11,CH$4-Resumen_Sprints!$E$7),0)</f>
        <v>0</v>
      </c>
      <c r="CI17" s="23">
        <f t="array" ref="CI17">IF(AND(CI$4&gt;Resumen_Sprints!$E$7,CI$4&lt;=Resumen_Sprints!$E$7+Resumen_Sprints!$D$7),INDEX('Sprint N°2'!$C$11:$O$11,CI$4-Resumen_Sprints!$E$7),0)</f>
        <v>0</v>
      </c>
      <c r="CJ17" s="23">
        <f t="array" ref="CJ17">IF(AND(CJ$4&gt;Resumen_Sprints!$E$7,CJ$4&lt;=Resumen_Sprints!$E$7+Resumen_Sprints!$D$7),INDEX('Sprint N°2'!$C$11:$O$11,CJ$4-Resumen_Sprints!$E$7),0)</f>
        <v>0</v>
      </c>
      <c r="CK17" s="23">
        <f t="array" ref="CK17">IF(AND(CK$4&gt;Resumen_Sprints!$E$7,CK$4&lt;=Resumen_Sprints!$E$7+Resumen_Sprints!$D$7),INDEX('Sprint N°2'!$C$11:$O$11,CK$4-Resumen_Sprints!$E$7),0)</f>
        <v>0</v>
      </c>
      <c r="CL17" s="23">
        <f t="array" ref="CL17">IF(AND(CL$4&gt;Resumen_Sprints!$E$7,CL$4&lt;=Resumen_Sprints!$E$7+Resumen_Sprints!$D$7),INDEX('Sprint N°2'!$C$11:$O$11,CL$4-Resumen_Sprints!$E$7),0)</f>
        <v>0</v>
      </c>
      <c r="CM17" s="23">
        <f t="array" ref="CM17">IF(AND(CM$4&gt;Resumen_Sprints!$E$7,CM$4&lt;=Resumen_Sprints!$E$7+Resumen_Sprints!$D$7),INDEX('Sprint N°2'!$C$11:$O$11,CM$4-Resumen_Sprints!$E$7),0)</f>
        <v>0</v>
      </c>
      <c r="CN17" s="23">
        <f t="array" ref="CN17">IF(AND(CN$4&gt;Resumen_Sprints!$E$7,CN$4&lt;=Resumen_Sprints!$E$7+Resumen_Sprints!$D$7),INDEX('Sprint N°2'!$C$11:$O$11,CN$4-Resumen_Sprints!$E$7),0)</f>
        <v>0</v>
      </c>
      <c r="CO17" s="23">
        <f t="array" ref="CO17">IF(AND(CO$4&gt;Resumen_Sprints!$E$7,CO$4&lt;=Resumen_Sprints!$E$7+Resumen_Sprints!$D$7),INDEX('Sprint N°2'!$C$11:$O$11,CO$4-Resumen_Sprints!$E$7),0)</f>
        <v>0</v>
      </c>
      <c r="CP17" s="23">
        <f t="array" ref="CP17">IF(AND(CP$4&gt;Resumen_Sprints!$E$7,CP$4&lt;=Resumen_Sprints!$E$7+Resumen_Sprints!$D$7),INDEX('Sprint N°2'!$C$11:$O$11,CP$4-Resumen_Sprints!$E$7),0)</f>
        <v>0</v>
      </c>
      <c r="CQ17" s="23">
        <f t="array" ref="CQ17">IF(AND(CQ$4&gt;Resumen_Sprints!$E$7,CQ$4&lt;=Resumen_Sprints!$E$7+Resumen_Sprints!$D$7),INDEX('Sprint N°2'!$C$11:$O$11,CQ$4-Resumen_Sprints!$E$7),0)</f>
        <v>0</v>
      </c>
      <c r="CR17" s="23">
        <f t="array" ref="CR17">IF(AND(CR$4&gt;Resumen_Sprints!$E$7,CR$4&lt;=Resumen_Sprints!$E$7+Resumen_Sprints!$D$7),INDEX('Sprint N°2'!$C$11:$O$11,CR$4-Resumen_Sprints!$E$7),0)</f>
        <v>0</v>
      </c>
      <c r="CS17" s="23">
        <f t="array" ref="CS17">IF(AND(CS$4&gt;Resumen_Sprints!$E$7,CS$4&lt;=Resumen_Sprints!$E$7+Resumen_Sprints!$D$7),INDEX('Sprint N°2'!$C$11:$O$11,CS$4-Resumen_Sprints!$E$7),0)</f>
        <v>0</v>
      </c>
      <c r="CT17" s="23">
        <f t="array" ref="CT17">IF(AND(CT$4&gt;Resumen_Sprints!$E$7,CT$4&lt;=Resumen_Sprints!$E$7+Resumen_Sprints!$D$7),INDEX('Sprint N°2'!$C$11:$O$11,CT$4-Resumen_Sprints!$E$7),0)</f>
        <v>0</v>
      </c>
      <c r="CU17" s="25">
        <f t="shared" si="2"/>
        <v>16</v>
      </c>
    </row>
    <row r="18" ht="14.25" customHeight="1">
      <c r="A18" s="9" t="str">
        <f>"Sprint N°"&amp;Resumen_Sprints!A8&amp;" – "&amp;Resumen_Sprints!B8</f>
        <v>Sprint N°3 – Base de Datos y Catálogo de Materiales</v>
      </c>
      <c r="B18" s="10">
        <f>SUM(B19:B22)</f>
        <v>47</v>
      </c>
      <c r="CU18" s="28"/>
    </row>
    <row r="19" ht="14.25" customHeight="1">
      <c r="A19" s="11" t="str">
        <f>'Sprint N°3'!A6</f>
        <v>Coordinación del Objetivos Sprint 3</v>
      </c>
      <c r="B19" s="11">
        <f>'Sprint N°3'!B6</f>
        <v>1</v>
      </c>
      <c r="C19" s="23">
        <f t="array" ref="C19">IF(AND(C$4&gt;Resumen_Sprints!$E$8,C$4&lt;=Resumen_Sprints!$E$8+Resumen_Sprints!$D$8),INDEX('Sprint N°3'!$C$6:$I$6,C$4-Resumen_Sprints!$E$8),0)</f>
        <v>0</v>
      </c>
      <c r="D19" s="23">
        <f t="array" ref="D19">IF(AND(D$4&gt;Resumen_Sprints!$E$8,D$4&lt;=Resumen_Sprints!$E$8+Resumen_Sprints!$D$8),INDEX('Sprint N°3'!$C$6:$I$6,D$4-Resumen_Sprints!$E$8),0)</f>
        <v>0</v>
      </c>
      <c r="E19" s="23">
        <f t="array" ref="E19">IF(AND(E$4&gt;Resumen_Sprints!$E$8,E$4&lt;=Resumen_Sprints!$E$8+Resumen_Sprints!$D$8),INDEX('Sprint N°3'!$C$6:$I$6,E$4-Resumen_Sprints!$E$8),0)</f>
        <v>0</v>
      </c>
      <c r="F19" s="23">
        <f t="array" ref="F19">IF(AND(F$4&gt;Resumen_Sprints!$E$8,F$4&lt;=Resumen_Sprints!$E$8+Resumen_Sprints!$D$8),INDEX('Sprint N°3'!$C$6:$I$6,F$4-Resumen_Sprints!$E$8),0)</f>
        <v>0</v>
      </c>
      <c r="G19" s="23">
        <f t="array" ref="G19">IF(AND(G$4&gt;Resumen_Sprints!$E$8,G$4&lt;=Resumen_Sprints!$E$8+Resumen_Sprints!$D$8),INDEX('Sprint N°3'!$C$6:$I$6,G$4-Resumen_Sprints!$E$8),0)</f>
        <v>0</v>
      </c>
      <c r="H19" s="23">
        <f t="array" ref="H19">IF(AND(H$4&gt;Resumen_Sprints!$E$8,H$4&lt;=Resumen_Sprints!$E$8+Resumen_Sprints!$D$8),INDEX('Sprint N°3'!$C$6:$I$6,H$4-Resumen_Sprints!$E$8),0)</f>
        <v>0</v>
      </c>
      <c r="I19" s="23">
        <f t="array" ref="I19">IF(AND(I$4&gt;Resumen_Sprints!$E$8,I$4&lt;=Resumen_Sprints!$E$8+Resumen_Sprints!$D$8),INDEX('Sprint N°3'!$C$6:$I$6,I$4-Resumen_Sprints!$E$8),0)</f>
        <v>0</v>
      </c>
      <c r="J19" s="23">
        <f t="array" ref="J19">IF(AND(J$4&gt;Resumen_Sprints!$E$8,J$4&lt;=Resumen_Sprints!$E$8+Resumen_Sprints!$D$8),INDEX('Sprint N°3'!$C$6:$I$6,J$4-Resumen_Sprints!$E$8),0)</f>
        <v>0</v>
      </c>
      <c r="K19" s="23">
        <f t="array" ref="K19">IF(AND(K$4&gt;Resumen_Sprints!$E$8,K$4&lt;=Resumen_Sprints!$E$8+Resumen_Sprints!$D$8),INDEX('Sprint N°3'!$C$6:$I$6,K$4-Resumen_Sprints!$E$8),0)</f>
        <v>0</v>
      </c>
      <c r="L19" s="23">
        <f t="array" ref="L19">IF(AND(L$4&gt;Resumen_Sprints!$E$8,L$4&lt;=Resumen_Sprints!$E$8+Resumen_Sprints!$D$8),INDEX('Sprint N°3'!$C$6:$I$6,L$4-Resumen_Sprints!$E$8),0)</f>
        <v>0</v>
      </c>
      <c r="M19" s="23">
        <f t="array" ref="M19">IF(AND(M$4&gt;Resumen_Sprints!$E$8,M$4&lt;=Resumen_Sprints!$E$8+Resumen_Sprints!$D$8),INDEX('Sprint N°3'!$C$6:$I$6,M$4-Resumen_Sprints!$E$8),0)</f>
        <v>0</v>
      </c>
      <c r="N19" s="23">
        <f t="array" ref="N19">IF(AND(N$4&gt;Resumen_Sprints!$E$8,N$4&lt;=Resumen_Sprints!$E$8+Resumen_Sprints!$D$8),INDEX('Sprint N°3'!$C$6:$I$6,N$4-Resumen_Sprints!$E$8),0)</f>
        <v>0</v>
      </c>
      <c r="O19" s="23">
        <f t="array" ref="O19">IF(AND(O$4&gt;Resumen_Sprints!$E$8,O$4&lt;=Resumen_Sprints!$E$8+Resumen_Sprints!$D$8),INDEX('Sprint N°3'!$C$6:$I$6,O$4-Resumen_Sprints!$E$8),0)</f>
        <v>0</v>
      </c>
      <c r="P19" s="23">
        <f t="array" ref="P19">IF(AND(P$4&gt;Resumen_Sprints!$E$8,P$4&lt;=Resumen_Sprints!$E$8+Resumen_Sprints!$D$8),INDEX('Sprint N°3'!$C$6:$I$6,P$4-Resumen_Sprints!$E$8),0)</f>
        <v>0</v>
      </c>
      <c r="Q19" s="23">
        <f t="array" ref="Q19">IF(AND(Q$4&gt;Resumen_Sprints!$E$8,Q$4&lt;=Resumen_Sprints!$E$8+Resumen_Sprints!$D$8),INDEX('Sprint N°3'!$C$6:$I$6,Q$4-Resumen_Sprints!$E$8),0)</f>
        <v>0</v>
      </c>
      <c r="R19" s="23">
        <f t="array" ref="R19">IF(AND(R$4&gt;Resumen_Sprints!$E$8,R$4&lt;=Resumen_Sprints!$E$8+Resumen_Sprints!$D$8),INDEX('Sprint N°3'!$C$6:$I$6,R$4-Resumen_Sprints!$E$8),0)</f>
        <v>0</v>
      </c>
      <c r="S19" s="23">
        <f t="array" ref="S19">IF(AND(S$4&gt;Resumen_Sprints!$E$8,S$4&lt;=Resumen_Sprints!$E$8+Resumen_Sprints!$D$8),INDEX('Sprint N°3'!$C$6:$I$6,S$4-Resumen_Sprints!$E$8),0)</f>
        <v>0</v>
      </c>
      <c r="T19" s="23">
        <f t="array" ref="T19">IF(AND(T$4&gt;Resumen_Sprints!$E$8,T$4&lt;=Resumen_Sprints!$E$8+Resumen_Sprints!$D$8),INDEX('Sprint N°3'!$C$6:$I$6,T$4-Resumen_Sprints!$E$8),0)</f>
        <v>0</v>
      </c>
      <c r="U19" s="23">
        <f t="array" ref="U19">IF(AND(U$4&gt;Resumen_Sprints!$E$8,U$4&lt;=Resumen_Sprints!$E$8+Resumen_Sprints!$D$8),INDEX('Sprint N°3'!$C$6:$I$6,U$4-Resumen_Sprints!$E$8),0)</f>
        <v>0</v>
      </c>
      <c r="V19" s="23">
        <f t="array" ref="V19">IF(AND(V$4&gt;Resumen_Sprints!$E$8,V$4&lt;=Resumen_Sprints!$E$8+Resumen_Sprints!$D$8),INDEX('Sprint N°3'!$C$6:$I$6,V$4-Resumen_Sprints!$E$8),0)</f>
        <v>0</v>
      </c>
      <c r="W19" s="23">
        <f t="array" ref="W19">IF(AND(W$4&gt;Resumen_Sprints!$E$8,W$4&lt;=Resumen_Sprints!$E$8+Resumen_Sprints!$D$8),INDEX('Sprint N°3'!$C$6:$I$6,W$4-Resumen_Sprints!$E$8),0)</f>
        <v>1</v>
      </c>
      <c r="X19" s="23" t="str">
        <f t="array" ref="X19">IF(AND(X$4&gt;Resumen_Sprints!$E$8,X$4&lt;=Resumen_Sprints!$E$8+Resumen_Sprints!$D$8),INDEX('Sprint N°3'!$C$6:$I$6,X$4-Resumen_Sprints!$E$8),0)</f>
        <v/>
      </c>
      <c r="Y19" s="23" t="str">
        <f t="array" ref="Y19">IF(AND(Y$4&gt;Resumen_Sprints!$E$8,Y$4&lt;=Resumen_Sprints!$E$8+Resumen_Sprints!$D$8),INDEX('Sprint N°3'!$C$6:$I$6,Y$4-Resumen_Sprints!$E$8),0)</f>
        <v/>
      </c>
      <c r="Z19" s="23" t="str">
        <f t="array" ref="Z19">IF(AND(Z$4&gt;Resumen_Sprints!$E$8,Z$4&lt;=Resumen_Sprints!$E$8+Resumen_Sprints!$D$8),INDEX('Sprint N°3'!$C$6:$I$6,Z$4-Resumen_Sprints!$E$8),0)</f>
        <v/>
      </c>
      <c r="AA19" s="23" t="str">
        <f t="array" ref="AA19">IF(AND(AA$4&gt;Resumen_Sprints!$E$8,AA$4&lt;=Resumen_Sprints!$E$8+Resumen_Sprints!$D$8),INDEX('Sprint N°3'!$C$6:$I$6,AA$4-Resumen_Sprints!$E$8),0)</f>
        <v/>
      </c>
      <c r="AB19" s="23" t="str">
        <f t="array" ref="AB19">IF(AND(AB$4&gt;Resumen_Sprints!$E$8,AB$4&lt;=Resumen_Sprints!$E$8+Resumen_Sprints!$D$8),INDEX('Sprint N°3'!$C$6:$I$6,AB$4-Resumen_Sprints!$E$8),0)</f>
        <v/>
      </c>
      <c r="AC19" s="23" t="str">
        <f t="array" ref="AC19">IF(AND(AC$4&gt;Resumen_Sprints!$E$8,AC$4&lt;=Resumen_Sprints!$E$8+Resumen_Sprints!$D$8),INDEX('Sprint N°3'!$C$6:$I$6,AC$4-Resumen_Sprints!$E$8),0)</f>
        <v/>
      </c>
      <c r="AD19" s="23">
        <f t="array" ref="AD19">IF(AND(AD$4&gt;Resumen_Sprints!$E$8,AD$4&lt;=Resumen_Sprints!$E$8+Resumen_Sprints!$D$8),INDEX('Sprint N°3'!$C$6:$I$6,AD$4-Resumen_Sprints!$E$8),0)</f>
        <v>0</v>
      </c>
      <c r="AE19" s="23">
        <f t="array" ref="AE19">IF(AND(AE$4&gt;Resumen_Sprints!$E$8,AE$4&lt;=Resumen_Sprints!$E$8+Resumen_Sprints!$D$8),INDEX('Sprint N°3'!$C$6:$I$6,AE$4-Resumen_Sprints!$E$8),0)</f>
        <v>0</v>
      </c>
      <c r="AF19" s="23">
        <f t="array" ref="AF19">IF(AND(AF$4&gt;Resumen_Sprints!$E$8,AF$4&lt;=Resumen_Sprints!$E$8+Resumen_Sprints!$D$8),INDEX('Sprint N°3'!$C$6:$I$6,AF$4-Resumen_Sprints!$E$8),0)</f>
        <v>0</v>
      </c>
      <c r="AG19" s="23">
        <f t="array" ref="AG19">IF(AND(AG$4&gt;Resumen_Sprints!$E$8,AG$4&lt;=Resumen_Sprints!$E$8+Resumen_Sprints!$D$8),INDEX('Sprint N°3'!$C$6:$I$6,AG$4-Resumen_Sprints!$E$8),0)</f>
        <v>0</v>
      </c>
      <c r="AH19" s="23">
        <f t="array" ref="AH19">IF(AND(AH$4&gt;Resumen_Sprints!$E$8,AH$4&lt;=Resumen_Sprints!$E$8+Resumen_Sprints!$D$8),INDEX('Sprint N°3'!$C$6:$I$6,AH$4-Resumen_Sprints!$E$8),0)</f>
        <v>0</v>
      </c>
      <c r="AI19" s="23">
        <f t="array" ref="AI19">IF(AND(AI$4&gt;Resumen_Sprints!$E$8,AI$4&lt;=Resumen_Sprints!$E$8+Resumen_Sprints!$D$8),INDEX('Sprint N°3'!$C$6:$I$6,AI$4-Resumen_Sprints!$E$8),0)</f>
        <v>0</v>
      </c>
      <c r="AJ19" s="23">
        <f t="array" ref="AJ19">IF(AND(AJ$4&gt;Resumen_Sprints!$E$8,AJ$4&lt;=Resumen_Sprints!$E$8+Resumen_Sprints!$D$8),INDEX('Sprint N°3'!$C$6:$I$6,AJ$4-Resumen_Sprints!$E$8),0)</f>
        <v>0</v>
      </c>
      <c r="AK19" s="23">
        <f t="array" ref="AK19">IF(AND(AK$4&gt;Resumen_Sprints!$E$8,AK$4&lt;=Resumen_Sprints!$E$8+Resumen_Sprints!$D$8),INDEX('Sprint N°3'!$C$6:$I$6,AK$4-Resumen_Sprints!$E$8),0)</f>
        <v>0</v>
      </c>
      <c r="AL19" s="23">
        <f t="array" ref="AL19">IF(AND(AL$4&gt;Resumen_Sprints!$E$8,AL$4&lt;=Resumen_Sprints!$E$8+Resumen_Sprints!$D$8),INDEX('Sprint N°3'!$C$6:$I$6,AL$4-Resumen_Sprints!$E$8),0)</f>
        <v>0</v>
      </c>
      <c r="AM19" s="23">
        <f t="array" ref="AM19">IF(AND(AM$4&gt;Resumen_Sprints!$E$8,AM$4&lt;=Resumen_Sprints!$E$8+Resumen_Sprints!$D$8),INDEX('Sprint N°3'!$C$6:$I$6,AM$4-Resumen_Sprints!$E$8),0)</f>
        <v>0</v>
      </c>
      <c r="AN19" s="23">
        <f t="array" ref="AN19">IF(AND(AN$4&gt;Resumen_Sprints!$E$8,AN$4&lt;=Resumen_Sprints!$E$8+Resumen_Sprints!$D$8),INDEX('Sprint N°3'!$C$6:$I$6,AN$4-Resumen_Sprints!$E$8),0)</f>
        <v>0</v>
      </c>
      <c r="AO19" s="23">
        <f t="array" ref="AO19">IF(AND(AO$4&gt;Resumen_Sprints!$E$8,AO$4&lt;=Resumen_Sprints!$E$8+Resumen_Sprints!$D$8),INDEX('Sprint N°3'!$C$6:$I$6,AO$4-Resumen_Sprints!$E$8),0)</f>
        <v>0</v>
      </c>
      <c r="AP19" s="23">
        <f t="array" ref="AP19">IF(AND(AP$4&gt;Resumen_Sprints!$E$8,AP$4&lt;=Resumen_Sprints!$E$8+Resumen_Sprints!$D$8),INDEX('Sprint N°3'!$C$6:$I$6,AP$4-Resumen_Sprints!$E$8),0)</f>
        <v>0</v>
      </c>
      <c r="AQ19" s="23">
        <f t="array" ref="AQ19">IF(AND(AQ$4&gt;Resumen_Sprints!$E$8,AQ$4&lt;=Resumen_Sprints!$E$8+Resumen_Sprints!$D$8),INDEX('Sprint N°3'!$C$6:$I$6,AQ$4-Resumen_Sprints!$E$8),0)</f>
        <v>0</v>
      </c>
      <c r="AR19" s="23">
        <f t="array" ref="AR19">IF(AND(AR$4&gt;Resumen_Sprints!$E$8,AR$4&lt;=Resumen_Sprints!$E$8+Resumen_Sprints!$D$8),INDEX('Sprint N°3'!$C$6:$I$6,AR$4-Resumen_Sprints!$E$8),0)</f>
        <v>0</v>
      </c>
      <c r="AS19" s="23">
        <f t="array" ref="AS19">IF(AND(AS$4&gt;Resumen_Sprints!$E$8,AS$4&lt;=Resumen_Sprints!$E$8+Resumen_Sprints!$D$8),INDEX('Sprint N°3'!$C$6:$I$6,AS$4-Resumen_Sprints!$E$8),0)</f>
        <v>0</v>
      </c>
      <c r="AT19" s="23">
        <f t="array" ref="AT19">IF(AND(AT$4&gt;Resumen_Sprints!$E$8,AT$4&lt;=Resumen_Sprints!$E$8+Resumen_Sprints!$D$8),INDEX('Sprint N°3'!$C$6:$I$6,AT$4-Resumen_Sprints!$E$8),0)</f>
        <v>0</v>
      </c>
      <c r="AU19" s="23">
        <f t="array" ref="AU19">IF(AND(AU$4&gt;Resumen_Sprints!$E$8,AU$4&lt;=Resumen_Sprints!$E$8+Resumen_Sprints!$D$8),INDEX('Sprint N°3'!$C$6:$I$6,AU$4-Resumen_Sprints!$E$8),0)</f>
        <v>0</v>
      </c>
      <c r="AV19" s="23">
        <f t="array" ref="AV19">IF(AND(AV$4&gt;Resumen_Sprints!$E$8,AV$4&lt;=Resumen_Sprints!$E$8+Resumen_Sprints!$D$8),INDEX('Sprint N°3'!$C$6:$I$6,AV$4-Resumen_Sprints!$E$8),0)</f>
        <v>0</v>
      </c>
      <c r="AW19" s="23">
        <f t="array" ref="AW19">IF(AND(AW$4&gt;Resumen_Sprints!$E$8,AW$4&lt;=Resumen_Sprints!$E$8+Resumen_Sprints!$D$8),INDEX('Sprint N°3'!$C$6:$I$6,AW$4-Resumen_Sprints!$E$8),0)</f>
        <v>0</v>
      </c>
      <c r="AX19" s="23">
        <f t="array" ref="AX19">IF(AND(AX$4&gt;Resumen_Sprints!$E$8,AX$4&lt;=Resumen_Sprints!$E$8+Resumen_Sprints!$D$8),INDEX('Sprint N°3'!$C$6:$I$6,AX$4-Resumen_Sprints!$E$8),0)</f>
        <v>0</v>
      </c>
      <c r="AY19" s="23">
        <f t="array" ref="AY19">IF(AND(AY$4&gt;Resumen_Sprints!$E$8,AY$4&lt;=Resumen_Sprints!$E$8+Resumen_Sprints!$D$8),INDEX('Sprint N°3'!$C$6:$I$6,AY$4-Resumen_Sprints!$E$8),0)</f>
        <v>0</v>
      </c>
      <c r="AZ19" s="23">
        <f t="array" ref="AZ19">IF(AND(AZ$4&gt;Resumen_Sprints!$E$8,AZ$4&lt;=Resumen_Sprints!$E$8+Resumen_Sprints!$D$8),INDEX('Sprint N°3'!$C$6:$I$6,AZ$4-Resumen_Sprints!$E$8),0)</f>
        <v>0</v>
      </c>
      <c r="BA19" s="23">
        <f t="array" ref="BA19">IF(AND(BA$4&gt;Resumen_Sprints!$E$8,BA$4&lt;=Resumen_Sprints!$E$8+Resumen_Sprints!$D$8),INDEX('Sprint N°3'!$C$6:$I$6,BA$4-Resumen_Sprints!$E$8),0)</f>
        <v>0</v>
      </c>
      <c r="BB19" s="23">
        <f t="array" ref="BB19">IF(AND(BB$4&gt;Resumen_Sprints!$E$8,BB$4&lt;=Resumen_Sprints!$E$8+Resumen_Sprints!$D$8),INDEX('Sprint N°3'!$C$6:$I$6,BB$4-Resumen_Sprints!$E$8),0)</f>
        <v>0</v>
      </c>
      <c r="BC19" s="23">
        <f t="array" ref="BC19">IF(AND(BC$4&gt;Resumen_Sprints!$E$8,BC$4&lt;=Resumen_Sprints!$E$8+Resumen_Sprints!$D$8),INDEX('Sprint N°3'!$C$6:$I$6,BC$4-Resumen_Sprints!$E$8),0)</f>
        <v>0</v>
      </c>
      <c r="BD19" s="23">
        <f t="array" ref="BD19">IF(AND(BD$4&gt;Resumen_Sprints!$E$8,BD$4&lt;=Resumen_Sprints!$E$8+Resumen_Sprints!$D$8),INDEX('Sprint N°3'!$C$6:$I$6,BD$4-Resumen_Sprints!$E$8),0)</f>
        <v>0</v>
      </c>
      <c r="BE19" s="23">
        <f t="array" ref="BE19">IF(AND(BE$4&gt;Resumen_Sprints!$E$8,BE$4&lt;=Resumen_Sprints!$E$8+Resumen_Sprints!$D$8),INDEX('Sprint N°3'!$C$6:$I$6,BE$4-Resumen_Sprints!$E$8),0)</f>
        <v>0</v>
      </c>
      <c r="BF19" s="23">
        <f t="array" ref="BF19">IF(AND(BF$4&gt;Resumen_Sprints!$E$8,BF$4&lt;=Resumen_Sprints!$E$8+Resumen_Sprints!$D$8),INDEX('Sprint N°3'!$C$6:$I$6,BF$4-Resumen_Sprints!$E$8),0)</f>
        <v>0</v>
      </c>
      <c r="BG19" s="23">
        <f t="array" ref="BG19">IF(AND(BG$4&gt;Resumen_Sprints!$E$8,BG$4&lt;=Resumen_Sprints!$E$8+Resumen_Sprints!$D$8),INDEX('Sprint N°3'!$C$6:$I$6,BG$4-Resumen_Sprints!$E$8),0)</f>
        <v>0</v>
      </c>
      <c r="BH19" s="23">
        <f t="array" ref="BH19">IF(AND(BH$4&gt;Resumen_Sprints!$E$8,BH$4&lt;=Resumen_Sprints!$E$8+Resumen_Sprints!$D$8),INDEX('Sprint N°3'!$C$6:$I$6,BH$4-Resumen_Sprints!$E$8),0)</f>
        <v>0</v>
      </c>
      <c r="BI19" s="23">
        <f t="array" ref="BI19">IF(AND(BI$4&gt;Resumen_Sprints!$E$8,BI$4&lt;=Resumen_Sprints!$E$8+Resumen_Sprints!$D$8),INDEX('Sprint N°3'!$C$6:$I$6,BI$4-Resumen_Sprints!$E$8),0)</f>
        <v>0</v>
      </c>
      <c r="BJ19" s="23">
        <f t="array" ref="BJ19">IF(AND(BJ$4&gt;Resumen_Sprints!$E$8,BJ$4&lt;=Resumen_Sprints!$E$8+Resumen_Sprints!$D$8),INDEX('Sprint N°3'!$C$6:$I$6,BJ$4-Resumen_Sprints!$E$8),0)</f>
        <v>0</v>
      </c>
      <c r="BK19" s="23">
        <f t="array" ref="BK19">IF(AND(BK$4&gt;Resumen_Sprints!$E$8,BK$4&lt;=Resumen_Sprints!$E$8+Resumen_Sprints!$D$8),INDEX('Sprint N°3'!$C$6:$I$6,BK$4-Resumen_Sprints!$E$8),0)</f>
        <v>0</v>
      </c>
      <c r="BL19" s="23">
        <f t="array" ref="BL19">IF(AND(BL$4&gt;Resumen_Sprints!$E$8,BL$4&lt;=Resumen_Sprints!$E$8+Resumen_Sprints!$D$8),INDEX('Sprint N°3'!$C$6:$I$6,BL$4-Resumen_Sprints!$E$8),0)</f>
        <v>0</v>
      </c>
      <c r="BM19" s="23">
        <f t="array" ref="BM19">IF(AND(BM$4&gt;Resumen_Sprints!$E$8,BM$4&lt;=Resumen_Sprints!$E$8+Resumen_Sprints!$D$8),INDEX('Sprint N°3'!$C$6:$I$6,BM$4-Resumen_Sprints!$E$8),0)</f>
        <v>0</v>
      </c>
      <c r="BN19" s="23">
        <f t="array" ref="BN19">IF(AND(BN$4&gt;Resumen_Sprints!$E$8,BN$4&lt;=Resumen_Sprints!$E$8+Resumen_Sprints!$D$8),INDEX('Sprint N°3'!$C$6:$I$6,BN$4-Resumen_Sprints!$E$8),0)</f>
        <v>0</v>
      </c>
      <c r="BO19" s="23">
        <f t="array" ref="BO19">IF(AND(BO$4&gt;Resumen_Sprints!$E$8,BO$4&lt;=Resumen_Sprints!$E$8+Resumen_Sprints!$D$8),INDEX('Sprint N°3'!$C$6:$I$6,BO$4-Resumen_Sprints!$E$8),0)</f>
        <v>0</v>
      </c>
      <c r="BP19" s="23">
        <f t="array" ref="BP19">IF(AND(BP$4&gt;Resumen_Sprints!$E$8,BP$4&lt;=Resumen_Sprints!$E$8+Resumen_Sprints!$D$8),INDEX('Sprint N°3'!$C$6:$I$6,BP$4-Resumen_Sprints!$E$8),0)</f>
        <v>0</v>
      </c>
      <c r="BQ19" s="23">
        <f t="array" ref="BQ19">IF(AND(BQ$4&gt;Resumen_Sprints!$E$8,BQ$4&lt;=Resumen_Sprints!$E$8+Resumen_Sprints!$D$8),INDEX('Sprint N°3'!$C$6:$I$6,BQ$4-Resumen_Sprints!$E$8),0)</f>
        <v>0</v>
      </c>
      <c r="BR19" s="23">
        <f t="array" ref="BR19">IF(AND(BR$4&gt;Resumen_Sprints!$E$8,BR$4&lt;=Resumen_Sprints!$E$8+Resumen_Sprints!$D$8),INDEX('Sprint N°3'!$C$6:$I$6,BR$4-Resumen_Sprints!$E$8),0)</f>
        <v>0</v>
      </c>
      <c r="BS19" s="23">
        <f t="array" ref="BS19">IF(AND(BS$4&gt;Resumen_Sprints!$E$8,BS$4&lt;=Resumen_Sprints!$E$8+Resumen_Sprints!$D$8),INDEX('Sprint N°3'!$C$6:$I$6,BS$4-Resumen_Sprints!$E$8),0)</f>
        <v>0</v>
      </c>
      <c r="BT19" s="23">
        <f t="array" ref="BT19">IF(AND(BT$4&gt;Resumen_Sprints!$E$8,BT$4&lt;=Resumen_Sprints!$E$8+Resumen_Sprints!$D$8),INDEX('Sprint N°3'!$C$6:$I$6,BT$4-Resumen_Sprints!$E$8),0)</f>
        <v>0</v>
      </c>
      <c r="BU19" s="23">
        <f t="array" ref="BU19">IF(AND(BU$4&gt;Resumen_Sprints!$E$8,BU$4&lt;=Resumen_Sprints!$E$8+Resumen_Sprints!$D$8),INDEX('Sprint N°3'!$C$6:$I$6,BU$4-Resumen_Sprints!$E$8),0)</f>
        <v>0</v>
      </c>
      <c r="BV19" s="23">
        <f t="array" ref="BV19">IF(AND(BV$4&gt;Resumen_Sprints!$E$8,BV$4&lt;=Resumen_Sprints!$E$8+Resumen_Sprints!$D$8),INDEX('Sprint N°3'!$C$6:$I$6,BV$4-Resumen_Sprints!$E$8),0)</f>
        <v>0</v>
      </c>
      <c r="BW19" s="23">
        <f t="array" ref="BW19">IF(AND(BW$4&gt;Resumen_Sprints!$E$8,BW$4&lt;=Resumen_Sprints!$E$8+Resumen_Sprints!$D$8),INDEX('Sprint N°3'!$C$6:$I$6,BW$4-Resumen_Sprints!$E$8),0)</f>
        <v>0</v>
      </c>
      <c r="BX19" s="23">
        <f t="array" ref="BX19">IF(AND(BX$4&gt;Resumen_Sprints!$E$8,BX$4&lt;=Resumen_Sprints!$E$8+Resumen_Sprints!$D$8),INDEX('Sprint N°3'!$C$6:$I$6,BX$4-Resumen_Sprints!$E$8),0)</f>
        <v>0</v>
      </c>
      <c r="BY19" s="23">
        <f t="array" ref="BY19">IF(AND(BY$4&gt;Resumen_Sprints!$E$8,BY$4&lt;=Resumen_Sprints!$E$8+Resumen_Sprints!$D$8),INDEX('Sprint N°3'!$C$6:$I$6,BY$4-Resumen_Sprints!$E$8),0)</f>
        <v>0</v>
      </c>
      <c r="BZ19" s="23">
        <f t="array" ref="BZ19">IF(AND(BZ$4&gt;Resumen_Sprints!$E$8,BZ$4&lt;=Resumen_Sprints!$E$8+Resumen_Sprints!$D$8),INDEX('Sprint N°3'!$C$6:$I$6,BZ$4-Resumen_Sprints!$E$8),0)</f>
        <v>0</v>
      </c>
      <c r="CA19" s="23">
        <f t="array" ref="CA19">IF(AND(CA$4&gt;Resumen_Sprints!$E$8,CA$4&lt;=Resumen_Sprints!$E$8+Resumen_Sprints!$D$8),INDEX('Sprint N°3'!$C$6:$I$6,CA$4-Resumen_Sprints!$E$8),0)</f>
        <v>0</v>
      </c>
      <c r="CB19" s="23">
        <f t="array" ref="CB19">IF(AND(CB$4&gt;Resumen_Sprints!$E$8,CB$4&lt;=Resumen_Sprints!$E$8+Resumen_Sprints!$D$8),INDEX('Sprint N°3'!$C$6:$I$6,CB$4-Resumen_Sprints!$E$8),0)</f>
        <v>0</v>
      </c>
      <c r="CC19" s="23">
        <f t="array" ref="CC19">IF(AND(CC$4&gt;Resumen_Sprints!$E$8,CC$4&lt;=Resumen_Sprints!$E$8+Resumen_Sprints!$D$8),INDEX('Sprint N°3'!$C$6:$I$6,CC$4-Resumen_Sprints!$E$8),0)</f>
        <v>0</v>
      </c>
      <c r="CD19" s="23">
        <f t="array" ref="CD19">IF(AND(CD$4&gt;Resumen_Sprints!$E$8,CD$4&lt;=Resumen_Sprints!$E$8+Resumen_Sprints!$D$8),INDEX('Sprint N°3'!$C$6:$I$6,CD$4-Resumen_Sprints!$E$8),0)</f>
        <v>0</v>
      </c>
      <c r="CE19" s="23">
        <f t="array" ref="CE19">IF(AND(CE$4&gt;Resumen_Sprints!$E$8,CE$4&lt;=Resumen_Sprints!$E$8+Resumen_Sprints!$D$8),INDEX('Sprint N°3'!$C$6:$I$6,CE$4-Resumen_Sprints!$E$8),0)</f>
        <v>0</v>
      </c>
      <c r="CF19" s="23">
        <f t="array" ref="CF19">IF(AND(CF$4&gt;Resumen_Sprints!$E$8,CF$4&lt;=Resumen_Sprints!$E$8+Resumen_Sprints!$D$8),INDEX('Sprint N°3'!$C$6:$I$6,CF$4-Resumen_Sprints!$E$8),0)</f>
        <v>0</v>
      </c>
      <c r="CG19" s="23">
        <f t="array" ref="CG19">IF(AND(CG$4&gt;Resumen_Sprints!$E$8,CG$4&lt;=Resumen_Sprints!$E$8+Resumen_Sprints!$D$8),INDEX('Sprint N°3'!$C$6:$I$6,CG$4-Resumen_Sprints!$E$8),0)</f>
        <v>0</v>
      </c>
      <c r="CH19" s="23">
        <f t="array" ref="CH19">IF(AND(CH$4&gt;Resumen_Sprints!$E$8,CH$4&lt;=Resumen_Sprints!$E$8+Resumen_Sprints!$D$8),INDEX('Sprint N°3'!$C$6:$I$6,CH$4-Resumen_Sprints!$E$8),0)</f>
        <v>0</v>
      </c>
      <c r="CI19" s="23">
        <f t="array" ref="CI19">IF(AND(CI$4&gt;Resumen_Sprints!$E$8,CI$4&lt;=Resumen_Sprints!$E$8+Resumen_Sprints!$D$8),INDEX('Sprint N°3'!$C$6:$I$6,CI$4-Resumen_Sprints!$E$8),0)</f>
        <v>0</v>
      </c>
      <c r="CJ19" s="23">
        <f t="array" ref="CJ19">IF(AND(CJ$4&gt;Resumen_Sprints!$E$8,CJ$4&lt;=Resumen_Sprints!$E$8+Resumen_Sprints!$D$8),INDEX('Sprint N°3'!$C$6:$I$6,CJ$4-Resumen_Sprints!$E$8),0)</f>
        <v>0</v>
      </c>
      <c r="CK19" s="23">
        <f t="array" ref="CK19">IF(AND(CK$4&gt;Resumen_Sprints!$E$8,CK$4&lt;=Resumen_Sprints!$E$8+Resumen_Sprints!$D$8),INDEX('Sprint N°3'!$C$6:$I$6,CK$4-Resumen_Sprints!$E$8),0)</f>
        <v>0</v>
      </c>
      <c r="CL19" s="23">
        <f t="array" ref="CL19">IF(AND(CL$4&gt;Resumen_Sprints!$E$8,CL$4&lt;=Resumen_Sprints!$E$8+Resumen_Sprints!$D$8),INDEX('Sprint N°3'!$C$6:$I$6,CL$4-Resumen_Sprints!$E$8),0)</f>
        <v>0</v>
      </c>
      <c r="CM19" s="23">
        <f t="array" ref="CM19">IF(AND(CM$4&gt;Resumen_Sprints!$E$8,CM$4&lt;=Resumen_Sprints!$E$8+Resumen_Sprints!$D$8),INDEX('Sprint N°3'!$C$6:$I$6,CM$4-Resumen_Sprints!$E$8),0)</f>
        <v>0</v>
      </c>
      <c r="CN19" s="23">
        <f t="array" ref="CN19">IF(AND(CN$4&gt;Resumen_Sprints!$E$8,CN$4&lt;=Resumen_Sprints!$E$8+Resumen_Sprints!$D$8),INDEX('Sprint N°3'!$C$6:$I$6,CN$4-Resumen_Sprints!$E$8),0)</f>
        <v>0</v>
      </c>
      <c r="CO19" s="23">
        <f t="array" ref="CO19">IF(AND(CO$4&gt;Resumen_Sprints!$E$8,CO$4&lt;=Resumen_Sprints!$E$8+Resumen_Sprints!$D$8),INDEX('Sprint N°3'!$C$6:$I$6,CO$4-Resumen_Sprints!$E$8),0)</f>
        <v>0</v>
      </c>
      <c r="CP19" s="23">
        <f t="array" ref="CP19">IF(AND(CP$4&gt;Resumen_Sprints!$E$8,CP$4&lt;=Resumen_Sprints!$E$8+Resumen_Sprints!$D$8),INDEX('Sprint N°3'!$C$6:$I$6,CP$4-Resumen_Sprints!$E$8),0)</f>
        <v>0</v>
      </c>
      <c r="CQ19" s="23">
        <f t="array" ref="CQ19">IF(AND(CQ$4&gt;Resumen_Sprints!$E$8,CQ$4&lt;=Resumen_Sprints!$E$8+Resumen_Sprints!$D$8),INDEX('Sprint N°3'!$C$6:$I$6,CQ$4-Resumen_Sprints!$E$8),0)</f>
        <v>0</v>
      </c>
      <c r="CR19" s="23">
        <f t="array" ref="CR19">IF(AND(CR$4&gt;Resumen_Sprints!$E$8,CR$4&lt;=Resumen_Sprints!$E$8+Resumen_Sprints!$D$8),INDEX('Sprint N°3'!$C$6:$I$6,CR$4-Resumen_Sprints!$E$8),0)</f>
        <v>0</v>
      </c>
      <c r="CS19" s="23">
        <f t="array" ref="CS19">IF(AND(CS$4&gt;Resumen_Sprints!$E$8,CS$4&lt;=Resumen_Sprints!$E$8+Resumen_Sprints!$D$8),INDEX('Sprint N°3'!$C$6:$I$6,CS$4-Resumen_Sprints!$E$8),0)</f>
        <v>0</v>
      </c>
      <c r="CT19" s="23">
        <f t="array" ref="CT19">IF(AND(CT$4&gt;Resumen_Sprints!$E$8,CT$4&lt;=Resumen_Sprints!$E$8+Resumen_Sprints!$D$8),INDEX('Sprint N°3'!$C$6:$I$6,CT$4-Resumen_Sprints!$E$8),0)</f>
        <v>0</v>
      </c>
      <c r="CU19" s="25">
        <f t="shared" ref="CU19:CU22" si="3">SUM(C19:CT19)</f>
        <v>1</v>
      </c>
    </row>
    <row r="20" ht="14.25" customHeight="1">
      <c r="A20" s="11" t="str">
        <f>'Sprint N°3'!A7</f>
        <v>Implementación del Ambiente de Desarrollo</v>
      </c>
      <c r="B20" s="11">
        <f>'Sprint N°3'!B7</f>
        <v>10</v>
      </c>
      <c r="C20" s="23">
        <f t="array" ref="C20">IF(AND(C$4&gt;Resumen_Sprints!$E$8,C$4&lt;=Resumen_Sprints!$E$8+Resumen_Sprints!$D$8),INDEX('Sprint N°3'!$C$7:$I$7,C$4-Resumen_Sprints!$E$8),0)</f>
        <v>0</v>
      </c>
      <c r="D20" s="23">
        <f t="array" ref="D20">IF(AND(D$4&gt;Resumen_Sprints!$E$8,D$4&lt;=Resumen_Sprints!$E$8+Resumen_Sprints!$D$8),INDEX('Sprint N°3'!$C$7:$I$7,D$4-Resumen_Sprints!$E$8),0)</f>
        <v>0</v>
      </c>
      <c r="E20" s="23">
        <f t="array" ref="E20">IF(AND(E$4&gt;Resumen_Sprints!$E$8,E$4&lt;=Resumen_Sprints!$E$8+Resumen_Sprints!$D$8),INDEX('Sprint N°3'!$C$7:$I$7,E$4-Resumen_Sprints!$E$8),0)</f>
        <v>0</v>
      </c>
      <c r="F20" s="23">
        <f t="array" ref="F20">IF(AND(F$4&gt;Resumen_Sprints!$E$8,F$4&lt;=Resumen_Sprints!$E$8+Resumen_Sprints!$D$8),INDEX('Sprint N°3'!$C$7:$I$7,F$4-Resumen_Sprints!$E$8),0)</f>
        <v>0</v>
      </c>
      <c r="G20" s="23">
        <f t="array" ref="G20">IF(AND(G$4&gt;Resumen_Sprints!$E$8,G$4&lt;=Resumen_Sprints!$E$8+Resumen_Sprints!$D$8),INDEX('Sprint N°3'!$C$7:$I$7,G$4-Resumen_Sprints!$E$8),0)</f>
        <v>0</v>
      </c>
      <c r="H20" s="23">
        <f t="array" ref="H20">IF(AND(H$4&gt;Resumen_Sprints!$E$8,H$4&lt;=Resumen_Sprints!$E$8+Resumen_Sprints!$D$8),INDEX('Sprint N°3'!$C$7:$I$7,H$4-Resumen_Sprints!$E$8),0)</f>
        <v>0</v>
      </c>
      <c r="I20" s="23">
        <f t="array" ref="I20">IF(AND(I$4&gt;Resumen_Sprints!$E$8,I$4&lt;=Resumen_Sprints!$E$8+Resumen_Sprints!$D$8),INDEX('Sprint N°3'!$C$7:$I$7,I$4-Resumen_Sprints!$E$8),0)</f>
        <v>0</v>
      </c>
      <c r="J20" s="23">
        <f t="array" ref="J20">IF(AND(J$4&gt;Resumen_Sprints!$E$8,J$4&lt;=Resumen_Sprints!$E$8+Resumen_Sprints!$D$8),INDEX('Sprint N°3'!$C$7:$I$7,J$4-Resumen_Sprints!$E$8),0)</f>
        <v>0</v>
      </c>
      <c r="K20" s="23">
        <f t="array" ref="K20">IF(AND(K$4&gt;Resumen_Sprints!$E$8,K$4&lt;=Resumen_Sprints!$E$8+Resumen_Sprints!$D$8),INDEX('Sprint N°3'!$C$7:$I$7,K$4-Resumen_Sprints!$E$8),0)</f>
        <v>0</v>
      </c>
      <c r="L20" s="23">
        <f t="array" ref="L20">IF(AND(L$4&gt;Resumen_Sprints!$E$8,L$4&lt;=Resumen_Sprints!$E$8+Resumen_Sprints!$D$8),INDEX('Sprint N°3'!$C$7:$I$7,L$4-Resumen_Sprints!$E$8),0)</f>
        <v>0</v>
      </c>
      <c r="M20" s="23">
        <f t="array" ref="M20">IF(AND(M$4&gt;Resumen_Sprints!$E$8,M$4&lt;=Resumen_Sprints!$E$8+Resumen_Sprints!$D$8),INDEX('Sprint N°3'!$C$7:$I$7,M$4-Resumen_Sprints!$E$8),0)</f>
        <v>0</v>
      </c>
      <c r="N20" s="23">
        <f t="array" ref="N20">IF(AND(N$4&gt;Resumen_Sprints!$E$8,N$4&lt;=Resumen_Sprints!$E$8+Resumen_Sprints!$D$8),INDEX('Sprint N°3'!$C$7:$I$7,N$4-Resumen_Sprints!$E$8),0)</f>
        <v>0</v>
      </c>
      <c r="O20" s="23">
        <f t="array" ref="O20">IF(AND(O$4&gt;Resumen_Sprints!$E$8,O$4&lt;=Resumen_Sprints!$E$8+Resumen_Sprints!$D$8),INDEX('Sprint N°3'!$C$7:$I$7,O$4-Resumen_Sprints!$E$8),0)</f>
        <v>0</v>
      </c>
      <c r="P20" s="23">
        <f t="array" ref="P20">IF(AND(P$4&gt;Resumen_Sprints!$E$8,P$4&lt;=Resumen_Sprints!$E$8+Resumen_Sprints!$D$8),INDEX('Sprint N°3'!$C$7:$I$7,P$4-Resumen_Sprints!$E$8),0)</f>
        <v>0</v>
      </c>
      <c r="Q20" s="23">
        <f t="array" ref="Q20">IF(AND(Q$4&gt;Resumen_Sprints!$E$8,Q$4&lt;=Resumen_Sprints!$E$8+Resumen_Sprints!$D$8),INDEX('Sprint N°3'!$C$7:$I$7,Q$4-Resumen_Sprints!$E$8),0)</f>
        <v>0</v>
      </c>
      <c r="R20" s="23">
        <f t="array" ref="R20">IF(AND(R$4&gt;Resumen_Sprints!$E$8,R$4&lt;=Resumen_Sprints!$E$8+Resumen_Sprints!$D$8),INDEX('Sprint N°3'!$C$7:$I$7,R$4-Resumen_Sprints!$E$8),0)</f>
        <v>0</v>
      </c>
      <c r="S20" s="23">
        <f t="array" ref="S20">IF(AND(S$4&gt;Resumen_Sprints!$E$8,S$4&lt;=Resumen_Sprints!$E$8+Resumen_Sprints!$D$8),INDEX('Sprint N°3'!$C$7:$I$7,S$4-Resumen_Sprints!$E$8),0)</f>
        <v>0</v>
      </c>
      <c r="T20" s="23">
        <f t="array" ref="T20">IF(AND(T$4&gt;Resumen_Sprints!$E$8,T$4&lt;=Resumen_Sprints!$E$8+Resumen_Sprints!$D$8),INDEX('Sprint N°3'!$C$7:$I$7,T$4-Resumen_Sprints!$E$8),0)</f>
        <v>0</v>
      </c>
      <c r="U20" s="23">
        <f t="array" ref="U20">IF(AND(U$4&gt;Resumen_Sprints!$E$8,U$4&lt;=Resumen_Sprints!$E$8+Resumen_Sprints!$D$8),INDEX('Sprint N°3'!$C$7:$I$7,U$4-Resumen_Sprints!$E$8),0)</f>
        <v>0</v>
      </c>
      <c r="V20" s="23">
        <f t="array" ref="V20">IF(AND(V$4&gt;Resumen_Sprints!$E$8,V$4&lt;=Resumen_Sprints!$E$8+Resumen_Sprints!$D$8),INDEX('Sprint N°3'!$C$7:$I$7,V$4-Resumen_Sprints!$E$8),0)</f>
        <v>0</v>
      </c>
      <c r="W20" s="23">
        <f t="array" ref="W20">IF(AND(W$4&gt;Resumen_Sprints!$E$8,W$4&lt;=Resumen_Sprints!$E$8+Resumen_Sprints!$D$8),INDEX('Sprint N°3'!$C$7:$I$7,W$4-Resumen_Sprints!$E$8),0)</f>
        <v>5</v>
      </c>
      <c r="X20" s="23">
        <f t="array" ref="X20">IF(AND(X$4&gt;Resumen_Sprints!$E$8,X$4&lt;=Resumen_Sprints!$E$8+Resumen_Sprints!$D$8),INDEX('Sprint N°3'!$C$7:$I$7,X$4-Resumen_Sprints!$E$8),0)</f>
        <v>5</v>
      </c>
      <c r="Y20" s="23" t="str">
        <f t="array" ref="Y20">IF(AND(Y$4&gt;Resumen_Sprints!$E$8,Y$4&lt;=Resumen_Sprints!$E$8+Resumen_Sprints!$D$8),INDEX('Sprint N°3'!$C$7:$I$7,Y$4-Resumen_Sprints!$E$8),0)</f>
        <v/>
      </c>
      <c r="Z20" s="23" t="str">
        <f t="array" ref="Z20">IF(AND(Z$4&gt;Resumen_Sprints!$E$8,Z$4&lt;=Resumen_Sprints!$E$8+Resumen_Sprints!$D$8),INDEX('Sprint N°3'!$C$7:$I$7,Z$4-Resumen_Sprints!$E$8),0)</f>
        <v/>
      </c>
      <c r="AA20" s="23" t="str">
        <f t="array" ref="AA20">IF(AND(AA$4&gt;Resumen_Sprints!$E$8,AA$4&lt;=Resumen_Sprints!$E$8+Resumen_Sprints!$D$8),INDEX('Sprint N°3'!$C$7:$I$7,AA$4-Resumen_Sprints!$E$8),0)</f>
        <v/>
      </c>
      <c r="AB20" s="23" t="str">
        <f t="array" ref="AB20">IF(AND(AB$4&gt;Resumen_Sprints!$E$8,AB$4&lt;=Resumen_Sprints!$E$8+Resumen_Sprints!$D$8),INDEX('Sprint N°3'!$C$7:$I$7,AB$4-Resumen_Sprints!$E$8),0)</f>
        <v/>
      </c>
      <c r="AC20" s="23" t="str">
        <f t="array" ref="AC20">IF(AND(AC$4&gt;Resumen_Sprints!$E$8,AC$4&lt;=Resumen_Sprints!$E$8+Resumen_Sprints!$D$8),INDEX('Sprint N°3'!$C$7:$I$7,AC$4-Resumen_Sprints!$E$8),0)</f>
        <v/>
      </c>
      <c r="AD20" s="23">
        <f t="array" ref="AD20">IF(AND(AD$4&gt;Resumen_Sprints!$E$8,AD$4&lt;=Resumen_Sprints!$E$8+Resumen_Sprints!$D$8),INDEX('Sprint N°3'!$C$7:$I$7,AD$4-Resumen_Sprints!$E$8),0)</f>
        <v>0</v>
      </c>
      <c r="AE20" s="23">
        <f t="array" ref="AE20">IF(AND(AE$4&gt;Resumen_Sprints!$E$8,AE$4&lt;=Resumen_Sprints!$E$8+Resumen_Sprints!$D$8),INDEX('Sprint N°3'!$C$7:$I$7,AE$4-Resumen_Sprints!$E$8),0)</f>
        <v>0</v>
      </c>
      <c r="AF20" s="23">
        <f t="array" ref="AF20">IF(AND(AF$4&gt;Resumen_Sprints!$E$8,AF$4&lt;=Resumen_Sprints!$E$8+Resumen_Sprints!$D$8),INDEX('Sprint N°3'!$C$7:$I$7,AF$4-Resumen_Sprints!$E$8),0)</f>
        <v>0</v>
      </c>
      <c r="AG20" s="23">
        <f t="array" ref="AG20">IF(AND(AG$4&gt;Resumen_Sprints!$E$8,AG$4&lt;=Resumen_Sprints!$E$8+Resumen_Sprints!$D$8),INDEX('Sprint N°3'!$C$7:$I$7,AG$4-Resumen_Sprints!$E$8),0)</f>
        <v>0</v>
      </c>
      <c r="AH20" s="23">
        <f t="array" ref="AH20">IF(AND(AH$4&gt;Resumen_Sprints!$E$8,AH$4&lt;=Resumen_Sprints!$E$8+Resumen_Sprints!$D$8),INDEX('Sprint N°3'!$C$7:$I$7,AH$4-Resumen_Sprints!$E$8),0)</f>
        <v>0</v>
      </c>
      <c r="AI20" s="23">
        <f t="array" ref="AI20">IF(AND(AI$4&gt;Resumen_Sprints!$E$8,AI$4&lt;=Resumen_Sprints!$E$8+Resumen_Sprints!$D$8),INDEX('Sprint N°3'!$C$7:$I$7,AI$4-Resumen_Sprints!$E$8),0)</f>
        <v>0</v>
      </c>
      <c r="AJ20" s="23">
        <f t="array" ref="AJ20">IF(AND(AJ$4&gt;Resumen_Sprints!$E$8,AJ$4&lt;=Resumen_Sprints!$E$8+Resumen_Sprints!$D$8),INDEX('Sprint N°3'!$C$7:$I$7,AJ$4-Resumen_Sprints!$E$8),0)</f>
        <v>0</v>
      </c>
      <c r="AK20" s="23">
        <f t="array" ref="AK20">IF(AND(AK$4&gt;Resumen_Sprints!$E$8,AK$4&lt;=Resumen_Sprints!$E$8+Resumen_Sprints!$D$8),INDEX('Sprint N°3'!$C$7:$I$7,AK$4-Resumen_Sprints!$E$8),0)</f>
        <v>0</v>
      </c>
      <c r="AL20" s="23">
        <f t="array" ref="AL20">IF(AND(AL$4&gt;Resumen_Sprints!$E$8,AL$4&lt;=Resumen_Sprints!$E$8+Resumen_Sprints!$D$8),INDEX('Sprint N°3'!$C$7:$I$7,AL$4-Resumen_Sprints!$E$8),0)</f>
        <v>0</v>
      </c>
      <c r="AM20" s="23">
        <f t="array" ref="AM20">IF(AND(AM$4&gt;Resumen_Sprints!$E$8,AM$4&lt;=Resumen_Sprints!$E$8+Resumen_Sprints!$D$8),INDEX('Sprint N°3'!$C$7:$I$7,AM$4-Resumen_Sprints!$E$8),0)</f>
        <v>0</v>
      </c>
      <c r="AN20" s="23">
        <f t="array" ref="AN20">IF(AND(AN$4&gt;Resumen_Sprints!$E$8,AN$4&lt;=Resumen_Sprints!$E$8+Resumen_Sprints!$D$8),INDEX('Sprint N°3'!$C$7:$I$7,AN$4-Resumen_Sprints!$E$8),0)</f>
        <v>0</v>
      </c>
      <c r="AO20" s="23">
        <f t="array" ref="AO20">IF(AND(AO$4&gt;Resumen_Sprints!$E$8,AO$4&lt;=Resumen_Sprints!$E$8+Resumen_Sprints!$D$8),INDEX('Sprint N°3'!$C$7:$I$7,AO$4-Resumen_Sprints!$E$8),0)</f>
        <v>0</v>
      </c>
      <c r="AP20" s="23">
        <f t="array" ref="AP20">IF(AND(AP$4&gt;Resumen_Sprints!$E$8,AP$4&lt;=Resumen_Sprints!$E$8+Resumen_Sprints!$D$8),INDEX('Sprint N°3'!$C$7:$I$7,AP$4-Resumen_Sprints!$E$8),0)</f>
        <v>0</v>
      </c>
      <c r="AQ20" s="23">
        <f t="array" ref="AQ20">IF(AND(AQ$4&gt;Resumen_Sprints!$E$8,AQ$4&lt;=Resumen_Sprints!$E$8+Resumen_Sprints!$D$8),INDEX('Sprint N°3'!$C$7:$I$7,AQ$4-Resumen_Sprints!$E$8),0)</f>
        <v>0</v>
      </c>
      <c r="AR20" s="23">
        <f t="array" ref="AR20">IF(AND(AR$4&gt;Resumen_Sprints!$E$8,AR$4&lt;=Resumen_Sprints!$E$8+Resumen_Sprints!$D$8),INDEX('Sprint N°3'!$C$7:$I$7,AR$4-Resumen_Sprints!$E$8),0)</f>
        <v>0</v>
      </c>
      <c r="AS20" s="23">
        <f t="array" ref="AS20">IF(AND(AS$4&gt;Resumen_Sprints!$E$8,AS$4&lt;=Resumen_Sprints!$E$8+Resumen_Sprints!$D$8),INDEX('Sprint N°3'!$C$7:$I$7,AS$4-Resumen_Sprints!$E$8),0)</f>
        <v>0</v>
      </c>
      <c r="AT20" s="23">
        <f t="array" ref="AT20">IF(AND(AT$4&gt;Resumen_Sprints!$E$8,AT$4&lt;=Resumen_Sprints!$E$8+Resumen_Sprints!$D$8),INDEX('Sprint N°3'!$C$7:$I$7,AT$4-Resumen_Sprints!$E$8),0)</f>
        <v>0</v>
      </c>
      <c r="AU20" s="23">
        <f t="array" ref="AU20">IF(AND(AU$4&gt;Resumen_Sprints!$E$8,AU$4&lt;=Resumen_Sprints!$E$8+Resumen_Sprints!$D$8),INDEX('Sprint N°3'!$C$7:$I$7,AU$4-Resumen_Sprints!$E$8),0)</f>
        <v>0</v>
      </c>
      <c r="AV20" s="23">
        <f t="array" ref="AV20">IF(AND(AV$4&gt;Resumen_Sprints!$E$8,AV$4&lt;=Resumen_Sprints!$E$8+Resumen_Sprints!$D$8),INDEX('Sprint N°3'!$C$7:$I$7,AV$4-Resumen_Sprints!$E$8),0)</f>
        <v>0</v>
      </c>
      <c r="AW20" s="23">
        <f t="array" ref="AW20">IF(AND(AW$4&gt;Resumen_Sprints!$E$8,AW$4&lt;=Resumen_Sprints!$E$8+Resumen_Sprints!$D$8),INDEX('Sprint N°3'!$C$7:$I$7,AW$4-Resumen_Sprints!$E$8),0)</f>
        <v>0</v>
      </c>
      <c r="AX20" s="23">
        <f t="array" ref="AX20">IF(AND(AX$4&gt;Resumen_Sprints!$E$8,AX$4&lt;=Resumen_Sprints!$E$8+Resumen_Sprints!$D$8),INDEX('Sprint N°3'!$C$7:$I$7,AX$4-Resumen_Sprints!$E$8),0)</f>
        <v>0</v>
      </c>
      <c r="AY20" s="23">
        <f t="array" ref="AY20">IF(AND(AY$4&gt;Resumen_Sprints!$E$8,AY$4&lt;=Resumen_Sprints!$E$8+Resumen_Sprints!$D$8),INDEX('Sprint N°3'!$C$7:$I$7,AY$4-Resumen_Sprints!$E$8),0)</f>
        <v>0</v>
      </c>
      <c r="AZ20" s="23">
        <f t="array" ref="AZ20">IF(AND(AZ$4&gt;Resumen_Sprints!$E$8,AZ$4&lt;=Resumen_Sprints!$E$8+Resumen_Sprints!$D$8),INDEX('Sprint N°3'!$C$7:$I$7,AZ$4-Resumen_Sprints!$E$8),0)</f>
        <v>0</v>
      </c>
      <c r="BA20" s="23">
        <f t="array" ref="BA20">IF(AND(BA$4&gt;Resumen_Sprints!$E$8,BA$4&lt;=Resumen_Sprints!$E$8+Resumen_Sprints!$D$8),INDEX('Sprint N°3'!$C$7:$I$7,BA$4-Resumen_Sprints!$E$8),0)</f>
        <v>0</v>
      </c>
      <c r="BB20" s="23">
        <f t="array" ref="BB20">IF(AND(BB$4&gt;Resumen_Sprints!$E$8,BB$4&lt;=Resumen_Sprints!$E$8+Resumen_Sprints!$D$8),INDEX('Sprint N°3'!$C$7:$I$7,BB$4-Resumen_Sprints!$E$8),0)</f>
        <v>0</v>
      </c>
      <c r="BC20" s="23">
        <f t="array" ref="BC20">IF(AND(BC$4&gt;Resumen_Sprints!$E$8,BC$4&lt;=Resumen_Sprints!$E$8+Resumen_Sprints!$D$8),INDEX('Sprint N°3'!$C$7:$I$7,BC$4-Resumen_Sprints!$E$8),0)</f>
        <v>0</v>
      </c>
      <c r="BD20" s="23">
        <f t="array" ref="BD20">IF(AND(BD$4&gt;Resumen_Sprints!$E$8,BD$4&lt;=Resumen_Sprints!$E$8+Resumen_Sprints!$D$8),INDEX('Sprint N°3'!$C$7:$I$7,BD$4-Resumen_Sprints!$E$8),0)</f>
        <v>0</v>
      </c>
      <c r="BE20" s="23">
        <f t="array" ref="BE20">IF(AND(BE$4&gt;Resumen_Sprints!$E$8,BE$4&lt;=Resumen_Sprints!$E$8+Resumen_Sprints!$D$8),INDEX('Sprint N°3'!$C$7:$I$7,BE$4-Resumen_Sprints!$E$8),0)</f>
        <v>0</v>
      </c>
      <c r="BF20" s="23">
        <f t="array" ref="BF20">IF(AND(BF$4&gt;Resumen_Sprints!$E$8,BF$4&lt;=Resumen_Sprints!$E$8+Resumen_Sprints!$D$8),INDEX('Sprint N°3'!$C$7:$I$7,BF$4-Resumen_Sprints!$E$8),0)</f>
        <v>0</v>
      </c>
      <c r="BG20" s="23">
        <f t="array" ref="BG20">IF(AND(BG$4&gt;Resumen_Sprints!$E$8,BG$4&lt;=Resumen_Sprints!$E$8+Resumen_Sprints!$D$8),INDEX('Sprint N°3'!$C$7:$I$7,BG$4-Resumen_Sprints!$E$8),0)</f>
        <v>0</v>
      </c>
      <c r="BH20" s="23">
        <f t="array" ref="BH20">IF(AND(BH$4&gt;Resumen_Sprints!$E$8,BH$4&lt;=Resumen_Sprints!$E$8+Resumen_Sprints!$D$8),INDEX('Sprint N°3'!$C$7:$I$7,BH$4-Resumen_Sprints!$E$8),0)</f>
        <v>0</v>
      </c>
      <c r="BI20" s="23">
        <f t="array" ref="BI20">IF(AND(BI$4&gt;Resumen_Sprints!$E$8,BI$4&lt;=Resumen_Sprints!$E$8+Resumen_Sprints!$D$8),INDEX('Sprint N°3'!$C$7:$I$7,BI$4-Resumen_Sprints!$E$8),0)</f>
        <v>0</v>
      </c>
      <c r="BJ20" s="23">
        <f t="array" ref="BJ20">IF(AND(BJ$4&gt;Resumen_Sprints!$E$8,BJ$4&lt;=Resumen_Sprints!$E$8+Resumen_Sprints!$D$8),INDEX('Sprint N°3'!$C$7:$I$7,BJ$4-Resumen_Sprints!$E$8),0)</f>
        <v>0</v>
      </c>
      <c r="BK20" s="23">
        <f t="array" ref="BK20">IF(AND(BK$4&gt;Resumen_Sprints!$E$8,BK$4&lt;=Resumen_Sprints!$E$8+Resumen_Sprints!$D$8),INDEX('Sprint N°3'!$C$7:$I$7,BK$4-Resumen_Sprints!$E$8),0)</f>
        <v>0</v>
      </c>
      <c r="BL20" s="23">
        <f t="array" ref="BL20">IF(AND(BL$4&gt;Resumen_Sprints!$E$8,BL$4&lt;=Resumen_Sprints!$E$8+Resumen_Sprints!$D$8),INDEX('Sprint N°3'!$C$7:$I$7,BL$4-Resumen_Sprints!$E$8),0)</f>
        <v>0</v>
      </c>
      <c r="BM20" s="23">
        <f t="array" ref="BM20">IF(AND(BM$4&gt;Resumen_Sprints!$E$8,BM$4&lt;=Resumen_Sprints!$E$8+Resumen_Sprints!$D$8),INDEX('Sprint N°3'!$C$7:$I$7,BM$4-Resumen_Sprints!$E$8),0)</f>
        <v>0</v>
      </c>
      <c r="BN20" s="23">
        <f t="array" ref="BN20">IF(AND(BN$4&gt;Resumen_Sprints!$E$8,BN$4&lt;=Resumen_Sprints!$E$8+Resumen_Sprints!$D$8),INDEX('Sprint N°3'!$C$7:$I$7,BN$4-Resumen_Sprints!$E$8),0)</f>
        <v>0</v>
      </c>
      <c r="BO20" s="23">
        <f t="array" ref="BO20">IF(AND(BO$4&gt;Resumen_Sprints!$E$8,BO$4&lt;=Resumen_Sprints!$E$8+Resumen_Sprints!$D$8),INDEX('Sprint N°3'!$C$7:$I$7,BO$4-Resumen_Sprints!$E$8),0)</f>
        <v>0</v>
      </c>
      <c r="BP20" s="23">
        <f t="array" ref="BP20">IF(AND(BP$4&gt;Resumen_Sprints!$E$8,BP$4&lt;=Resumen_Sprints!$E$8+Resumen_Sprints!$D$8),INDEX('Sprint N°3'!$C$7:$I$7,BP$4-Resumen_Sprints!$E$8),0)</f>
        <v>0</v>
      </c>
      <c r="BQ20" s="23">
        <f t="array" ref="BQ20">IF(AND(BQ$4&gt;Resumen_Sprints!$E$8,BQ$4&lt;=Resumen_Sprints!$E$8+Resumen_Sprints!$D$8),INDEX('Sprint N°3'!$C$7:$I$7,BQ$4-Resumen_Sprints!$E$8),0)</f>
        <v>0</v>
      </c>
      <c r="BR20" s="23">
        <f t="array" ref="BR20">IF(AND(BR$4&gt;Resumen_Sprints!$E$8,BR$4&lt;=Resumen_Sprints!$E$8+Resumen_Sprints!$D$8),INDEX('Sprint N°3'!$C$7:$I$7,BR$4-Resumen_Sprints!$E$8),0)</f>
        <v>0</v>
      </c>
      <c r="BS20" s="23">
        <f t="array" ref="BS20">IF(AND(BS$4&gt;Resumen_Sprints!$E$8,BS$4&lt;=Resumen_Sprints!$E$8+Resumen_Sprints!$D$8),INDEX('Sprint N°3'!$C$7:$I$7,BS$4-Resumen_Sprints!$E$8),0)</f>
        <v>0</v>
      </c>
      <c r="BT20" s="23">
        <f t="array" ref="BT20">IF(AND(BT$4&gt;Resumen_Sprints!$E$8,BT$4&lt;=Resumen_Sprints!$E$8+Resumen_Sprints!$D$8),INDEX('Sprint N°3'!$C$7:$I$7,BT$4-Resumen_Sprints!$E$8),0)</f>
        <v>0</v>
      </c>
      <c r="BU20" s="23">
        <f t="array" ref="BU20">IF(AND(BU$4&gt;Resumen_Sprints!$E$8,BU$4&lt;=Resumen_Sprints!$E$8+Resumen_Sprints!$D$8),INDEX('Sprint N°3'!$C$7:$I$7,BU$4-Resumen_Sprints!$E$8),0)</f>
        <v>0</v>
      </c>
      <c r="BV20" s="23">
        <f t="array" ref="BV20">IF(AND(BV$4&gt;Resumen_Sprints!$E$8,BV$4&lt;=Resumen_Sprints!$E$8+Resumen_Sprints!$D$8),INDEX('Sprint N°3'!$C$7:$I$7,BV$4-Resumen_Sprints!$E$8),0)</f>
        <v>0</v>
      </c>
      <c r="BW20" s="23">
        <f t="array" ref="BW20">IF(AND(BW$4&gt;Resumen_Sprints!$E$8,BW$4&lt;=Resumen_Sprints!$E$8+Resumen_Sprints!$D$8),INDEX('Sprint N°3'!$C$7:$I$7,BW$4-Resumen_Sprints!$E$8),0)</f>
        <v>0</v>
      </c>
      <c r="BX20" s="23">
        <f t="array" ref="BX20">IF(AND(BX$4&gt;Resumen_Sprints!$E$8,BX$4&lt;=Resumen_Sprints!$E$8+Resumen_Sprints!$D$8),INDEX('Sprint N°3'!$C$7:$I$7,BX$4-Resumen_Sprints!$E$8),0)</f>
        <v>0</v>
      </c>
      <c r="BY20" s="23">
        <f t="array" ref="BY20">IF(AND(BY$4&gt;Resumen_Sprints!$E$8,BY$4&lt;=Resumen_Sprints!$E$8+Resumen_Sprints!$D$8),INDEX('Sprint N°3'!$C$7:$I$7,BY$4-Resumen_Sprints!$E$8),0)</f>
        <v>0</v>
      </c>
      <c r="BZ20" s="23">
        <f t="array" ref="BZ20">IF(AND(BZ$4&gt;Resumen_Sprints!$E$8,BZ$4&lt;=Resumen_Sprints!$E$8+Resumen_Sprints!$D$8),INDEX('Sprint N°3'!$C$7:$I$7,BZ$4-Resumen_Sprints!$E$8),0)</f>
        <v>0</v>
      </c>
      <c r="CA20" s="23">
        <f t="array" ref="CA20">IF(AND(CA$4&gt;Resumen_Sprints!$E$8,CA$4&lt;=Resumen_Sprints!$E$8+Resumen_Sprints!$D$8),INDEX('Sprint N°3'!$C$7:$I$7,CA$4-Resumen_Sprints!$E$8),0)</f>
        <v>0</v>
      </c>
      <c r="CB20" s="23">
        <f t="array" ref="CB20">IF(AND(CB$4&gt;Resumen_Sprints!$E$8,CB$4&lt;=Resumen_Sprints!$E$8+Resumen_Sprints!$D$8),INDEX('Sprint N°3'!$C$7:$I$7,CB$4-Resumen_Sprints!$E$8),0)</f>
        <v>0</v>
      </c>
      <c r="CC20" s="23">
        <f t="array" ref="CC20">IF(AND(CC$4&gt;Resumen_Sprints!$E$8,CC$4&lt;=Resumen_Sprints!$E$8+Resumen_Sprints!$D$8),INDEX('Sprint N°3'!$C$7:$I$7,CC$4-Resumen_Sprints!$E$8),0)</f>
        <v>0</v>
      </c>
      <c r="CD20" s="23">
        <f t="array" ref="CD20">IF(AND(CD$4&gt;Resumen_Sprints!$E$8,CD$4&lt;=Resumen_Sprints!$E$8+Resumen_Sprints!$D$8),INDEX('Sprint N°3'!$C$7:$I$7,CD$4-Resumen_Sprints!$E$8),0)</f>
        <v>0</v>
      </c>
      <c r="CE20" s="23">
        <f t="array" ref="CE20">IF(AND(CE$4&gt;Resumen_Sprints!$E$8,CE$4&lt;=Resumen_Sprints!$E$8+Resumen_Sprints!$D$8),INDEX('Sprint N°3'!$C$7:$I$7,CE$4-Resumen_Sprints!$E$8),0)</f>
        <v>0</v>
      </c>
      <c r="CF20" s="23">
        <f t="array" ref="CF20">IF(AND(CF$4&gt;Resumen_Sprints!$E$8,CF$4&lt;=Resumen_Sprints!$E$8+Resumen_Sprints!$D$8),INDEX('Sprint N°3'!$C$7:$I$7,CF$4-Resumen_Sprints!$E$8),0)</f>
        <v>0</v>
      </c>
      <c r="CG20" s="23">
        <f t="array" ref="CG20">IF(AND(CG$4&gt;Resumen_Sprints!$E$8,CG$4&lt;=Resumen_Sprints!$E$8+Resumen_Sprints!$D$8),INDEX('Sprint N°3'!$C$7:$I$7,CG$4-Resumen_Sprints!$E$8),0)</f>
        <v>0</v>
      </c>
      <c r="CH20" s="23">
        <f t="array" ref="CH20">IF(AND(CH$4&gt;Resumen_Sprints!$E$8,CH$4&lt;=Resumen_Sprints!$E$8+Resumen_Sprints!$D$8),INDEX('Sprint N°3'!$C$7:$I$7,CH$4-Resumen_Sprints!$E$8),0)</f>
        <v>0</v>
      </c>
      <c r="CI20" s="23">
        <f t="array" ref="CI20">IF(AND(CI$4&gt;Resumen_Sprints!$E$8,CI$4&lt;=Resumen_Sprints!$E$8+Resumen_Sprints!$D$8),INDEX('Sprint N°3'!$C$7:$I$7,CI$4-Resumen_Sprints!$E$8),0)</f>
        <v>0</v>
      </c>
      <c r="CJ20" s="23">
        <f t="array" ref="CJ20">IF(AND(CJ$4&gt;Resumen_Sprints!$E$8,CJ$4&lt;=Resumen_Sprints!$E$8+Resumen_Sprints!$D$8),INDEX('Sprint N°3'!$C$7:$I$7,CJ$4-Resumen_Sprints!$E$8),0)</f>
        <v>0</v>
      </c>
      <c r="CK20" s="23">
        <f t="array" ref="CK20">IF(AND(CK$4&gt;Resumen_Sprints!$E$8,CK$4&lt;=Resumen_Sprints!$E$8+Resumen_Sprints!$D$8),INDEX('Sprint N°3'!$C$7:$I$7,CK$4-Resumen_Sprints!$E$8),0)</f>
        <v>0</v>
      </c>
      <c r="CL20" s="23">
        <f t="array" ref="CL20">IF(AND(CL$4&gt;Resumen_Sprints!$E$8,CL$4&lt;=Resumen_Sprints!$E$8+Resumen_Sprints!$D$8),INDEX('Sprint N°3'!$C$7:$I$7,CL$4-Resumen_Sprints!$E$8),0)</f>
        <v>0</v>
      </c>
      <c r="CM20" s="23">
        <f t="array" ref="CM20">IF(AND(CM$4&gt;Resumen_Sprints!$E$8,CM$4&lt;=Resumen_Sprints!$E$8+Resumen_Sprints!$D$8),INDEX('Sprint N°3'!$C$7:$I$7,CM$4-Resumen_Sprints!$E$8),0)</f>
        <v>0</v>
      </c>
      <c r="CN20" s="23">
        <f t="array" ref="CN20">IF(AND(CN$4&gt;Resumen_Sprints!$E$8,CN$4&lt;=Resumen_Sprints!$E$8+Resumen_Sprints!$D$8),INDEX('Sprint N°3'!$C$7:$I$7,CN$4-Resumen_Sprints!$E$8),0)</f>
        <v>0</v>
      </c>
      <c r="CO20" s="23">
        <f t="array" ref="CO20">IF(AND(CO$4&gt;Resumen_Sprints!$E$8,CO$4&lt;=Resumen_Sprints!$E$8+Resumen_Sprints!$D$8),INDEX('Sprint N°3'!$C$7:$I$7,CO$4-Resumen_Sprints!$E$8),0)</f>
        <v>0</v>
      </c>
      <c r="CP20" s="23">
        <f t="array" ref="CP20">IF(AND(CP$4&gt;Resumen_Sprints!$E$8,CP$4&lt;=Resumen_Sprints!$E$8+Resumen_Sprints!$D$8),INDEX('Sprint N°3'!$C$7:$I$7,CP$4-Resumen_Sprints!$E$8),0)</f>
        <v>0</v>
      </c>
      <c r="CQ20" s="23">
        <f t="array" ref="CQ20">IF(AND(CQ$4&gt;Resumen_Sprints!$E$8,CQ$4&lt;=Resumen_Sprints!$E$8+Resumen_Sprints!$D$8),INDEX('Sprint N°3'!$C$7:$I$7,CQ$4-Resumen_Sprints!$E$8),0)</f>
        <v>0</v>
      </c>
      <c r="CR20" s="23">
        <f t="array" ref="CR20">IF(AND(CR$4&gt;Resumen_Sprints!$E$8,CR$4&lt;=Resumen_Sprints!$E$8+Resumen_Sprints!$D$8),INDEX('Sprint N°3'!$C$7:$I$7,CR$4-Resumen_Sprints!$E$8),0)</f>
        <v>0</v>
      </c>
      <c r="CS20" s="23">
        <f t="array" ref="CS20">IF(AND(CS$4&gt;Resumen_Sprints!$E$8,CS$4&lt;=Resumen_Sprints!$E$8+Resumen_Sprints!$D$8),INDEX('Sprint N°3'!$C$7:$I$7,CS$4-Resumen_Sprints!$E$8),0)</f>
        <v>0</v>
      </c>
      <c r="CT20" s="23">
        <f t="array" ref="CT20">IF(AND(CT$4&gt;Resumen_Sprints!$E$8,CT$4&lt;=Resumen_Sprints!$E$8+Resumen_Sprints!$D$8),INDEX('Sprint N°3'!$C$7:$I$7,CT$4-Resumen_Sprints!$E$8),0)</f>
        <v>0</v>
      </c>
      <c r="CU20" s="25">
        <f t="shared" si="3"/>
        <v>10</v>
      </c>
    </row>
    <row r="21" ht="14.25" customHeight="1">
      <c r="A21" s="11" t="str">
        <f>'Sprint N°3'!A8</f>
        <v>Modelo Relacional de Base de Datos</v>
      </c>
      <c r="B21" s="11">
        <f>'Sprint N°3'!B8</f>
        <v>19</v>
      </c>
      <c r="C21" s="23">
        <f t="array" ref="C21">IF(AND(C$4&gt;Resumen_Sprints!$E$8,C$4&lt;=Resumen_Sprints!$E$8+Resumen_Sprints!$D$8),INDEX('Sprint N°3'!$C$8:$I$8,C$4-Resumen_Sprints!$E$8),0)</f>
        <v>0</v>
      </c>
      <c r="D21" s="23">
        <f t="array" ref="D21">IF(AND(D$4&gt;Resumen_Sprints!$E$8,D$4&lt;=Resumen_Sprints!$E$8+Resumen_Sprints!$D$8),INDEX('Sprint N°3'!$C$8:$I$8,D$4-Resumen_Sprints!$E$8),0)</f>
        <v>0</v>
      </c>
      <c r="E21" s="23">
        <f t="array" ref="E21">IF(AND(E$4&gt;Resumen_Sprints!$E$8,E$4&lt;=Resumen_Sprints!$E$8+Resumen_Sprints!$D$8),INDEX('Sprint N°3'!$C$8:$I$8,E$4-Resumen_Sprints!$E$8),0)</f>
        <v>0</v>
      </c>
      <c r="F21" s="23">
        <f t="array" ref="F21">IF(AND(F$4&gt;Resumen_Sprints!$E$8,F$4&lt;=Resumen_Sprints!$E$8+Resumen_Sprints!$D$8),INDEX('Sprint N°3'!$C$8:$I$8,F$4-Resumen_Sprints!$E$8),0)</f>
        <v>0</v>
      </c>
      <c r="G21" s="23">
        <f t="array" ref="G21">IF(AND(G$4&gt;Resumen_Sprints!$E$8,G$4&lt;=Resumen_Sprints!$E$8+Resumen_Sprints!$D$8),INDEX('Sprint N°3'!$C$8:$I$8,G$4-Resumen_Sprints!$E$8),0)</f>
        <v>0</v>
      </c>
      <c r="H21" s="23">
        <f t="array" ref="H21">IF(AND(H$4&gt;Resumen_Sprints!$E$8,H$4&lt;=Resumen_Sprints!$E$8+Resumen_Sprints!$D$8),INDEX('Sprint N°3'!$C$8:$I$8,H$4-Resumen_Sprints!$E$8),0)</f>
        <v>0</v>
      </c>
      <c r="I21" s="23">
        <f t="array" ref="I21">IF(AND(I$4&gt;Resumen_Sprints!$E$8,I$4&lt;=Resumen_Sprints!$E$8+Resumen_Sprints!$D$8),INDEX('Sprint N°3'!$C$8:$I$8,I$4-Resumen_Sprints!$E$8),0)</f>
        <v>0</v>
      </c>
      <c r="J21" s="23">
        <f t="array" ref="J21">IF(AND(J$4&gt;Resumen_Sprints!$E$8,J$4&lt;=Resumen_Sprints!$E$8+Resumen_Sprints!$D$8),INDEX('Sprint N°3'!$C$8:$I$8,J$4-Resumen_Sprints!$E$8),0)</f>
        <v>0</v>
      </c>
      <c r="K21" s="23">
        <f t="array" ref="K21">IF(AND(K$4&gt;Resumen_Sprints!$E$8,K$4&lt;=Resumen_Sprints!$E$8+Resumen_Sprints!$D$8),INDEX('Sprint N°3'!$C$8:$I$8,K$4-Resumen_Sprints!$E$8),0)</f>
        <v>0</v>
      </c>
      <c r="L21" s="23">
        <f t="array" ref="L21">IF(AND(L$4&gt;Resumen_Sprints!$E$8,L$4&lt;=Resumen_Sprints!$E$8+Resumen_Sprints!$D$8),INDEX('Sprint N°3'!$C$8:$I$8,L$4-Resumen_Sprints!$E$8),0)</f>
        <v>0</v>
      </c>
      <c r="M21" s="23">
        <f t="array" ref="M21">IF(AND(M$4&gt;Resumen_Sprints!$E$8,M$4&lt;=Resumen_Sprints!$E$8+Resumen_Sprints!$D$8),INDEX('Sprint N°3'!$C$8:$I$8,M$4-Resumen_Sprints!$E$8),0)</f>
        <v>0</v>
      </c>
      <c r="N21" s="23">
        <f t="array" ref="N21">IF(AND(N$4&gt;Resumen_Sprints!$E$8,N$4&lt;=Resumen_Sprints!$E$8+Resumen_Sprints!$D$8),INDEX('Sprint N°3'!$C$8:$I$8,N$4-Resumen_Sprints!$E$8),0)</f>
        <v>0</v>
      </c>
      <c r="O21" s="23">
        <f t="array" ref="O21">IF(AND(O$4&gt;Resumen_Sprints!$E$8,O$4&lt;=Resumen_Sprints!$E$8+Resumen_Sprints!$D$8),INDEX('Sprint N°3'!$C$8:$I$8,O$4-Resumen_Sprints!$E$8),0)</f>
        <v>0</v>
      </c>
      <c r="P21" s="23">
        <f t="array" ref="P21">IF(AND(P$4&gt;Resumen_Sprints!$E$8,P$4&lt;=Resumen_Sprints!$E$8+Resumen_Sprints!$D$8),INDEX('Sprint N°3'!$C$8:$I$8,P$4-Resumen_Sprints!$E$8),0)</f>
        <v>0</v>
      </c>
      <c r="Q21" s="23">
        <f t="array" ref="Q21">IF(AND(Q$4&gt;Resumen_Sprints!$E$8,Q$4&lt;=Resumen_Sprints!$E$8+Resumen_Sprints!$D$8),INDEX('Sprint N°3'!$C$8:$I$8,Q$4-Resumen_Sprints!$E$8),0)</f>
        <v>0</v>
      </c>
      <c r="R21" s="23">
        <f t="array" ref="R21">IF(AND(R$4&gt;Resumen_Sprints!$E$8,R$4&lt;=Resumen_Sprints!$E$8+Resumen_Sprints!$D$8),INDEX('Sprint N°3'!$C$8:$I$8,R$4-Resumen_Sprints!$E$8),0)</f>
        <v>0</v>
      </c>
      <c r="S21" s="23">
        <f t="array" ref="S21">IF(AND(S$4&gt;Resumen_Sprints!$E$8,S$4&lt;=Resumen_Sprints!$E$8+Resumen_Sprints!$D$8),INDEX('Sprint N°3'!$C$8:$I$8,S$4-Resumen_Sprints!$E$8),0)</f>
        <v>0</v>
      </c>
      <c r="T21" s="23">
        <f t="array" ref="T21">IF(AND(T$4&gt;Resumen_Sprints!$E$8,T$4&lt;=Resumen_Sprints!$E$8+Resumen_Sprints!$D$8),INDEX('Sprint N°3'!$C$8:$I$8,T$4-Resumen_Sprints!$E$8),0)</f>
        <v>0</v>
      </c>
      <c r="U21" s="23">
        <f t="array" ref="U21">IF(AND(U$4&gt;Resumen_Sprints!$E$8,U$4&lt;=Resumen_Sprints!$E$8+Resumen_Sprints!$D$8),INDEX('Sprint N°3'!$C$8:$I$8,U$4-Resumen_Sprints!$E$8),0)</f>
        <v>0</v>
      </c>
      <c r="V21" s="23">
        <f t="array" ref="V21">IF(AND(V$4&gt;Resumen_Sprints!$E$8,V$4&lt;=Resumen_Sprints!$E$8+Resumen_Sprints!$D$8),INDEX('Sprint N°3'!$C$8:$I$8,V$4-Resumen_Sprints!$E$8),0)</f>
        <v>0</v>
      </c>
      <c r="W21" s="23" t="str">
        <f t="array" ref="W21">IF(AND(W$4&gt;Resumen_Sprints!$E$8,W$4&lt;=Resumen_Sprints!$E$8+Resumen_Sprints!$D$8),INDEX('Sprint N°3'!$C$8:$I$8,W$4-Resumen_Sprints!$E$8),0)</f>
        <v/>
      </c>
      <c r="X21" s="23" t="str">
        <f t="array" ref="X21">IF(AND(X$4&gt;Resumen_Sprints!$E$8,X$4&lt;=Resumen_Sprints!$E$8+Resumen_Sprints!$D$8),INDEX('Sprint N°3'!$C$8:$I$8,X$4-Resumen_Sprints!$E$8),0)</f>
        <v/>
      </c>
      <c r="Y21" s="23">
        <f t="array" ref="Y21">IF(AND(Y$4&gt;Resumen_Sprints!$E$8,Y$4&lt;=Resumen_Sprints!$E$8+Resumen_Sprints!$D$8),INDEX('Sprint N°3'!$C$8:$I$8,Y$4-Resumen_Sprints!$E$8),0)</f>
        <v>7</v>
      </c>
      <c r="Z21" s="23">
        <f t="array" ref="Z21">IF(AND(Z$4&gt;Resumen_Sprints!$E$8,Z$4&lt;=Resumen_Sprints!$E$8+Resumen_Sprints!$D$8),INDEX('Sprint N°3'!$C$8:$I$8,Z$4-Resumen_Sprints!$E$8),0)</f>
        <v>8</v>
      </c>
      <c r="AA21" s="23">
        <f t="array" ref="AA21">IF(AND(AA$4&gt;Resumen_Sprints!$E$8,AA$4&lt;=Resumen_Sprints!$E$8+Resumen_Sprints!$D$8),INDEX('Sprint N°3'!$C$8:$I$8,AA$4-Resumen_Sprints!$E$8),0)</f>
        <v>4</v>
      </c>
      <c r="AB21" s="23" t="str">
        <f t="array" ref="AB21">IF(AND(AB$4&gt;Resumen_Sprints!$E$8,AB$4&lt;=Resumen_Sprints!$E$8+Resumen_Sprints!$D$8),INDEX('Sprint N°3'!$C$8:$I$8,AB$4-Resumen_Sprints!$E$8),0)</f>
        <v/>
      </c>
      <c r="AC21" s="23" t="str">
        <f t="array" ref="AC21">IF(AND(AC$4&gt;Resumen_Sprints!$E$8,AC$4&lt;=Resumen_Sprints!$E$8+Resumen_Sprints!$D$8),INDEX('Sprint N°3'!$C$8:$I$8,AC$4-Resumen_Sprints!$E$8),0)</f>
        <v/>
      </c>
      <c r="AD21" s="23">
        <f t="array" ref="AD21">IF(AND(AD$4&gt;Resumen_Sprints!$E$8,AD$4&lt;=Resumen_Sprints!$E$8+Resumen_Sprints!$D$8),INDEX('Sprint N°3'!$C$8:$I$8,AD$4-Resumen_Sprints!$E$8),0)</f>
        <v>0</v>
      </c>
      <c r="AE21" s="23">
        <f t="array" ref="AE21">IF(AND(AE$4&gt;Resumen_Sprints!$E$8,AE$4&lt;=Resumen_Sprints!$E$8+Resumen_Sprints!$D$8),INDEX('Sprint N°3'!$C$8:$I$8,AE$4-Resumen_Sprints!$E$8),0)</f>
        <v>0</v>
      </c>
      <c r="AF21" s="23">
        <f t="array" ref="AF21">IF(AND(AF$4&gt;Resumen_Sprints!$E$8,AF$4&lt;=Resumen_Sprints!$E$8+Resumen_Sprints!$D$8),INDEX('Sprint N°3'!$C$8:$I$8,AF$4-Resumen_Sprints!$E$8),0)</f>
        <v>0</v>
      </c>
      <c r="AG21" s="23">
        <f t="array" ref="AG21">IF(AND(AG$4&gt;Resumen_Sprints!$E$8,AG$4&lt;=Resumen_Sprints!$E$8+Resumen_Sprints!$D$8),INDEX('Sprint N°3'!$C$8:$I$8,AG$4-Resumen_Sprints!$E$8),0)</f>
        <v>0</v>
      </c>
      <c r="AH21" s="23">
        <f t="array" ref="AH21">IF(AND(AH$4&gt;Resumen_Sprints!$E$8,AH$4&lt;=Resumen_Sprints!$E$8+Resumen_Sprints!$D$8),INDEX('Sprint N°3'!$C$8:$I$8,AH$4-Resumen_Sprints!$E$8),0)</f>
        <v>0</v>
      </c>
      <c r="AI21" s="23">
        <f t="array" ref="AI21">IF(AND(AI$4&gt;Resumen_Sprints!$E$8,AI$4&lt;=Resumen_Sprints!$E$8+Resumen_Sprints!$D$8),INDEX('Sprint N°3'!$C$8:$I$8,AI$4-Resumen_Sprints!$E$8),0)</f>
        <v>0</v>
      </c>
      <c r="AJ21" s="23">
        <f t="array" ref="AJ21">IF(AND(AJ$4&gt;Resumen_Sprints!$E$8,AJ$4&lt;=Resumen_Sprints!$E$8+Resumen_Sprints!$D$8),INDEX('Sprint N°3'!$C$8:$I$8,AJ$4-Resumen_Sprints!$E$8),0)</f>
        <v>0</v>
      </c>
      <c r="AK21" s="23">
        <f t="array" ref="AK21">IF(AND(AK$4&gt;Resumen_Sprints!$E$8,AK$4&lt;=Resumen_Sprints!$E$8+Resumen_Sprints!$D$8),INDEX('Sprint N°3'!$C$8:$I$8,AK$4-Resumen_Sprints!$E$8),0)</f>
        <v>0</v>
      </c>
      <c r="AL21" s="23">
        <f t="array" ref="AL21">IF(AND(AL$4&gt;Resumen_Sprints!$E$8,AL$4&lt;=Resumen_Sprints!$E$8+Resumen_Sprints!$D$8),INDEX('Sprint N°3'!$C$8:$I$8,AL$4-Resumen_Sprints!$E$8),0)</f>
        <v>0</v>
      </c>
      <c r="AM21" s="23">
        <f t="array" ref="AM21">IF(AND(AM$4&gt;Resumen_Sprints!$E$8,AM$4&lt;=Resumen_Sprints!$E$8+Resumen_Sprints!$D$8),INDEX('Sprint N°3'!$C$8:$I$8,AM$4-Resumen_Sprints!$E$8),0)</f>
        <v>0</v>
      </c>
      <c r="AN21" s="23">
        <f t="array" ref="AN21">IF(AND(AN$4&gt;Resumen_Sprints!$E$8,AN$4&lt;=Resumen_Sprints!$E$8+Resumen_Sprints!$D$8),INDEX('Sprint N°3'!$C$8:$I$8,AN$4-Resumen_Sprints!$E$8),0)</f>
        <v>0</v>
      </c>
      <c r="AO21" s="23">
        <f t="array" ref="AO21">IF(AND(AO$4&gt;Resumen_Sprints!$E$8,AO$4&lt;=Resumen_Sprints!$E$8+Resumen_Sprints!$D$8),INDEX('Sprint N°3'!$C$8:$I$8,AO$4-Resumen_Sprints!$E$8),0)</f>
        <v>0</v>
      </c>
      <c r="AP21" s="23">
        <f t="array" ref="AP21">IF(AND(AP$4&gt;Resumen_Sprints!$E$8,AP$4&lt;=Resumen_Sprints!$E$8+Resumen_Sprints!$D$8),INDEX('Sprint N°3'!$C$8:$I$8,AP$4-Resumen_Sprints!$E$8),0)</f>
        <v>0</v>
      </c>
      <c r="AQ21" s="23">
        <f t="array" ref="AQ21">IF(AND(AQ$4&gt;Resumen_Sprints!$E$8,AQ$4&lt;=Resumen_Sprints!$E$8+Resumen_Sprints!$D$8),INDEX('Sprint N°3'!$C$8:$I$8,AQ$4-Resumen_Sprints!$E$8),0)</f>
        <v>0</v>
      </c>
      <c r="AR21" s="23">
        <f t="array" ref="AR21">IF(AND(AR$4&gt;Resumen_Sprints!$E$8,AR$4&lt;=Resumen_Sprints!$E$8+Resumen_Sprints!$D$8),INDEX('Sprint N°3'!$C$8:$I$8,AR$4-Resumen_Sprints!$E$8),0)</f>
        <v>0</v>
      </c>
      <c r="AS21" s="23">
        <f t="array" ref="AS21">IF(AND(AS$4&gt;Resumen_Sprints!$E$8,AS$4&lt;=Resumen_Sprints!$E$8+Resumen_Sprints!$D$8),INDEX('Sprint N°3'!$C$8:$I$8,AS$4-Resumen_Sprints!$E$8),0)</f>
        <v>0</v>
      </c>
      <c r="AT21" s="23">
        <f t="array" ref="AT21">IF(AND(AT$4&gt;Resumen_Sprints!$E$8,AT$4&lt;=Resumen_Sprints!$E$8+Resumen_Sprints!$D$8),INDEX('Sprint N°3'!$C$8:$I$8,AT$4-Resumen_Sprints!$E$8),0)</f>
        <v>0</v>
      </c>
      <c r="AU21" s="23">
        <f t="array" ref="AU21">IF(AND(AU$4&gt;Resumen_Sprints!$E$8,AU$4&lt;=Resumen_Sprints!$E$8+Resumen_Sprints!$D$8),INDEX('Sprint N°3'!$C$8:$I$8,AU$4-Resumen_Sprints!$E$8),0)</f>
        <v>0</v>
      </c>
      <c r="AV21" s="23">
        <f t="array" ref="AV21">IF(AND(AV$4&gt;Resumen_Sprints!$E$8,AV$4&lt;=Resumen_Sprints!$E$8+Resumen_Sprints!$D$8),INDEX('Sprint N°3'!$C$8:$I$8,AV$4-Resumen_Sprints!$E$8),0)</f>
        <v>0</v>
      </c>
      <c r="AW21" s="23">
        <f t="array" ref="AW21">IF(AND(AW$4&gt;Resumen_Sprints!$E$8,AW$4&lt;=Resumen_Sprints!$E$8+Resumen_Sprints!$D$8),INDEX('Sprint N°3'!$C$8:$I$8,AW$4-Resumen_Sprints!$E$8),0)</f>
        <v>0</v>
      </c>
      <c r="AX21" s="23">
        <f t="array" ref="AX21">IF(AND(AX$4&gt;Resumen_Sprints!$E$8,AX$4&lt;=Resumen_Sprints!$E$8+Resumen_Sprints!$D$8),INDEX('Sprint N°3'!$C$8:$I$8,AX$4-Resumen_Sprints!$E$8),0)</f>
        <v>0</v>
      </c>
      <c r="AY21" s="23">
        <f t="array" ref="AY21">IF(AND(AY$4&gt;Resumen_Sprints!$E$8,AY$4&lt;=Resumen_Sprints!$E$8+Resumen_Sprints!$D$8),INDEX('Sprint N°3'!$C$8:$I$8,AY$4-Resumen_Sprints!$E$8),0)</f>
        <v>0</v>
      </c>
      <c r="AZ21" s="23">
        <f t="array" ref="AZ21">IF(AND(AZ$4&gt;Resumen_Sprints!$E$8,AZ$4&lt;=Resumen_Sprints!$E$8+Resumen_Sprints!$D$8),INDEX('Sprint N°3'!$C$8:$I$8,AZ$4-Resumen_Sprints!$E$8),0)</f>
        <v>0</v>
      </c>
      <c r="BA21" s="23">
        <f t="array" ref="BA21">IF(AND(BA$4&gt;Resumen_Sprints!$E$8,BA$4&lt;=Resumen_Sprints!$E$8+Resumen_Sprints!$D$8),INDEX('Sprint N°3'!$C$8:$I$8,BA$4-Resumen_Sprints!$E$8),0)</f>
        <v>0</v>
      </c>
      <c r="BB21" s="23">
        <f t="array" ref="BB21">IF(AND(BB$4&gt;Resumen_Sprints!$E$8,BB$4&lt;=Resumen_Sprints!$E$8+Resumen_Sprints!$D$8),INDEX('Sprint N°3'!$C$8:$I$8,BB$4-Resumen_Sprints!$E$8),0)</f>
        <v>0</v>
      </c>
      <c r="BC21" s="23">
        <f t="array" ref="BC21">IF(AND(BC$4&gt;Resumen_Sprints!$E$8,BC$4&lt;=Resumen_Sprints!$E$8+Resumen_Sprints!$D$8),INDEX('Sprint N°3'!$C$8:$I$8,BC$4-Resumen_Sprints!$E$8),0)</f>
        <v>0</v>
      </c>
      <c r="BD21" s="23">
        <f t="array" ref="BD21">IF(AND(BD$4&gt;Resumen_Sprints!$E$8,BD$4&lt;=Resumen_Sprints!$E$8+Resumen_Sprints!$D$8),INDEX('Sprint N°3'!$C$8:$I$8,BD$4-Resumen_Sprints!$E$8),0)</f>
        <v>0</v>
      </c>
      <c r="BE21" s="23">
        <f t="array" ref="BE21">IF(AND(BE$4&gt;Resumen_Sprints!$E$8,BE$4&lt;=Resumen_Sprints!$E$8+Resumen_Sprints!$D$8),INDEX('Sprint N°3'!$C$8:$I$8,BE$4-Resumen_Sprints!$E$8),0)</f>
        <v>0</v>
      </c>
      <c r="BF21" s="23">
        <f t="array" ref="BF21">IF(AND(BF$4&gt;Resumen_Sprints!$E$8,BF$4&lt;=Resumen_Sprints!$E$8+Resumen_Sprints!$D$8),INDEX('Sprint N°3'!$C$8:$I$8,BF$4-Resumen_Sprints!$E$8),0)</f>
        <v>0</v>
      </c>
      <c r="BG21" s="23">
        <f t="array" ref="BG21">IF(AND(BG$4&gt;Resumen_Sprints!$E$8,BG$4&lt;=Resumen_Sprints!$E$8+Resumen_Sprints!$D$8),INDEX('Sprint N°3'!$C$8:$I$8,BG$4-Resumen_Sprints!$E$8),0)</f>
        <v>0</v>
      </c>
      <c r="BH21" s="23">
        <f t="array" ref="BH21">IF(AND(BH$4&gt;Resumen_Sprints!$E$8,BH$4&lt;=Resumen_Sprints!$E$8+Resumen_Sprints!$D$8),INDEX('Sprint N°3'!$C$8:$I$8,BH$4-Resumen_Sprints!$E$8),0)</f>
        <v>0</v>
      </c>
      <c r="BI21" s="23">
        <f t="array" ref="BI21">IF(AND(BI$4&gt;Resumen_Sprints!$E$8,BI$4&lt;=Resumen_Sprints!$E$8+Resumen_Sprints!$D$8),INDEX('Sprint N°3'!$C$8:$I$8,BI$4-Resumen_Sprints!$E$8),0)</f>
        <v>0</v>
      </c>
      <c r="BJ21" s="23">
        <f t="array" ref="BJ21">IF(AND(BJ$4&gt;Resumen_Sprints!$E$8,BJ$4&lt;=Resumen_Sprints!$E$8+Resumen_Sprints!$D$8),INDEX('Sprint N°3'!$C$8:$I$8,BJ$4-Resumen_Sprints!$E$8),0)</f>
        <v>0</v>
      </c>
      <c r="BK21" s="23">
        <f t="array" ref="BK21">IF(AND(BK$4&gt;Resumen_Sprints!$E$8,BK$4&lt;=Resumen_Sprints!$E$8+Resumen_Sprints!$D$8),INDEX('Sprint N°3'!$C$8:$I$8,BK$4-Resumen_Sprints!$E$8),0)</f>
        <v>0</v>
      </c>
      <c r="BL21" s="23">
        <f t="array" ref="BL21">IF(AND(BL$4&gt;Resumen_Sprints!$E$8,BL$4&lt;=Resumen_Sprints!$E$8+Resumen_Sprints!$D$8),INDEX('Sprint N°3'!$C$8:$I$8,BL$4-Resumen_Sprints!$E$8),0)</f>
        <v>0</v>
      </c>
      <c r="BM21" s="23">
        <f t="array" ref="BM21">IF(AND(BM$4&gt;Resumen_Sprints!$E$8,BM$4&lt;=Resumen_Sprints!$E$8+Resumen_Sprints!$D$8),INDEX('Sprint N°3'!$C$8:$I$8,BM$4-Resumen_Sprints!$E$8),0)</f>
        <v>0</v>
      </c>
      <c r="BN21" s="23">
        <f t="array" ref="BN21">IF(AND(BN$4&gt;Resumen_Sprints!$E$8,BN$4&lt;=Resumen_Sprints!$E$8+Resumen_Sprints!$D$8),INDEX('Sprint N°3'!$C$8:$I$8,BN$4-Resumen_Sprints!$E$8),0)</f>
        <v>0</v>
      </c>
      <c r="BO21" s="23">
        <f t="array" ref="BO21">IF(AND(BO$4&gt;Resumen_Sprints!$E$8,BO$4&lt;=Resumen_Sprints!$E$8+Resumen_Sprints!$D$8),INDEX('Sprint N°3'!$C$8:$I$8,BO$4-Resumen_Sprints!$E$8),0)</f>
        <v>0</v>
      </c>
      <c r="BP21" s="23">
        <f t="array" ref="BP21">IF(AND(BP$4&gt;Resumen_Sprints!$E$8,BP$4&lt;=Resumen_Sprints!$E$8+Resumen_Sprints!$D$8),INDEX('Sprint N°3'!$C$8:$I$8,BP$4-Resumen_Sprints!$E$8),0)</f>
        <v>0</v>
      </c>
      <c r="BQ21" s="23">
        <f t="array" ref="BQ21">IF(AND(BQ$4&gt;Resumen_Sprints!$E$8,BQ$4&lt;=Resumen_Sprints!$E$8+Resumen_Sprints!$D$8),INDEX('Sprint N°3'!$C$8:$I$8,BQ$4-Resumen_Sprints!$E$8),0)</f>
        <v>0</v>
      </c>
      <c r="BR21" s="23">
        <f t="array" ref="BR21">IF(AND(BR$4&gt;Resumen_Sprints!$E$8,BR$4&lt;=Resumen_Sprints!$E$8+Resumen_Sprints!$D$8),INDEX('Sprint N°3'!$C$8:$I$8,BR$4-Resumen_Sprints!$E$8),0)</f>
        <v>0</v>
      </c>
      <c r="BS21" s="23">
        <f t="array" ref="BS21">IF(AND(BS$4&gt;Resumen_Sprints!$E$8,BS$4&lt;=Resumen_Sprints!$E$8+Resumen_Sprints!$D$8),INDEX('Sprint N°3'!$C$8:$I$8,BS$4-Resumen_Sprints!$E$8),0)</f>
        <v>0</v>
      </c>
      <c r="BT21" s="23">
        <f t="array" ref="BT21">IF(AND(BT$4&gt;Resumen_Sprints!$E$8,BT$4&lt;=Resumen_Sprints!$E$8+Resumen_Sprints!$D$8),INDEX('Sprint N°3'!$C$8:$I$8,BT$4-Resumen_Sprints!$E$8),0)</f>
        <v>0</v>
      </c>
      <c r="BU21" s="23">
        <f t="array" ref="BU21">IF(AND(BU$4&gt;Resumen_Sprints!$E$8,BU$4&lt;=Resumen_Sprints!$E$8+Resumen_Sprints!$D$8),INDEX('Sprint N°3'!$C$8:$I$8,BU$4-Resumen_Sprints!$E$8),0)</f>
        <v>0</v>
      </c>
      <c r="BV21" s="23">
        <f t="array" ref="BV21">IF(AND(BV$4&gt;Resumen_Sprints!$E$8,BV$4&lt;=Resumen_Sprints!$E$8+Resumen_Sprints!$D$8),INDEX('Sprint N°3'!$C$8:$I$8,BV$4-Resumen_Sprints!$E$8),0)</f>
        <v>0</v>
      </c>
      <c r="BW21" s="23">
        <f t="array" ref="BW21">IF(AND(BW$4&gt;Resumen_Sprints!$E$8,BW$4&lt;=Resumen_Sprints!$E$8+Resumen_Sprints!$D$8),INDEX('Sprint N°3'!$C$8:$I$8,BW$4-Resumen_Sprints!$E$8),0)</f>
        <v>0</v>
      </c>
      <c r="BX21" s="23">
        <f t="array" ref="BX21">IF(AND(BX$4&gt;Resumen_Sprints!$E$8,BX$4&lt;=Resumen_Sprints!$E$8+Resumen_Sprints!$D$8),INDEX('Sprint N°3'!$C$8:$I$8,BX$4-Resumen_Sprints!$E$8),0)</f>
        <v>0</v>
      </c>
      <c r="BY21" s="23">
        <f t="array" ref="BY21">IF(AND(BY$4&gt;Resumen_Sprints!$E$8,BY$4&lt;=Resumen_Sprints!$E$8+Resumen_Sprints!$D$8),INDEX('Sprint N°3'!$C$8:$I$8,BY$4-Resumen_Sprints!$E$8),0)</f>
        <v>0</v>
      </c>
      <c r="BZ21" s="23">
        <f t="array" ref="BZ21">IF(AND(BZ$4&gt;Resumen_Sprints!$E$8,BZ$4&lt;=Resumen_Sprints!$E$8+Resumen_Sprints!$D$8),INDEX('Sprint N°3'!$C$8:$I$8,BZ$4-Resumen_Sprints!$E$8),0)</f>
        <v>0</v>
      </c>
      <c r="CA21" s="23">
        <f t="array" ref="CA21">IF(AND(CA$4&gt;Resumen_Sprints!$E$8,CA$4&lt;=Resumen_Sprints!$E$8+Resumen_Sprints!$D$8),INDEX('Sprint N°3'!$C$8:$I$8,CA$4-Resumen_Sprints!$E$8),0)</f>
        <v>0</v>
      </c>
      <c r="CB21" s="23">
        <f t="array" ref="CB21">IF(AND(CB$4&gt;Resumen_Sprints!$E$8,CB$4&lt;=Resumen_Sprints!$E$8+Resumen_Sprints!$D$8),INDEX('Sprint N°3'!$C$8:$I$8,CB$4-Resumen_Sprints!$E$8),0)</f>
        <v>0</v>
      </c>
      <c r="CC21" s="23">
        <f t="array" ref="CC21">IF(AND(CC$4&gt;Resumen_Sprints!$E$8,CC$4&lt;=Resumen_Sprints!$E$8+Resumen_Sprints!$D$8),INDEX('Sprint N°3'!$C$8:$I$8,CC$4-Resumen_Sprints!$E$8),0)</f>
        <v>0</v>
      </c>
      <c r="CD21" s="23">
        <f t="array" ref="CD21">IF(AND(CD$4&gt;Resumen_Sprints!$E$8,CD$4&lt;=Resumen_Sprints!$E$8+Resumen_Sprints!$D$8),INDEX('Sprint N°3'!$C$8:$I$8,CD$4-Resumen_Sprints!$E$8),0)</f>
        <v>0</v>
      </c>
      <c r="CE21" s="23">
        <f t="array" ref="CE21">IF(AND(CE$4&gt;Resumen_Sprints!$E$8,CE$4&lt;=Resumen_Sprints!$E$8+Resumen_Sprints!$D$8),INDEX('Sprint N°3'!$C$8:$I$8,CE$4-Resumen_Sprints!$E$8),0)</f>
        <v>0</v>
      </c>
      <c r="CF21" s="23">
        <f t="array" ref="CF21">IF(AND(CF$4&gt;Resumen_Sprints!$E$8,CF$4&lt;=Resumen_Sprints!$E$8+Resumen_Sprints!$D$8),INDEX('Sprint N°3'!$C$8:$I$8,CF$4-Resumen_Sprints!$E$8),0)</f>
        <v>0</v>
      </c>
      <c r="CG21" s="23">
        <f t="array" ref="CG21">IF(AND(CG$4&gt;Resumen_Sprints!$E$8,CG$4&lt;=Resumen_Sprints!$E$8+Resumen_Sprints!$D$8),INDEX('Sprint N°3'!$C$8:$I$8,CG$4-Resumen_Sprints!$E$8),0)</f>
        <v>0</v>
      </c>
      <c r="CH21" s="23">
        <f t="array" ref="CH21">IF(AND(CH$4&gt;Resumen_Sprints!$E$8,CH$4&lt;=Resumen_Sprints!$E$8+Resumen_Sprints!$D$8),INDEX('Sprint N°3'!$C$8:$I$8,CH$4-Resumen_Sprints!$E$8),0)</f>
        <v>0</v>
      </c>
      <c r="CI21" s="23">
        <f t="array" ref="CI21">IF(AND(CI$4&gt;Resumen_Sprints!$E$8,CI$4&lt;=Resumen_Sprints!$E$8+Resumen_Sprints!$D$8),INDEX('Sprint N°3'!$C$8:$I$8,CI$4-Resumen_Sprints!$E$8),0)</f>
        <v>0</v>
      </c>
      <c r="CJ21" s="23">
        <f t="array" ref="CJ21">IF(AND(CJ$4&gt;Resumen_Sprints!$E$8,CJ$4&lt;=Resumen_Sprints!$E$8+Resumen_Sprints!$D$8),INDEX('Sprint N°3'!$C$8:$I$8,CJ$4-Resumen_Sprints!$E$8),0)</f>
        <v>0</v>
      </c>
      <c r="CK21" s="23">
        <f t="array" ref="CK21">IF(AND(CK$4&gt;Resumen_Sprints!$E$8,CK$4&lt;=Resumen_Sprints!$E$8+Resumen_Sprints!$D$8),INDEX('Sprint N°3'!$C$8:$I$8,CK$4-Resumen_Sprints!$E$8),0)</f>
        <v>0</v>
      </c>
      <c r="CL21" s="23">
        <f t="array" ref="CL21">IF(AND(CL$4&gt;Resumen_Sprints!$E$8,CL$4&lt;=Resumen_Sprints!$E$8+Resumen_Sprints!$D$8),INDEX('Sprint N°3'!$C$8:$I$8,CL$4-Resumen_Sprints!$E$8),0)</f>
        <v>0</v>
      </c>
      <c r="CM21" s="23">
        <f t="array" ref="CM21">IF(AND(CM$4&gt;Resumen_Sprints!$E$8,CM$4&lt;=Resumen_Sprints!$E$8+Resumen_Sprints!$D$8),INDEX('Sprint N°3'!$C$8:$I$8,CM$4-Resumen_Sprints!$E$8),0)</f>
        <v>0</v>
      </c>
      <c r="CN21" s="23">
        <f t="array" ref="CN21">IF(AND(CN$4&gt;Resumen_Sprints!$E$8,CN$4&lt;=Resumen_Sprints!$E$8+Resumen_Sprints!$D$8),INDEX('Sprint N°3'!$C$8:$I$8,CN$4-Resumen_Sprints!$E$8),0)</f>
        <v>0</v>
      </c>
      <c r="CO21" s="23">
        <f t="array" ref="CO21">IF(AND(CO$4&gt;Resumen_Sprints!$E$8,CO$4&lt;=Resumen_Sprints!$E$8+Resumen_Sprints!$D$8),INDEX('Sprint N°3'!$C$8:$I$8,CO$4-Resumen_Sprints!$E$8),0)</f>
        <v>0</v>
      </c>
      <c r="CP21" s="23">
        <f t="array" ref="CP21">IF(AND(CP$4&gt;Resumen_Sprints!$E$8,CP$4&lt;=Resumen_Sprints!$E$8+Resumen_Sprints!$D$8),INDEX('Sprint N°3'!$C$8:$I$8,CP$4-Resumen_Sprints!$E$8),0)</f>
        <v>0</v>
      </c>
      <c r="CQ21" s="23">
        <f t="array" ref="CQ21">IF(AND(CQ$4&gt;Resumen_Sprints!$E$8,CQ$4&lt;=Resumen_Sprints!$E$8+Resumen_Sprints!$D$8),INDEX('Sprint N°3'!$C$8:$I$8,CQ$4-Resumen_Sprints!$E$8),0)</f>
        <v>0</v>
      </c>
      <c r="CR21" s="23">
        <f t="array" ref="CR21">IF(AND(CR$4&gt;Resumen_Sprints!$E$8,CR$4&lt;=Resumen_Sprints!$E$8+Resumen_Sprints!$D$8),INDEX('Sprint N°3'!$C$8:$I$8,CR$4-Resumen_Sprints!$E$8),0)</f>
        <v>0</v>
      </c>
      <c r="CS21" s="23">
        <f t="array" ref="CS21">IF(AND(CS$4&gt;Resumen_Sprints!$E$8,CS$4&lt;=Resumen_Sprints!$E$8+Resumen_Sprints!$D$8),INDEX('Sprint N°3'!$C$8:$I$8,CS$4-Resumen_Sprints!$E$8),0)</f>
        <v>0</v>
      </c>
      <c r="CT21" s="23">
        <f t="array" ref="CT21">IF(AND(CT$4&gt;Resumen_Sprints!$E$8,CT$4&lt;=Resumen_Sprints!$E$8+Resumen_Sprints!$D$8),INDEX('Sprint N°3'!$C$8:$I$8,CT$4-Resumen_Sprints!$E$8),0)</f>
        <v>0</v>
      </c>
      <c r="CU21" s="25">
        <f t="shared" si="3"/>
        <v>19</v>
      </c>
    </row>
    <row r="22" ht="14.25" customHeight="1">
      <c r="A22" s="11" t="str">
        <f>'Sprint N°3'!A9</f>
        <v>Catálogo de Materiales y Poblamiento Inicial</v>
      </c>
      <c r="B22" s="11">
        <f>'Sprint N°3'!B9</f>
        <v>17</v>
      </c>
      <c r="C22" s="23">
        <f t="array" ref="C22">IF(AND(C$4&gt;Resumen_Sprints!$E$8,C$4&lt;=Resumen_Sprints!$E$8+Resumen_Sprints!$D$8),INDEX('Sprint N°3'!$C$9:$I$9,C$4-Resumen_Sprints!$E$8),0)</f>
        <v>0</v>
      </c>
      <c r="D22" s="23">
        <f t="array" ref="D22">IF(AND(D$4&gt;Resumen_Sprints!$E$8,D$4&lt;=Resumen_Sprints!$E$8+Resumen_Sprints!$D$8),INDEX('Sprint N°3'!$C$9:$I$9,D$4-Resumen_Sprints!$E$8),0)</f>
        <v>0</v>
      </c>
      <c r="E22" s="23">
        <f t="array" ref="E22">IF(AND(E$4&gt;Resumen_Sprints!$E$8,E$4&lt;=Resumen_Sprints!$E$8+Resumen_Sprints!$D$8),INDEX('Sprint N°3'!$C$9:$I$9,E$4-Resumen_Sprints!$E$8),0)</f>
        <v>0</v>
      </c>
      <c r="F22" s="23">
        <f t="array" ref="F22">IF(AND(F$4&gt;Resumen_Sprints!$E$8,F$4&lt;=Resumen_Sprints!$E$8+Resumen_Sprints!$D$8),INDEX('Sprint N°3'!$C$9:$I$9,F$4-Resumen_Sprints!$E$8),0)</f>
        <v>0</v>
      </c>
      <c r="G22" s="23">
        <f t="array" ref="G22">IF(AND(G$4&gt;Resumen_Sprints!$E$8,G$4&lt;=Resumen_Sprints!$E$8+Resumen_Sprints!$D$8),INDEX('Sprint N°3'!$C$9:$I$9,G$4-Resumen_Sprints!$E$8),0)</f>
        <v>0</v>
      </c>
      <c r="H22" s="23">
        <f t="array" ref="H22">IF(AND(H$4&gt;Resumen_Sprints!$E$8,H$4&lt;=Resumen_Sprints!$E$8+Resumen_Sprints!$D$8),INDEX('Sprint N°3'!$C$9:$I$9,H$4-Resumen_Sprints!$E$8),0)</f>
        <v>0</v>
      </c>
      <c r="I22" s="23">
        <f t="array" ref="I22">IF(AND(I$4&gt;Resumen_Sprints!$E$8,I$4&lt;=Resumen_Sprints!$E$8+Resumen_Sprints!$D$8),INDEX('Sprint N°3'!$C$9:$I$9,I$4-Resumen_Sprints!$E$8),0)</f>
        <v>0</v>
      </c>
      <c r="J22" s="23">
        <f t="array" ref="J22">IF(AND(J$4&gt;Resumen_Sprints!$E$8,J$4&lt;=Resumen_Sprints!$E$8+Resumen_Sprints!$D$8),INDEX('Sprint N°3'!$C$9:$I$9,J$4-Resumen_Sprints!$E$8),0)</f>
        <v>0</v>
      </c>
      <c r="K22" s="23">
        <f t="array" ref="K22">IF(AND(K$4&gt;Resumen_Sprints!$E$8,K$4&lt;=Resumen_Sprints!$E$8+Resumen_Sprints!$D$8),INDEX('Sprint N°3'!$C$9:$I$9,K$4-Resumen_Sprints!$E$8),0)</f>
        <v>0</v>
      </c>
      <c r="L22" s="23">
        <f t="array" ref="L22">IF(AND(L$4&gt;Resumen_Sprints!$E$8,L$4&lt;=Resumen_Sprints!$E$8+Resumen_Sprints!$D$8),INDEX('Sprint N°3'!$C$9:$I$9,L$4-Resumen_Sprints!$E$8),0)</f>
        <v>0</v>
      </c>
      <c r="M22" s="23">
        <f t="array" ref="M22">IF(AND(M$4&gt;Resumen_Sprints!$E$8,M$4&lt;=Resumen_Sprints!$E$8+Resumen_Sprints!$D$8),INDEX('Sprint N°3'!$C$9:$I$9,M$4-Resumen_Sprints!$E$8),0)</f>
        <v>0</v>
      </c>
      <c r="N22" s="23">
        <f t="array" ref="N22">IF(AND(N$4&gt;Resumen_Sprints!$E$8,N$4&lt;=Resumen_Sprints!$E$8+Resumen_Sprints!$D$8),INDEX('Sprint N°3'!$C$9:$I$9,N$4-Resumen_Sprints!$E$8),0)</f>
        <v>0</v>
      </c>
      <c r="O22" s="23">
        <f t="array" ref="O22">IF(AND(O$4&gt;Resumen_Sprints!$E$8,O$4&lt;=Resumen_Sprints!$E$8+Resumen_Sprints!$D$8),INDEX('Sprint N°3'!$C$9:$I$9,O$4-Resumen_Sprints!$E$8),0)</f>
        <v>0</v>
      </c>
      <c r="P22" s="23">
        <f t="array" ref="P22">IF(AND(P$4&gt;Resumen_Sprints!$E$8,P$4&lt;=Resumen_Sprints!$E$8+Resumen_Sprints!$D$8),INDEX('Sprint N°3'!$C$9:$I$9,P$4-Resumen_Sprints!$E$8),0)</f>
        <v>0</v>
      </c>
      <c r="Q22" s="23">
        <f t="array" ref="Q22">IF(AND(Q$4&gt;Resumen_Sprints!$E$8,Q$4&lt;=Resumen_Sprints!$E$8+Resumen_Sprints!$D$8),INDEX('Sprint N°3'!$C$9:$I$9,Q$4-Resumen_Sprints!$E$8),0)</f>
        <v>0</v>
      </c>
      <c r="R22" s="23">
        <f t="array" ref="R22">IF(AND(R$4&gt;Resumen_Sprints!$E$8,R$4&lt;=Resumen_Sprints!$E$8+Resumen_Sprints!$D$8),INDEX('Sprint N°3'!$C$9:$I$9,R$4-Resumen_Sprints!$E$8),0)</f>
        <v>0</v>
      </c>
      <c r="S22" s="23">
        <f t="array" ref="S22">IF(AND(S$4&gt;Resumen_Sprints!$E$8,S$4&lt;=Resumen_Sprints!$E$8+Resumen_Sprints!$D$8),INDEX('Sprint N°3'!$C$9:$I$9,S$4-Resumen_Sprints!$E$8),0)</f>
        <v>0</v>
      </c>
      <c r="T22" s="23">
        <f t="array" ref="T22">IF(AND(T$4&gt;Resumen_Sprints!$E$8,T$4&lt;=Resumen_Sprints!$E$8+Resumen_Sprints!$D$8),INDEX('Sprint N°3'!$C$9:$I$9,T$4-Resumen_Sprints!$E$8),0)</f>
        <v>0</v>
      </c>
      <c r="U22" s="23">
        <f t="array" ref="U22">IF(AND(U$4&gt;Resumen_Sprints!$E$8,U$4&lt;=Resumen_Sprints!$E$8+Resumen_Sprints!$D$8),INDEX('Sprint N°3'!$C$9:$I$9,U$4-Resumen_Sprints!$E$8),0)</f>
        <v>0</v>
      </c>
      <c r="V22" s="23">
        <f t="array" ref="V22">IF(AND(V$4&gt;Resumen_Sprints!$E$8,V$4&lt;=Resumen_Sprints!$E$8+Resumen_Sprints!$D$8),INDEX('Sprint N°3'!$C$9:$I$9,V$4-Resumen_Sprints!$E$8),0)</f>
        <v>0</v>
      </c>
      <c r="W22" s="23" t="str">
        <f t="array" ref="W22">IF(AND(W$4&gt;Resumen_Sprints!$E$8,W$4&lt;=Resumen_Sprints!$E$8+Resumen_Sprints!$D$8),INDEX('Sprint N°3'!$C$9:$I$9,W$4-Resumen_Sprints!$E$8),0)</f>
        <v/>
      </c>
      <c r="X22" s="23" t="str">
        <f t="array" ref="X22">IF(AND(X$4&gt;Resumen_Sprints!$E$8,X$4&lt;=Resumen_Sprints!$E$8+Resumen_Sprints!$D$8),INDEX('Sprint N°3'!$C$9:$I$9,X$4-Resumen_Sprints!$E$8),0)</f>
        <v/>
      </c>
      <c r="Y22" s="23" t="str">
        <f t="array" ref="Y22">IF(AND(Y$4&gt;Resumen_Sprints!$E$8,Y$4&lt;=Resumen_Sprints!$E$8+Resumen_Sprints!$D$8),INDEX('Sprint N°3'!$C$9:$I$9,Y$4-Resumen_Sprints!$E$8),0)</f>
        <v/>
      </c>
      <c r="Z22" s="23" t="str">
        <f t="array" ref="Z22">IF(AND(Z$4&gt;Resumen_Sprints!$E$8,Z$4&lt;=Resumen_Sprints!$E$8+Resumen_Sprints!$D$8),INDEX('Sprint N°3'!$C$9:$I$9,Z$4-Resumen_Sprints!$E$8),0)</f>
        <v/>
      </c>
      <c r="AA22" s="23">
        <f t="array" ref="AA22">IF(AND(AA$4&gt;Resumen_Sprints!$E$8,AA$4&lt;=Resumen_Sprints!$E$8+Resumen_Sprints!$D$8),INDEX('Sprint N°3'!$C$9:$I$9,AA$4-Resumen_Sprints!$E$8),0)</f>
        <v>2</v>
      </c>
      <c r="AB22" s="23">
        <f t="array" ref="AB22">IF(AND(AB$4&gt;Resumen_Sprints!$E$8,AB$4&lt;=Resumen_Sprints!$E$8+Resumen_Sprints!$D$8),INDEX('Sprint N°3'!$C$9:$I$9,AB$4-Resumen_Sprints!$E$8),0)</f>
        <v>8</v>
      </c>
      <c r="AC22" s="23">
        <f t="array" ref="AC22">IF(AND(AC$4&gt;Resumen_Sprints!$E$8,AC$4&lt;=Resumen_Sprints!$E$8+Resumen_Sprints!$D$8),INDEX('Sprint N°3'!$C$9:$I$9,AC$4-Resumen_Sprints!$E$8),0)</f>
        <v>7</v>
      </c>
      <c r="AD22" s="23">
        <f t="array" ref="AD22">IF(AND(AD$4&gt;Resumen_Sprints!$E$8,AD$4&lt;=Resumen_Sprints!$E$8+Resumen_Sprints!$D$8),INDEX('Sprint N°3'!$C$9:$I$9,AD$4-Resumen_Sprints!$E$8),0)</f>
        <v>0</v>
      </c>
      <c r="AE22" s="23">
        <f t="array" ref="AE22">IF(AND(AE$4&gt;Resumen_Sprints!$E$8,AE$4&lt;=Resumen_Sprints!$E$8+Resumen_Sprints!$D$8),INDEX('Sprint N°3'!$C$9:$I$9,AE$4-Resumen_Sprints!$E$8),0)</f>
        <v>0</v>
      </c>
      <c r="AF22" s="23">
        <f t="array" ref="AF22">IF(AND(AF$4&gt;Resumen_Sprints!$E$8,AF$4&lt;=Resumen_Sprints!$E$8+Resumen_Sprints!$D$8),INDEX('Sprint N°3'!$C$9:$I$9,AF$4-Resumen_Sprints!$E$8),0)</f>
        <v>0</v>
      </c>
      <c r="AG22" s="23">
        <f t="array" ref="AG22">IF(AND(AG$4&gt;Resumen_Sprints!$E$8,AG$4&lt;=Resumen_Sprints!$E$8+Resumen_Sprints!$D$8),INDEX('Sprint N°3'!$C$9:$I$9,AG$4-Resumen_Sprints!$E$8),0)</f>
        <v>0</v>
      </c>
      <c r="AH22" s="23">
        <f t="array" ref="AH22">IF(AND(AH$4&gt;Resumen_Sprints!$E$8,AH$4&lt;=Resumen_Sprints!$E$8+Resumen_Sprints!$D$8),INDEX('Sprint N°3'!$C$9:$I$9,AH$4-Resumen_Sprints!$E$8),0)</f>
        <v>0</v>
      </c>
      <c r="AI22" s="23">
        <f t="array" ref="AI22">IF(AND(AI$4&gt;Resumen_Sprints!$E$8,AI$4&lt;=Resumen_Sprints!$E$8+Resumen_Sprints!$D$8),INDEX('Sprint N°3'!$C$9:$I$9,AI$4-Resumen_Sprints!$E$8),0)</f>
        <v>0</v>
      </c>
      <c r="AJ22" s="23">
        <f t="array" ref="AJ22">IF(AND(AJ$4&gt;Resumen_Sprints!$E$8,AJ$4&lt;=Resumen_Sprints!$E$8+Resumen_Sprints!$D$8),INDEX('Sprint N°3'!$C$9:$I$9,AJ$4-Resumen_Sprints!$E$8),0)</f>
        <v>0</v>
      </c>
      <c r="AK22" s="23">
        <f t="array" ref="AK22">IF(AND(AK$4&gt;Resumen_Sprints!$E$8,AK$4&lt;=Resumen_Sprints!$E$8+Resumen_Sprints!$D$8),INDEX('Sprint N°3'!$C$9:$I$9,AK$4-Resumen_Sprints!$E$8),0)</f>
        <v>0</v>
      </c>
      <c r="AL22" s="23">
        <f t="array" ref="AL22">IF(AND(AL$4&gt;Resumen_Sprints!$E$8,AL$4&lt;=Resumen_Sprints!$E$8+Resumen_Sprints!$D$8),INDEX('Sprint N°3'!$C$9:$I$9,AL$4-Resumen_Sprints!$E$8),0)</f>
        <v>0</v>
      </c>
      <c r="AM22" s="23">
        <f t="array" ref="AM22">IF(AND(AM$4&gt;Resumen_Sprints!$E$8,AM$4&lt;=Resumen_Sprints!$E$8+Resumen_Sprints!$D$8),INDEX('Sprint N°3'!$C$9:$I$9,AM$4-Resumen_Sprints!$E$8),0)</f>
        <v>0</v>
      </c>
      <c r="AN22" s="23">
        <f t="array" ref="AN22">IF(AND(AN$4&gt;Resumen_Sprints!$E$8,AN$4&lt;=Resumen_Sprints!$E$8+Resumen_Sprints!$D$8),INDEX('Sprint N°3'!$C$9:$I$9,AN$4-Resumen_Sprints!$E$8),0)</f>
        <v>0</v>
      </c>
      <c r="AO22" s="23">
        <f t="array" ref="AO22">IF(AND(AO$4&gt;Resumen_Sprints!$E$8,AO$4&lt;=Resumen_Sprints!$E$8+Resumen_Sprints!$D$8),INDEX('Sprint N°3'!$C$9:$I$9,AO$4-Resumen_Sprints!$E$8),0)</f>
        <v>0</v>
      </c>
      <c r="AP22" s="23">
        <f t="array" ref="AP22">IF(AND(AP$4&gt;Resumen_Sprints!$E$8,AP$4&lt;=Resumen_Sprints!$E$8+Resumen_Sprints!$D$8),INDEX('Sprint N°3'!$C$9:$I$9,AP$4-Resumen_Sprints!$E$8),0)</f>
        <v>0</v>
      </c>
      <c r="AQ22" s="23">
        <f t="array" ref="AQ22">IF(AND(AQ$4&gt;Resumen_Sprints!$E$8,AQ$4&lt;=Resumen_Sprints!$E$8+Resumen_Sprints!$D$8),INDEX('Sprint N°3'!$C$9:$I$9,AQ$4-Resumen_Sprints!$E$8),0)</f>
        <v>0</v>
      </c>
      <c r="AR22" s="23">
        <f t="array" ref="AR22">IF(AND(AR$4&gt;Resumen_Sprints!$E$8,AR$4&lt;=Resumen_Sprints!$E$8+Resumen_Sprints!$D$8),INDEX('Sprint N°3'!$C$9:$I$9,AR$4-Resumen_Sprints!$E$8),0)</f>
        <v>0</v>
      </c>
      <c r="AS22" s="23">
        <f t="array" ref="AS22">IF(AND(AS$4&gt;Resumen_Sprints!$E$8,AS$4&lt;=Resumen_Sprints!$E$8+Resumen_Sprints!$D$8),INDEX('Sprint N°3'!$C$9:$I$9,AS$4-Resumen_Sprints!$E$8),0)</f>
        <v>0</v>
      </c>
      <c r="AT22" s="23">
        <f t="array" ref="AT22">IF(AND(AT$4&gt;Resumen_Sprints!$E$8,AT$4&lt;=Resumen_Sprints!$E$8+Resumen_Sprints!$D$8),INDEX('Sprint N°3'!$C$9:$I$9,AT$4-Resumen_Sprints!$E$8),0)</f>
        <v>0</v>
      </c>
      <c r="AU22" s="23">
        <f t="array" ref="AU22">IF(AND(AU$4&gt;Resumen_Sprints!$E$8,AU$4&lt;=Resumen_Sprints!$E$8+Resumen_Sprints!$D$8),INDEX('Sprint N°3'!$C$9:$I$9,AU$4-Resumen_Sprints!$E$8),0)</f>
        <v>0</v>
      </c>
      <c r="AV22" s="23">
        <f t="array" ref="AV22">IF(AND(AV$4&gt;Resumen_Sprints!$E$8,AV$4&lt;=Resumen_Sprints!$E$8+Resumen_Sprints!$D$8),INDEX('Sprint N°3'!$C$9:$I$9,AV$4-Resumen_Sprints!$E$8),0)</f>
        <v>0</v>
      </c>
      <c r="AW22" s="23">
        <f t="array" ref="AW22">IF(AND(AW$4&gt;Resumen_Sprints!$E$8,AW$4&lt;=Resumen_Sprints!$E$8+Resumen_Sprints!$D$8),INDEX('Sprint N°3'!$C$9:$I$9,AW$4-Resumen_Sprints!$E$8),0)</f>
        <v>0</v>
      </c>
      <c r="AX22" s="23">
        <f t="array" ref="AX22">IF(AND(AX$4&gt;Resumen_Sprints!$E$8,AX$4&lt;=Resumen_Sprints!$E$8+Resumen_Sprints!$D$8),INDEX('Sprint N°3'!$C$9:$I$9,AX$4-Resumen_Sprints!$E$8),0)</f>
        <v>0</v>
      </c>
      <c r="AY22" s="23">
        <f t="array" ref="AY22">IF(AND(AY$4&gt;Resumen_Sprints!$E$8,AY$4&lt;=Resumen_Sprints!$E$8+Resumen_Sprints!$D$8),INDEX('Sprint N°3'!$C$9:$I$9,AY$4-Resumen_Sprints!$E$8),0)</f>
        <v>0</v>
      </c>
      <c r="AZ22" s="23">
        <f t="array" ref="AZ22">IF(AND(AZ$4&gt;Resumen_Sprints!$E$8,AZ$4&lt;=Resumen_Sprints!$E$8+Resumen_Sprints!$D$8),INDEX('Sprint N°3'!$C$9:$I$9,AZ$4-Resumen_Sprints!$E$8),0)</f>
        <v>0</v>
      </c>
      <c r="BA22" s="23">
        <f t="array" ref="BA22">IF(AND(BA$4&gt;Resumen_Sprints!$E$8,BA$4&lt;=Resumen_Sprints!$E$8+Resumen_Sprints!$D$8),INDEX('Sprint N°3'!$C$9:$I$9,BA$4-Resumen_Sprints!$E$8),0)</f>
        <v>0</v>
      </c>
      <c r="BB22" s="23">
        <f t="array" ref="BB22">IF(AND(BB$4&gt;Resumen_Sprints!$E$8,BB$4&lt;=Resumen_Sprints!$E$8+Resumen_Sprints!$D$8),INDEX('Sprint N°3'!$C$9:$I$9,BB$4-Resumen_Sprints!$E$8),0)</f>
        <v>0</v>
      </c>
      <c r="BC22" s="23">
        <f t="array" ref="BC22">IF(AND(BC$4&gt;Resumen_Sprints!$E$8,BC$4&lt;=Resumen_Sprints!$E$8+Resumen_Sprints!$D$8),INDEX('Sprint N°3'!$C$9:$I$9,BC$4-Resumen_Sprints!$E$8),0)</f>
        <v>0</v>
      </c>
      <c r="BD22" s="23">
        <f t="array" ref="BD22">IF(AND(BD$4&gt;Resumen_Sprints!$E$8,BD$4&lt;=Resumen_Sprints!$E$8+Resumen_Sprints!$D$8),INDEX('Sprint N°3'!$C$9:$I$9,BD$4-Resumen_Sprints!$E$8),0)</f>
        <v>0</v>
      </c>
      <c r="BE22" s="23">
        <f t="array" ref="BE22">IF(AND(BE$4&gt;Resumen_Sprints!$E$8,BE$4&lt;=Resumen_Sprints!$E$8+Resumen_Sprints!$D$8),INDEX('Sprint N°3'!$C$9:$I$9,BE$4-Resumen_Sprints!$E$8),0)</f>
        <v>0</v>
      </c>
      <c r="BF22" s="23">
        <f t="array" ref="BF22">IF(AND(BF$4&gt;Resumen_Sprints!$E$8,BF$4&lt;=Resumen_Sprints!$E$8+Resumen_Sprints!$D$8),INDEX('Sprint N°3'!$C$9:$I$9,BF$4-Resumen_Sprints!$E$8),0)</f>
        <v>0</v>
      </c>
      <c r="BG22" s="23">
        <f t="array" ref="BG22">IF(AND(BG$4&gt;Resumen_Sprints!$E$8,BG$4&lt;=Resumen_Sprints!$E$8+Resumen_Sprints!$D$8),INDEX('Sprint N°3'!$C$9:$I$9,BG$4-Resumen_Sprints!$E$8),0)</f>
        <v>0</v>
      </c>
      <c r="BH22" s="23">
        <f t="array" ref="BH22">IF(AND(BH$4&gt;Resumen_Sprints!$E$8,BH$4&lt;=Resumen_Sprints!$E$8+Resumen_Sprints!$D$8),INDEX('Sprint N°3'!$C$9:$I$9,BH$4-Resumen_Sprints!$E$8),0)</f>
        <v>0</v>
      </c>
      <c r="BI22" s="23">
        <f t="array" ref="BI22">IF(AND(BI$4&gt;Resumen_Sprints!$E$8,BI$4&lt;=Resumen_Sprints!$E$8+Resumen_Sprints!$D$8),INDEX('Sprint N°3'!$C$9:$I$9,BI$4-Resumen_Sprints!$E$8),0)</f>
        <v>0</v>
      </c>
      <c r="BJ22" s="23">
        <f t="array" ref="BJ22">IF(AND(BJ$4&gt;Resumen_Sprints!$E$8,BJ$4&lt;=Resumen_Sprints!$E$8+Resumen_Sprints!$D$8),INDEX('Sprint N°3'!$C$9:$I$9,BJ$4-Resumen_Sprints!$E$8),0)</f>
        <v>0</v>
      </c>
      <c r="BK22" s="23">
        <f t="array" ref="BK22">IF(AND(BK$4&gt;Resumen_Sprints!$E$8,BK$4&lt;=Resumen_Sprints!$E$8+Resumen_Sprints!$D$8),INDEX('Sprint N°3'!$C$9:$I$9,BK$4-Resumen_Sprints!$E$8),0)</f>
        <v>0</v>
      </c>
      <c r="BL22" s="23">
        <f t="array" ref="BL22">IF(AND(BL$4&gt;Resumen_Sprints!$E$8,BL$4&lt;=Resumen_Sprints!$E$8+Resumen_Sprints!$D$8),INDEX('Sprint N°3'!$C$9:$I$9,BL$4-Resumen_Sprints!$E$8),0)</f>
        <v>0</v>
      </c>
      <c r="BM22" s="23">
        <f t="array" ref="BM22">IF(AND(BM$4&gt;Resumen_Sprints!$E$8,BM$4&lt;=Resumen_Sprints!$E$8+Resumen_Sprints!$D$8),INDEX('Sprint N°3'!$C$9:$I$9,BM$4-Resumen_Sprints!$E$8),0)</f>
        <v>0</v>
      </c>
      <c r="BN22" s="23">
        <f t="array" ref="BN22">IF(AND(BN$4&gt;Resumen_Sprints!$E$8,BN$4&lt;=Resumen_Sprints!$E$8+Resumen_Sprints!$D$8),INDEX('Sprint N°3'!$C$9:$I$9,BN$4-Resumen_Sprints!$E$8),0)</f>
        <v>0</v>
      </c>
      <c r="BO22" s="23">
        <f t="array" ref="BO22">IF(AND(BO$4&gt;Resumen_Sprints!$E$8,BO$4&lt;=Resumen_Sprints!$E$8+Resumen_Sprints!$D$8),INDEX('Sprint N°3'!$C$9:$I$9,BO$4-Resumen_Sprints!$E$8),0)</f>
        <v>0</v>
      </c>
      <c r="BP22" s="23">
        <f t="array" ref="BP22">IF(AND(BP$4&gt;Resumen_Sprints!$E$8,BP$4&lt;=Resumen_Sprints!$E$8+Resumen_Sprints!$D$8),INDEX('Sprint N°3'!$C$9:$I$9,BP$4-Resumen_Sprints!$E$8),0)</f>
        <v>0</v>
      </c>
      <c r="BQ22" s="23">
        <f t="array" ref="BQ22">IF(AND(BQ$4&gt;Resumen_Sprints!$E$8,BQ$4&lt;=Resumen_Sprints!$E$8+Resumen_Sprints!$D$8),INDEX('Sprint N°3'!$C$9:$I$9,BQ$4-Resumen_Sprints!$E$8),0)</f>
        <v>0</v>
      </c>
      <c r="BR22" s="23">
        <f t="array" ref="BR22">IF(AND(BR$4&gt;Resumen_Sprints!$E$8,BR$4&lt;=Resumen_Sprints!$E$8+Resumen_Sprints!$D$8),INDEX('Sprint N°3'!$C$9:$I$9,BR$4-Resumen_Sprints!$E$8),0)</f>
        <v>0</v>
      </c>
      <c r="BS22" s="23">
        <f t="array" ref="BS22">IF(AND(BS$4&gt;Resumen_Sprints!$E$8,BS$4&lt;=Resumen_Sprints!$E$8+Resumen_Sprints!$D$8),INDEX('Sprint N°3'!$C$9:$I$9,BS$4-Resumen_Sprints!$E$8),0)</f>
        <v>0</v>
      </c>
      <c r="BT22" s="23">
        <f t="array" ref="BT22">IF(AND(BT$4&gt;Resumen_Sprints!$E$8,BT$4&lt;=Resumen_Sprints!$E$8+Resumen_Sprints!$D$8),INDEX('Sprint N°3'!$C$9:$I$9,BT$4-Resumen_Sprints!$E$8),0)</f>
        <v>0</v>
      </c>
      <c r="BU22" s="23">
        <f t="array" ref="BU22">IF(AND(BU$4&gt;Resumen_Sprints!$E$8,BU$4&lt;=Resumen_Sprints!$E$8+Resumen_Sprints!$D$8),INDEX('Sprint N°3'!$C$9:$I$9,BU$4-Resumen_Sprints!$E$8),0)</f>
        <v>0</v>
      </c>
      <c r="BV22" s="23">
        <f t="array" ref="BV22">IF(AND(BV$4&gt;Resumen_Sprints!$E$8,BV$4&lt;=Resumen_Sprints!$E$8+Resumen_Sprints!$D$8),INDEX('Sprint N°3'!$C$9:$I$9,BV$4-Resumen_Sprints!$E$8),0)</f>
        <v>0</v>
      </c>
      <c r="BW22" s="23">
        <f t="array" ref="BW22">IF(AND(BW$4&gt;Resumen_Sprints!$E$8,BW$4&lt;=Resumen_Sprints!$E$8+Resumen_Sprints!$D$8),INDEX('Sprint N°3'!$C$9:$I$9,BW$4-Resumen_Sprints!$E$8),0)</f>
        <v>0</v>
      </c>
      <c r="BX22" s="23">
        <f t="array" ref="BX22">IF(AND(BX$4&gt;Resumen_Sprints!$E$8,BX$4&lt;=Resumen_Sprints!$E$8+Resumen_Sprints!$D$8),INDEX('Sprint N°3'!$C$9:$I$9,BX$4-Resumen_Sprints!$E$8),0)</f>
        <v>0</v>
      </c>
      <c r="BY22" s="23">
        <f t="array" ref="BY22">IF(AND(BY$4&gt;Resumen_Sprints!$E$8,BY$4&lt;=Resumen_Sprints!$E$8+Resumen_Sprints!$D$8),INDEX('Sprint N°3'!$C$9:$I$9,BY$4-Resumen_Sprints!$E$8),0)</f>
        <v>0</v>
      </c>
      <c r="BZ22" s="23">
        <f t="array" ref="BZ22">IF(AND(BZ$4&gt;Resumen_Sprints!$E$8,BZ$4&lt;=Resumen_Sprints!$E$8+Resumen_Sprints!$D$8),INDEX('Sprint N°3'!$C$9:$I$9,BZ$4-Resumen_Sprints!$E$8),0)</f>
        <v>0</v>
      </c>
      <c r="CA22" s="23">
        <f t="array" ref="CA22">IF(AND(CA$4&gt;Resumen_Sprints!$E$8,CA$4&lt;=Resumen_Sprints!$E$8+Resumen_Sprints!$D$8),INDEX('Sprint N°3'!$C$9:$I$9,CA$4-Resumen_Sprints!$E$8),0)</f>
        <v>0</v>
      </c>
      <c r="CB22" s="23">
        <f t="array" ref="CB22">IF(AND(CB$4&gt;Resumen_Sprints!$E$8,CB$4&lt;=Resumen_Sprints!$E$8+Resumen_Sprints!$D$8),INDEX('Sprint N°3'!$C$9:$I$9,CB$4-Resumen_Sprints!$E$8),0)</f>
        <v>0</v>
      </c>
      <c r="CC22" s="23">
        <f t="array" ref="CC22">IF(AND(CC$4&gt;Resumen_Sprints!$E$8,CC$4&lt;=Resumen_Sprints!$E$8+Resumen_Sprints!$D$8),INDEX('Sprint N°3'!$C$9:$I$9,CC$4-Resumen_Sprints!$E$8),0)</f>
        <v>0</v>
      </c>
      <c r="CD22" s="23">
        <f t="array" ref="CD22">IF(AND(CD$4&gt;Resumen_Sprints!$E$8,CD$4&lt;=Resumen_Sprints!$E$8+Resumen_Sprints!$D$8),INDEX('Sprint N°3'!$C$9:$I$9,CD$4-Resumen_Sprints!$E$8),0)</f>
        <v>0</v>
      </c>
      <c r="CE22" s="23">
        <f t="array" ref="CE22">IF(AND(CE$4&gt;Resumen_Sprints!$E$8,CE$4&lt;=Resumen_Sprints!$E$8+Resumen_Sprints!$D$8),INDEX('Sprint N°3'!$C$9:$I$9,CE$4-Resumen_Sprints!$E$8),0)</f>
        <v>0</v>
      </c>
      <c r="CF22" s="23">
        <f t="array" ref="CF22">IF(AND(CF$4&gt;Resumen_Sprints!$E$8,CF$4&lt;=Resumen_Sprints!$E$8+Resumen_Sprints!$D$8),INDEX('Sprint N°3'!$C$9:$I$9,CF$4-Resumen_Sprints!$E$8),0)</f>
        <v>0</v>
      </c>
      <c r="CG22" s="23">
        <f t="array" ref="CG22">IF(AND(CG$4&gt;Resumen_Sprints!$E$8,CG$4&lt;=Resumen_Sprints!$E$8+Resumen_Sprints!$D$8),INDEX('Sprint N°3'!$C$9:$I$9,CG$4-Resumen_Sprints!$E$8),0)</f>
        <v>0</v>
      </c>
      <c r="CH22" s="23">
        <f t="array" ref="CH22">IF(AND(CH$4&gt;Resumen_Sprints!$E$8,CH$4&lt;=Resumen_Sprints!$E$8+Resumen_Sprints!$D$8),INDEX('Sprint N°3'!$C$9:$I$9,CH$4-Resumen_Sprints!$E$8),0)</f>
        <v>0</v>
      </c>
      <c r="CI22" s="23">
        <f t="array" ref="CI22">IF(AND(CI$4&gt;Resumen_Sprints!$E$8,CI$4&lt;=Resumen_Sprints!$E$8+Resumen_Sprints!$D$8),INDEX('Sprint N°3'!$C$9:$I$9,CI$4-Resumen_Sprints!$E$8),0)</f>
        <v>0</v>
      </c>
      <c r="CJ22" s="23">
        <f t="array" ref="CJ22">IF(AND(CJ$4&gt;Resumen_Sprints!$E$8,CJ$4&lt;=Resumen_Sprints!$E$8+Resumen_Sprints!$D$8),INDEX('Sprint N°3'!$C$9:$I$9,CJ$4-Resumen_Sprints!$E$8),0)</f>
        <v>0</v>
      </c>
      <c r="CK22" s="23">
        <f t="array" ref="CK22">IF(AND(CK$4&gt;Resumen_Sprints!$E$8,CK$4&lt;=Resumen_Sprints!$E$8+Resumen_Sprints!$D$8),INDEX('Sprint N°3'!$C$9:$I$9,CK$4-Resumen_Sprints!$E$8),0)</f>
        <v>0</v>
      </c>
      <c r="CL22" s="23">
        <f t="array" ref="CL22">IF(AND(CL$4&gt;Resumen_Sprints!$E$8,CL$4&lt;=Resumen_Sprints!$E$8+Resumen_Sprints!$D$8),INDEX('Sprint N°3'!$C$9:$I$9,CL$4-Resumen_Sprints!$E$8),0)</f>
        <v>0</v>
      </c>
      <c r="CM22" s="23">
        <f t="array" ref="CM22">IF(AND(CM$4&gt;Resumen_Sprints!$E$8,CM$4&lt;=Resumen_Sprints!$E$8+Resumen_Sprints!$D$8),INDEX('Sprint N°3'!$C$9:$I$9,CM$4-Resumen_Sprints!$E$8),0)</f>
        <v>0</v>
      </c>
      <c r="CN22" s="23">
        <f t="array" ref="CN22">IF(AND(CN$4&gt;Resumen_Sprints!$E$8,CN$4&lt;=Resumen_Sprints!$E$8+Resumen_Sprints!$D$8),INDEX('Sprint N°3'!$C$9:$I$9,CN$4-Resumen_Sprints!$E$8),0)</f>
        <v>0</v>
      </c>
      <c r="CO22" s="23">
        <f t="array" ref="CO22">IF(AND(CO$4&gt;Resumen_Sprints!$E$8,CO$4&lt;=Resumen_Sprints!$E$8+Resumen_Sprints!$D$8),INDEX('Sprint N°3'!$C$9:$I$9,CO$4-Resumen_Sprints!$E$8),0)</f>
        <v>0</v>
      </c>
      <c r="CP22" s="23">
        <f t="array" ref="CP22">IF(AND(CP$4&gt;Resumen_Sprints!$E$8,CP$4&lt;=Resumen_Sprints!$E$8+Resumen_Sprints!$D$8),INDEX('Sprint N°3'!$C$9:$I$9,CP$4-Resumen_Sprints!$E$8),0)</f>
        <v>0</v>
      </c>
      <c r="CQ22" s="23">
        <f t="array" ref="CQ22">IF(AND(CQ$4&gt;Resumen_Sprints!$E$8,CQ$4&lt;=Resumen_Sprints!$E$8+Resumen_Sprints!$D$8),INDEX('Sprint N°3'!$C$9:$I$9,CQ$4-Resumen_Sprints!$E$8),0)</f>
        <v>0</v>
      </c>
      <c r="CR22" s="23">
        <f t="array" ref="CR22">IF(AND(CR$4&gt;Resumen_Sprints!$E$8,CR$4&lt;=Resumen_Sprints!$E$8+Resumen_Sprints!$D$8),INDEX('Sprint N°3'!$C$9:$I$9,CR$4-Resumen_Sprints!$E$8),0)</f>
        <v>0</v>
      </c>
      <c r="CS22" s="23">
        <f t="array" ref="CS22">IF(AND(CS$4&gt;Resumen_Sprints!$E$8,CS$4&lt;=Resumen_Sprints!$E$8+Resumen_Sprints!$D$8),INDEX('Sprint N°3'!$C$9:$I$9,CS$4-Resumen_Sprints!$E$8),0)</f>
        <v>0</v>
      </c>
      <c r="CT22" s="23">
        <f t="array" ref="CT22">IF(AND(CT$4&gt;Resumen_Sprints!$E$8,CT$4&lt;=Resumen_Sprints!$E$8+Resumen_Sprints!$D$8),INDEX('Sprint N°3'!$C$9:$I$9,CT$4-Resumen_Sprints!$E$8),0)</f>
        <v>0</v>
      </c>
      <c r="CU22" s="25">
        <f t="shared" si="3"/>
        <v>17</v>
      </c>
    </row>
    <row r="23" ht="14.25" customHeight="1">
      <c r="A23" s="9" t="str">
        <f>"Sprint N°"&amp;Resumen_Sprints!A9&amp;" – "&amp;Resumen_Sprints!B9</f>
        <v>Sprint N°4 – Motor de Simulación y Algoritmo de Cálculo</v>
      </c>
      <c r="B23" s="10">
        <f>SUM(B24:B27)</f>
        <v>91</v>
      </c>
      <c r="CU23" s="28"/>
    </row>
    <row r="24" ht="14.25" customHeight="1">
      <c r="A24" s="11" t="str">
        <f>'Sprint N°4'!A6</f>
        <v>Coordinación delObjetivos Sprint 4</v>
      </c>
      <c r="B24" s="11">
        <f>'Sprint N°4'!B6</f>
        <v>1</v>
      </c>
      <c r="C24" s="23">
        <f t="array" ref="C24">IF(AND(C$4&gt;Resumen_Sprints!$E$9,C$4&lt;=Resumen_Sprints!$E$9+Resumen_Sprints!$D$9),INDEX('Sprint N°4'!$C$6:$P$6,C$4-Resumen_Sprints!$E$9),0)</f>
        <v>0</v>
      </c>
      <c r="D24" s="23">
        <f t="array" ref="D24">IF(AND(D$4&gt;Resumen_Sprints!$E$9,D$4&lt;=Resumen_Sprints!$E$9+Resumen_Sprints!$D$9),INDEX('Sprint N°4'!$C$6:$P$6,D$4-Resumen_Sprints!$E$9),0)</f>
        <v>0</v>
      </c>
      <c r="E24" s="23">
        <f t="array" ref="E24">IF(AND(E$4&gt;Resumen_Sprints!$E$9,E$4&lt;=Resumen_Sprints!$E$9+Resumen_Sprints!$D$9),INDEX('Sprint N°4'!$C$6:$P$6,E$4-Resumen_Sprints!$E$9),0)</f>
        <v>0</v>
      </c>
      <c r="F24" s="23">
        <f t="array" ref="F24">IF(AND(F$4&gt;Resumen_Sprints!$E$9,F$4&lt;=Resumen_Sprints!$E$9+Resumen_Sprints!$D$9),INDEX('Sprint N°4'!$C$6:$P$6,F$4-Resumen_Sprints!$E$9),0)</f>
        <v>0</v>
      </c>
      <c r="G24" s="23">
        <f t="array" ref="G24">IF(AND(G$4&gt;Resumen_Sprints!$E$9,G$4&lt;=Resumen_Sprints!$E$9+Resumen_Sprints!$D$9),INDEX('Sprint N°4'!$C$6:$P$6,G$4-Resumen_Sprints!$E$9),0)</f>
        <v>0</v>
      </c>
      <c r="H24" s="23">
        <f t="array" ref="H24">IF(AND(H$4&gt;Resumen_Sprints!$E$9,H$4&lt;=Resumen_Sprints!$E$9+Resumen_Sprints!$D$9),INDEX('Sprint N°4'!$C$6:$P$6,H$4-Resumen_Sprints!$E$9),0)</f>
        <v>0</v>
      </c>
      <c r="I24" s="23">
        <f t="array" ref="I24">IF(AND(I$4&gt;Resumen_Sprints!$E$9,I$4&lt;=Resumen_Sprints!$E$9+Resumen_Sprints!$D$9),INDEX('Sprint N°4'!$C$6:$P$6,I$4-Resumen_Sprints!$E$9),0)</f>
        <v>0</v>
      </c>
      <c r="J24" s="23">
        <f t="array" ref="J24">IF(AND(J$4&gt;Resumen_Sprints!$E$9,J$4&lt;=Resumen_Sprints!$E$9+Resumen_Sprints!$D$9),INDEX('Sprint N°4'!$C$6:$P$6,J$4-Resumen_Sprints!$E$9),0)</f>
        <v>0</v>
      </c>
      <c r="K24" s="23">
        <f t="array" ref="K24">IF(AND(K$4&gt;Resumen_Sprints!$E$9,K$4&lt;=Resumen_Sprints!$E$9+Resumen_Sprints!$D$9),INDEX('Sprint N°4'!$C$6:$P$6,K$4-Resumen_Sprints!$E$9),0)</f>
        <v>0</v>
      </c>
      <c r="L24" s="23">
        <f t="array" ref="L24">IF(AND(L$4&gt;Resumen_Sprints!$E$9,L$4&lt;=Resumen_Sprints!$E$9+Resumen_Sprints!$D$9),INDEX('Sprint N°4'!$C$6:$P$6,L$4-Resumen_Sprints!$E$9),0)</f>
        <v>0</v>
      </c>
      <c r="M24" s="23">
        <f t="array" ref="M24">IF(AND(M$4&gt;Resumen_Sprints!$E$9,M$4&lt;=Resumen_Sprints!$E$9+Resumen_Sprints!$D$9),INDEX('Sprint N°4'!$C$6:$P$6,M$4-Resumen_Sprints!$E$9),0)</f>
        <v>0</v>
      </c>
      <c r="N24" s="23">
        <f t="array" ref="N24">IF(AND(N$4&gt;Resumen_Sprints!$E$9,N$4&lt;=Resumen_Sprints!$E$9+Resumen_Sprints!$D$9),INDEX('Sprint N°4'!$C$6:$P$6,N$4-Resumen_Sprints!$E$9),0)</f>
        <v>0</v>
      </c>
      <c r="O24" s="23">
        <f t="array" ref="O24">IF(AND(O$4&gt;Resumen_Sprints!$E$9,O$4&lt;=Resumen_Sprints!$E$9+Resumen_Sprints!$D$9),INDEX('Sprint N°4'!$C$6:$P$6,O$4-Resumen_Sprints!$E$9),0)</f>
        <v>0</v>
      </c>
      <c r="P24" s="23">
        <f t="array" ref="P24">IF(AND(P$4&gt;Resumen_Sprints!$E$9,P$4&lt;=Resumen_Sprints!$E$9+Resumen_Sprints!$D$9),INDEX('Sprint N°4'!$C$6:$P$6,P$4-Resumen_Sprints!$E$9),0)</f>
        <v>0</v>
      </c>
      <c r="Q24" s="23">
        <f t="array" ref="Q24">IF(AND(Q$4&gt;Resumen_Sprints!$E$9,Q$4&lt;=Resumen_Sprints!$E$9+Resumen_Sprints!$D$9),INDEX('Sprint N°4'!$C$6:$P$6,Q$4-Resumen_Sprints!$E$9),0)</f>
        <v>0</v>
      </c>
      <c r="R24" s="23">
        <f t="array" ref="R24">IF(AND(R$4&gt;Resumen_Sprints!$E$9,R$4&lt;=Resumen_Sprints!$E$9+Resumen_Sprints!$D$9),INDEX('Sprint N°4'!$C$6:$P$6,R$4-Resumen_Sprints!$E$9),0)</f>
        <v>0</v>
      </c>
      <c r="S24" s="23">
        <f t="array" ref="S24">IF(AND(S$4&gt;Resumen_Sprints!$E$9,S$4&lt;=Resumen_Sprints!$E$9+Resumen_Sprints!$D$9),INDEX('Sprint N°4'!$C$6:$P$6,S$4-Resumen_Sprints!$E$9),0)</f>
        <v>0</v>
      </c>
      <c r="T24" s="23">
        <f t="array" ref="T24">IF(AND(T$4&gt;Resumen_Sprints!$E$9,T$4&lt;=Resumen_Sprints!$E$9+Resumen_Sprints!$D$9),INDEX('Sprint N°4'!$C$6:$P$6,T$4-Resumen_Sprints!$E$9),0)</f>
        <v>0</v>
      </c>
      <c r="U24" s="23">
        <f t="array" ref="U24">IF(AND(U$4&gt;Resumen_Sprints!$E$9,U$4&lt;=Resumen_Sprints!$E$9+Resumen_Sprints!$D$9),INDEX('Sprint N°4'!$C$6:$P$6,U$4-Resumen_Sprints!$E$9),0)</f>
        <v>0</v>
      </c>
      <c r="V24" s="23">
        <f t="array" ref="V24">IF(AND(V$4&gt;Resumen_Sprints!$E$9,V$4&lt;=Resumen_Sprints!$E$9+Resumen_Sprints!$D$9),INDEX('Sprint N°4'!$C$6:$P$6,V$4-Resumen_Sprints!$E$9),0)</f>
        <v>0</v>
      </c>
      <c r="W24" s="23">
        <f t="array" ref="W24">IF(AND(W$4&gt;Resumen_Sprints!$E$9,W$4&lt;=Resumen_Sprints!$E$9+Resumen_Sprints!$D$9),INDEX('Sprint N°4'!$C$6:$P$6,W$4-Resumen_Sprints!$E$9),0)</f>
        <v>0</v>
      </c>
      <c r="X24" s="23">
        <f t="array" ref="X24">IF(AND(X$4&gt;Resumen_Sprints!$E$9,X$4&lt;=Resumen_Sprints!$E$9+Resumen_Sprints!$D$9),INDEX('Sprint N°4'!$C$6:$P$6,X$4-Resumen_Sprints!$E$9),0)</f>
        <v>0</v>
      </c>
      <c r="Y24" s="23">
        <f t="array" ref="Y24">IF(AND(Y$4&gt;Resumen_Sprints!$E$9,Y$4&lt;=Resumen_Sprints!$E$9+Resumen_Sprints!$D$9),INDEX('Sprint N°4'!$C$6:$P$6,Y$4-Resumen_Sprints!$E$9),0)</f>
        <v>0</v>
      </c>
      <c r="Z24" s="23">
        <f t="array" ref="Z24">IF(AND(Z$4&gt;Resumen_Sprints!$E$9,Z$4&lt;=Resumen_Sprints!$E$9+Resumen_Sprints!$D$9),INDEX('Sprint N°4'!$C$6:$P$6,Z$4-Resumen_Sprints!$E$9),0)</f>
        <v>0</v>
      </c>
      <c r="AA24" s="23">
        <f t="array" ref="AA24">IF(AND(AA$4&gt;Resumen_Sprints!$E$9,AA$4&lt;=Resumen_Sprints!$E$9+Resumen_Sprints!$D$9),INDEX('Sprint N°4'!$C$6:$P$6,AA$4-Resumen_Sprints!$E$9),0)</f>
        <v>0</v>
      </c>
      <c r="AB24" s="23">
        <f t="array" ref="AB24">IF(AND(AB$4&gt;Resumen_Sprints!$E$9,AB$4&lt;=Resumen_Sprints!$E$9+Resumen_Sprints!$D$9),INDEX('Sprint N°4'!$C$6:$P$6,AB$4-Resumen_Sprints!$E$9),0)</f>
        <v>0</v>
      </c>
      <c r="AC24" s="23">
        <f t="array" ref="AC24">IF(AND(AC$4&gt;Resumen_Sprints!$E$9,AC$4&lt;=Resumen_Sprints!$E$9+Resumen_Sprints!$D$9),INDEX('Sprint N°4'!$C$6:$P$6,AC$4-Resumen_Sprints!$E$9),0)</f>
        <v>0</v>
      </c>
      <c r="AD24" s="23">
        <f t="array" ref="AD24">IF(AND(AD$4&gt;Resumen_Sprints!$E$9,AD$4&lt;=Resumen_Sprints!$E$9+Resumen_Sprints!$D$9),INDEX('Sprint N°4'!$C$6:$P$6,AD$4-Resumen_Sprints!$E$9),0)</f>
        <v>1</v>
      </c>
      <c r="AE24" s="23" t="str">
        <f t="array" ref="AE24">IF(AND(AE$4&gt;Resumen_Sprints!$E$9,AE$4&lt;=Resumen_Sprints!$E$9+Resumen_Sprints!$D$9),INDEX('Sprint N°4'!$C$6:$P$6,AE$4-Resumen_Sprints!$E$9),0)</f>
        <v/>
      </c>
      <c r="AF24" s="23" t="str">
        <f t="array" ref="AF24">IF(AND(AF$4&gt;Resumen_Sprints!$E$9,AF$4&lt;=Resumen_Sprints!$E$9+Resumen_Sprints!$D$9),INDEX('Sprint N°4'!$C$6:$P$6,AF$4-Resumen_Sprints!$E$9),0)</f>
        <v/>
      </c>
      <c r="AG24" s="23" t="str">
        <f t="array" ref="AG24">IF(AND(AG$4&gt;Resumen_Sprints!$E$9,AG$4&lt;=Resumen_Sprints!$E$9+Resumen_Sprints!$D$9),INDEX('Sprint N°4'!$C$6:$P$6,AG$4-Resumen_Sprints!$E$9),0)</f>
        <v/>
      </c>
      <c r="AH24" s="23" t="str">
        <f t="array" ref="AH24">IF(AND(AH$4&gt;Resumen_Sprints!$E$9,AH$4&lt;=Resumen_Sprints!$E$9+Resumen_Sprints!$D$9),INDEX('Sprint N°4'!$C$6:$P$6,AH$4-Resumen_Sprints!$E$9),0)</f>
        <v/>
      </c>
      <c r="AI24" s="23" t="str">
        <f t="array" ref="AI24">IF(AND(AI$4&gt;Resumen_Sprints!$E$9,AI$4&lt;=Resumen_Sprints!$E$9+Resumen_Sprints!$D$9),INDEX('Sprint N°4'!$C$6:$P$6,AI$4-Resumen_Sprints!$E$9),0)</f>
        <v/>
      </c>
      <c r="AJ24" s="23" t="str">
        <f t="array" ref="AJ24">IF(AND(AJ$4&gt;Resumen_Sprints!$E$9,AJ$4&lt;=Resumen_Sprints!$E$9+Resumen_Sprints!$D$9),INDEX('Sprint N°4'!$C$6:$P$6,AJ$4-Resumen_Sprints!$E$9),0)</f>
        <v/>
      </c>
      <c r="AK24" s="23" t="str">
        <f t="array" ref="AK24">IF(AND(AK$4&gt;Resumen_Sprints!$E$9,AK$4&lt;=Resumen_Sprints!$E$9+Resumen_Sprints!$D$9),INDEX('Sprint N°4'!$C$6:$P$6,AK$4-Resumen_Sprints!$E$9),0)</f>
        <v/>
      </c>
      <c r="AL24" s="23" t="str">
        <f t="array" ref="AL24">IF(AND(AL$4&gt;Resumen_Sprints!$E$9,AL$4&lt;=Resumen_Sprints!$E$9+Resumen_Sprints!$D$9),INDEX('Sprint N°4'!$C$6:$P$6,AL$4-Resumen_Sprints!$E$9),0)</f>
        <v/>
      </c>
      <c r="AM24" s="23" t="str">
        <f t="array" ref="AM24">IF(AND(AM$4&gt;Resumen_Sprints!$E$9,AM$4&lt;=Resumen_Sprints!$E$9+Resumen_Sprints!$D$9),INDEX('Sprint N°4'!$C$6:$P$6,AM$4-Resumen_Sprints!$E$9),0)</f>
        <v/>
      </c>
      <c r="AN24" s="23" t="str">
        <f t="array" ref="AN24">IF(AND(AN$4&gt;Resumen_Sprints!$E$9,AN$4&lt;=Resumen_Sprints!$E$9+Resumen_Sprints!$D$9),INDEX('Sprint N°4'!$C$6:$P$6,AN$4-Resumen_Sprints!$E$9),0)</f>
        <v/>
      </c>
      <c r="AO24" s="23" t="str">
        <f t="array" ref="AO24">IF(AND(AO$4&gt;Resumen_Sprints!$E$9,AO$4&lt;=Resumen_Sprints!$E$9+Resumen_Sprints!$D$9),INDEX('Sprint N°4'!$C$6:$P$6,AO$4-Resumen_Sprints!$E$9),0)</f>
        <v/>
      </c>
      <c r="AP24" s="23" t="str">
        <f t="array" ref="AP24">IF(AND(AP$4&gt;Resumen_Sprints!$E$9,AP$4&lt;=Resumen_Sprints!$E$9+Resumen_Sprints!$D$9),INDEX('Sprint N°4'!$C$6:$P$6,AP$4-Resumen_Sprints!$E$9),0)</f>
        <v/>
      </c>
      <c r="AQ24" s="23" t="str">
        <f t="array" ref="AQ24">IF(AND(AQ$4&gt;Resumen_Sprints!$E$9,AQ$4&lt;=Resumen_Sprints!$E$9+Resumen_Sprints!$D$9),INDEX('Sprint N°4'!$C$6:$P$6,AQ$4-Resumen_Sprints!$E$9),0)</f>
        <v/>
      </c>
      <c r="AR24" s="23">
        <f t="array" ref="AR24">IF(AND(AR$4&gt;Resumen_Sprints!$E$9,AR$4&lt;=Resumen_Sprints!$E$9+Resumen_Sprints!$D$9),INDEX('Sprint N°4'!$C$6:$P$6,AR$4-Resumen_Sprints!$E$9),0)</f>
        <v>0</v>
      </c>
      <c r="AS24" s="23">
        <f t="array" ref="AS24">IF(AND(AS$4&gt;Resumen_Sprints!$E$9,AS$4&lt;=Resumen_Sprints!$E$9+Resumen_Sprints!$D$9),INDEX('Sprint N°4'!$C$6:$P$6,AS$4-Resumen_Sprints!$E$9),0)</f>
        <v>0</v>
      </c>
      <c r="AT24" s="23">
        <f t="array" ref="AT24">IF(AND(AT$4&gt;Resumen_Sprints!$E$9,AT$4&lt;=Resumen_Sprints!$E$9+Resumen_Sprints!$D$9),INDEX('Sprint N°4'!$C$6:$P$6,AT$4-Resumen_Sprints!$E$9),0)</f>
        <v>0</v>
      </c>
      <c r="AU24" s="23">
        <f t="array" ref="AU24">IF(AND(AU$4&gt;Resumen_Sprints!$E$9,AU$4&lt;=Resumen_Sprints!$E$9+Resumen_Sprints!$D$9),INDEX('Sprint N°4'!$C$6:$P$6,AU$4-Resumen_Sprints!$E$9),0)</f>
        <v>0</v>
      </c>
      <c r="AV24" s="23">
        <f t="array" ref="AV24">IF(AND(AV$4&gt;Resumen_Sprints!$E$9,AV$4&lt;=Resumen_Sprints!$E$9+Resumen_Sprints!$D$9),INDEX('Sprint N°4'!$C$6:$P$6,AV$4-Resumen_Sprints!$E$9),0)</f>
        <v>0</v>
      </c>
      <c r="AW24" s="23">
        <f t="array" ref="AW24">IF(AND(AW$4&gt;Resumen_Sprints!$E$9,AW$4&lt;=Resumen_Sprints!$E$9+Resumen_Sprints!$D$9),INDEX('Sprint N°4'!$C$6:$P$6,AW$4-Resumen_Sprints!$E$9),0)</f>
        <v>0</v>
      </c>
      <c r="AX24" s="23">
        <f t="array" ref="AX24">IF(AND(AX$4&gt;Resumen_Sprints!$E$9,AX$4&lt;=Resumen_Sprints!$E$9+Resumen_Sprints!$D$9),INDEX('Sprint N°4'!$C$6:$P$6,AX$4-Resumen_Sprints!$E$9),0)</f>
        <v>0</v>
      </c>
      <c r="AY24" s="23">
        <f t="array" ref="AY24">IF(AND(AY$4&gt;Resumen_Sprints!$E$9,AY$4&lt;=Resumen_Sprints!$E$9+Resumen_Sprints!$D$9),INDEX('Sprint N°4'!$C$6:$P$6,AY$4-Resumen_Sprints!$E$9),0)</f>
        <v>0</v>
      </c>
      <c r="AZ24" s="23">
        <f t="array" ref="AZ24">IF(AND(AZ$4&gt;Resumen_Sprints!$E$9,AZ$4&lt;=Resumen_Sprints!$E$9+Resumen_Sprints!$D$9),INDEX('Sprint N°4'!$C$6:$P$6,AZ$4-Resumen_Sprints!$E$9),0)</f>
        <v>0</v>
      </c>
      <c r="BA24" s="23">
        <f t="array" ref="BA24">IF(AND(BA$4&gt;Resumen_Sprints!$E$9,BA$4&lt;=Resumen_Sprints!$E$9+Resumen_Sprints!$D$9),INDEX('Sprint N°4'!$C$6:$P$6,BA$4-Resumen_Sprints!$E$9),0)</f>
        <v>0</v>
      </c>
      <c r="BB24" s="23">
        <f t="array" ref="BB24">IF(AND(BB$4&gt;Resumen_Sprints!$E$9,BB$4&lt;=Resumen_Sprints!$E$9+Resumen_Sprints!$D$9),INDEX('Sprint N°4'!$C$6:$P$6,BB$4-Resumen_Sprints!$E$9),0)</f>
        <v>0</v>
      </c>
      <c r="BC24" s="23">
        <f t="array" ref="BC24">IF(AND(BC$4&gt;Resumen_Sprints!$E$9,BC$4&lt;=Resumen_Sprints!$E$9+Resumen_Sprints!$D$9),INDEX('Sprint N°4'!$C$6:$P$6,BC$4-Resumen_Sprints!$E$9),0)</f>
        <v>0</v>
      </c>
      <c r="BD24" s="23">
        <f t="array" ref="BD24">IF(AND(BD$4&gt;Resumen_Sprints!$E$9,BD$4&lt;=Resumen_Sprints!$E$9+Resumen_Sprints!$D$9),INDEX('Sprint N°4'!$C$6:$P$6,BD$4-Resumen_Sprints!$E$9),0)</f>
        <v>0</v>
      </c>
      <c r="BE24" s="23">
        <f t="array" ref="BE24">IF(AND(BE$4&gt;Resumen_Sprints!$E$9,BE$4&lt;=Resumen_Sprints!$E$9+Resumen_Sprints!$D$9),INDEX('Sprint N°4'!$C$6:$P$6,BE$4-Resumen_Sprints!$E$9),0)</f>
        <v>0</v>
      </c>
      <c r="BF24" s="23">
        <f t="array" ref="BF24">IF(AND(BF$4&gt;Resumen_Sprints!$E$9,BF$4&lt;=Resumen_Sprints!$E$9+Resumen_Sprints!$D$9),INDEX('Sprint N°4'!$C$6:$P$6,BF$4-Resumen_Sprints!$E$9),0)</f>
        <v>0</v>
      </c>
      <c r="BG24" s="23">
        <f t="array" ref="BG24">IF(AND(BG$4&gt;Resumen_Sprints!$E$9,BG$4&lt;=Resumen_Sprints!$E$9+Resumen_Sprints!$D$9),INDEX('Sprint N°4'!$C$6:$P$6,BG$4-Resumen_Sprints!$E$9),0)</f>
        <v>0</v>
      </c>
      <c r="BH24" s="23">
        <f t="array" ref="BH24">IF(AND(BH$4&gt;Resumen_Sprints!$E$9,BH$4&lt;=Resumen_Sprints!$E$9+Resumen_Sprints!$D$9),INDEX('Sprint N°4'!$C$6:$P$6,BH$4-Resumen_Sprints!$E$9),0)</f>
        <v>0</v>
      </c>
      <c r="BI24" s="23">
        <f t="array" ref="BI24">IF(AND(BI$4&gt;Resumen_Sprints!$E$9,BI$4&lt;=Resumen_Sprints!$E$9+Resumen_Sprints!$D$9),INDEX('Sprint N°4'!$C$6:$P$6,BI$4-Resumen_Sprints!$E$9),0)</f>
        <v>0</v>
      </c>
      <c r="BJ24" s="23">
        <f t="array" ref="BJ24">IF(AND(BJ$4&gt;Resumen_Sprints!$E$9,BJ$4&lt;=Resumen_Sprints!$E$9+Resumen_Sprints!$D$9),INDEX('Sprint N°4'!$C$6:$P$6,BJ$4-Resumen_Sprints!$E$9),0)</f>
        <v>0</v>
      </c>
      <c r="BK24" s="23">
        <f t="array" ref="BK24">IF(AND(BK$4&gt;Resumen_Sprints!$E$9,BK$4&lt;=Resumen_Sprints!$E$9+Resumen_Sprints!$D$9),INDEX('Sprint N°4'!$C$6:$P$6,BK$4-Resumen_Sprints!$E$9),0)</f>
        <v>0</v>
      </c>
      <c r="BL24" s="23">
        <f t="array" ref="BL24">IF(AND(BL$4&gt;Resumen_Sprints!$E$9,BL$4&lt;=Resumen_Sprints!$E$9+Resumen_Sprints!$D$9),INDEX('Sprint N°4'!$C$6:$P$6,BL$4-Resumen_Sprints!$E$9),0)</f>
        <v>0</v>
      </c>
      <c r="BM24" s="23">
        <f t="array" ref="BM24">IF(AND(BM$4&gt;Resumen_Sprints!$E$9,BM$4&lt;=Resumen_Sprints!$E$9+Resumen_Sprints!$D$9),INDEX('Sprint N°4'!$C$6:$P$6,BM$4-Resumen_Sprints!$E$9),0)</f>
        <v>0</v>
      </c>
      <c r="BN24" s="23">
        <f t="array" ref="BN24">IF(AND(BN$4&gt;Resumen_Sprints!$E$9,BN$4&lt;=Resumen_Sprints!$E$9+Resumen_Sprints!$D$9),INDEX('Sprint N°4'!$C$6:$P$6,BN$4-Resumen_Sprints!$E$9),0)</f>
        <v>0</v>
      </c>
      <c r="BO24" s="23">
        <f t="array" ref="BO24">IF(AND(BO$4&gt;Resumen_Sprints!$E$9,BO$4&lt;=Resumen_Sprints!$E$9+Resumen_Sprints!$D$9),INDEX('Sprint N°4'!$C$6:$P$6,BO$4-Resumen_Sprints!$E$9),0)</f>
        <v>0</v>
      </c>
      <c r="BP24" s="23">
        <f t="array" ref="BP24">IF(AND(BP$4&gt;Resumen_Sprints!$E$9,BP$4&lt;=Resumen_Sprints!$E$9+Resumen_Sprints!$D$9),INDEX('Sprint N°4'!$C$6:$P$6,BP$4-Resumen_Sprints!$E$9),0)</f>
        <v>0</v>
      </c>
      <c r="BQ24" s="23">
        <f t="array" ref="BQ24">IF(AND(BQ$4&gt;Resumen_Sprints!$E$9,BQ$4&lt;=Resumen_Sprints!$E$9+Resumen_Sprints!$D$9),INDEX('Sprint N°4'!$C$6:$P$6,BQ$4-Resumen_Sprints!$E$9),0)</f>
        <v>0</v>
      </c>
      <c r="BR24" s="23">
        <f t="array" ref="BR24">IF(AND(BR$4&gt;Resumen_Sprints!$E$9,BR$4&lt;=Resumen_Sprints!$E$9+Resumen_Sprints!$D$9),INDEX('Sprint N°4'!$C$6:$P$6,BR$4-Resumen_Sprints!$E$9),0)</f>
        <v>0</v>
      </c>
      <c r="BS24" s="23">
        <f t="array" ref="BS24">IF(AND(BS$4&gt;Resumen_Sprints!$E$9,BS$4&lt;=Resumen_Sprints!$E$9+Resumen_Sprints!$D$9),INDEX('Sprint N°4'!$C$6:$P$6,BS$4-Resumen_Sprints!$E$9),0)</f>
        <v>0</v>
      </c>
      <c r="BT24" s="23">
        <f t="array" ref="BT24">IF(AND(BT$4&gt;Resumen_Sprints!$E$9,BT$4&lt;=Resumen_Sprints!$E$9+Resumen_Sprints!$D$9),INDEX('Sprint N°4'!$C$6:$P$6,BT$4-Resumen_Sprints!$E$9),0)</f>
        <v>0</v>
      </c>
      <c r="BU24" s="23">
        <f t="array" ref="BU24">IF(AND(BU$4&gt;Resumen_Sprints!$E$9,BU$4&lt;=Resumen_Sprints!$E$9+Resumen_Sprints!$D$9),INDEX('Sprint N°4'!$C$6:$P$6,BU$4-Resumen_Sprints!$E$9),0)</f>
        <v>0</v>
      </c>
      <c r="BV24" s="23">
        <f t="array" ref="BV24">IF(AND(BV$4&gt;Resumen_Sprints!$E$9,BV$4&lt;=Resumen_Sprints!$E$9+Resumen_Sprints!$D$9),INDEX('Sprint N°4'!$C$6:$P$6,BV$4-Resumen_Sprints!$E$9),0)</f>
        <v>0</v>
      </c>
      <c r="BW24" s="23">
        <f t="array" ref="BW24">IF(AND(BW$4&gt;Resumen_Sprints!$E$9,BW$4&lt;=Resumen_Sprints!$E$9+Resumen_Sprints!$D$9),INDEX('Sprint N°4'!$C$6:$P$6,BW$4-Resumen_Sprints!$E$9),0)</f>
        <v>0</v>
      </c>
      <c r="BX24" s="23">
        <f t="array" ref="BX24">IF(AND(BX$4&gt;Resumen_Sprints!$E$9,BX$4&lt;=Resumen_Sprints!$E$9+Resumen_Sprints!$D$9),INDEX('Sprint N°4'!$C$6:$P$6,BX$4-Resumen_Sprints!$E$9),0)</f>
        <v>0</v>
      </c>
      <c r="BY24" s="23">
        <f t="array" ref="BY24">IF(AND(BY$4&gt;Resumen_Sprints!$E$9,BY$4&lt;=Resumen_Sprints!$E$9+Resumen_Sprints!$D$9),INDEX('Sprint N°4'!$C$6:$P$6,BY$4-Resumen_Sprints!$E$9),0)</f>
        <v>0</v>
      </c>
      <c r="BZ24" s="23">
        <f t="array" ref="BZ24">IF(AND(BZ$4&gt;Resumen_Sprints!$E$9,BZ$4&lt;=Resumen_Sprints!$E$9+Resumen_Sprints!$D$9),INDEX('Sprint N°4'!$C$6:$P$6,BZ$4-Resumen_Sprints!$E$9),0)</f>
        <v>0</v>
      </c>
      <c r="CA24" s="23">
        <f t="array" ref="CA24">IF(AND(CA$4&gt;Resumen_Sprints!$E$9,CA$4&lt;=Resumen_Sprints!$E$9+Resumen_Sprints!$D$9),INDEX('Sprint N°4'!$C$6:$P$6,CA$4-Resumen_Sprints!$E$9),0)</f>
        <v>0</v>
      </c>
      <c r="CB24" s="23">
        <f t="array" ref="CB24">IF(AND(CB$4&gt;Resumen_Sprints!$E$9,CB$4&lt;=Resumen_Sprints!$E$9+Resumen_Sprints!$D$9),INDEX('Sprint N°4'!$C$6:$P$6,CB$4-Resumen_Sprints!$E$9),0)</f>
        <v>0</v>
      </c>
      <c r="CC24" s="23">
        <f t="array" ref="CC24">IF(AND(CC$4&gt;Resumen_Sprints!$E$9,CC$4&lt;=Resumen_Sprints!$E$9+Resumen_Sprints!$D$9),INDEX('Sprint N°4'!$C$6:$P$6,CC$4-Resumen_Sprints!$E$9),0)</f>
        <v>0</v>
      </c>
      <c r="CD24" s="23">
        <f t="array" ref="CD24">IF(AND(CD$4&gt;Resumen_Sprints!$E$9,CD$4&lt;=Resumen_Sprints!$E$9+Resumen_Sprints!$D$9),INDEX('Sprint N°4'!$C$6:$P$6,CD$4-Resumen_Sprints!$E$9),0)</f>
        <v>0</v>
      </c>
      <c r="CE24" s="23">
        <f t="array" ref="CE24">IF(AND(CE$4&gt;Resumen_Sprints!$E$9,CE$4&lt;=Resumen_Sprints!$E$9+Resumen_Sprints!$D$9),INDEX('Sprint N°4'!$C$6:$P$6,CE$4-Resumen_Sprints!$E$9),0)</f>
        <v>0</v>
      </c>
      <c r="CF24" s="23">
        <f t="array" ref="CF24">IF(AND(CF$4&gt;Resumen_Sprints!$E$9,CF$4&lt;=Resumen_Sprints!$E$9+Resumen_Sprints!$D$9),INDEX('Sprint N°4'!$C$6:$P$6,CF$4-Resumen_Sprints!$E$9),0)</f>
        <v>0</v>
      </c>
      <c r="CG24" s="23">
        <f t="array" ref="CG24">IF(AND(CG$4&gt;Resumen_Sprints!$E$9,CG$4&lt;=Resumen_Sprints!$E$9+Resumen_Sprints!$D$9),INDEX('Sprint N°4'!$C$6:$P$6,CG$4-Resumen_Sprints!$E$9),0)</f>
        <v>0</v>
      </c>
      <c r="CH24" s="23">
        <f t="array" ref="CH24">IF(AND(CH$4&gt;Resumen_Sprints!$E$9,CH$4&lt;=Resumen_Sprints!$E$9+Resumen_Sprints!$D$9),INDEX('Sprint N°4'!$C$6:$P$6,CH$4-Resumen_Sprints!$E$9),0)</f>
        <v>0</v>
      </c>
      <c r="CI24" s="23">
        <f t="array" ref="CI24">IF(AND(CI$4&gt;Resumen_Sprints!$E$9,CI$4&lt;=Resumen_Sprints!$E$9+Resumen_Sprints!$D$9),INDEX('Sprint N°4'!$C$6:$P$6,CI$4-Resumen_Sprints!$E$9),0)</f>
        <v>0</v>
      </c>
      <c r="CJ24" s="23">
        <f t="array" ref="CJ24">IF(AND(CJ$4&gt;Resumen_Sprints!$E$9,CJ$4&lt;=Resumen_Sprints!$E$9+Resumen_Sprints!$D$9),INDEX('Sprint N°4'!$C$6:$P$6,CJ$4-Resumen_Sprints!$E$9),0)</f>
        <v>0</v>
      </c>
      <c r="CK24" s="23">
        <f t="array" ref="CK24">IF(AND(CK$4&gt;Resumen_Sprints!$E$9,CK$4&lt;=Resumen_Sprints!$E$9+Resumen_Sprints!$D$9),INDEX('Sprint N°4'!$C$6:$P$6,CK$4-Resumen_Sprints!$E$9),0)</f>
        <v>0</v>
      </c>
      <c r="CL24" s="23">
        <f t="array" ref="CL24">IF(AND(CL$4&gt;Resumen_Sprints!$E$9,CL$4&lt;=Resumen_Sprints!$E$9+Resumen_Sprints!$D$9),INDEX('Sprint N°4'!$C$6:$P$6,CL$4-Resumen_Sprints!$E$9),0)</f>
        <v>0</v>
      </c>
      <c r="CM24" s="23">
        <f t="array" ref="CM24">IF(AND(CM$4&gt;Resumen_Sprints!$E$9,CM$4&lt;=Resumen_Sprints!$E$9+Resumen_Sprints!$D$9),INDEX('Sprint N°4'!$C$6:$P$6,CM$4-Resumen_Sprints!$E$9),0)</f>
        <v>0</v>
      </c>
      <c r="CN24" s="23">
        <f t="array" ref="CN24">IF(AND(CN$4&gt;Resumen_Sprints!$E$9,CN$4&lt;=Resumen_Sprints!$E$9+Resumen_Sprints!$D$9),INDEX('Sprint N°4'!$C$6:$P$6,CN$4-Resumen_Sprints!$E$9),0)</f>
        <v>0</v>
      </c>
      <c r="CO24" s="23">
        <f t="array" ref="CO24">IF(AND(CO$4&gt;Resumen_Sprints!$E$9,CO$4&lt;=Resumen_Sprints!$E$9+Resumen_Sprints!$D$9),INDEX('Sprint N°4'!$C$6:$P$6,CO$4-Resumen_Sprints!$E$9),0)</f>
        <v>0</v>
      </c>
      <c r="CP24" s="23">
        <f t="array" ref="CP24">IF(AND(CP$4&gt;Resumen_Sprints!$E$9,CP$4&lt;=Resumen_Sprints!$E$9+Resumen_Sprints!$D$9),INDEX('Sprint N°4'!$C$6:$P$6,CP$4-Resumen_Sprints!$E$9),0)</f>
        <v>0</v>
      </c>
      <c r="CQ24" s="23">
        <f t="array" ref="CQ24">IF(AND(CQ$4&gt;Resumen_Sprints!$E$9,CQ$4&lt;=Resumen_Sprints!$E$9+Resumen_Sprints!$D$9),INDEX('Sprint N°4'!$C$6:$P$6,CQ$4-Resumen_Sprints!$E$9),0)</f>
        <v>0</v>
      </c>
      <c r="CR24" s="23">
        <f t="array" ref="CR24">IF(AND(CR$4&gt;Resumen_Sprints!$E$9,CR$4&lt;=Resumen_Sprints!$E$9+Resumen_Sprints!$D$9),INDEX('Sprint N°4'!$C$6:$P$6,CR$4-Resumen_Sprints!$E$9),0)</f>
        <v>0</v>
      </c>
      <c r="CS24" s="23">
        <f t="array" ref="CS24">IF(AND(CS$4&gt;Resumen_Sprints!$E$9,CS$4&lt;=Resumen_Sprints!$E$9+Resumen_Sprints!$D$9),INDEX('Sprint N°4'!$C$6:$P$6,CS$4-Resumen_Sprints!$E$9),0)</f>
        <v>0</v>
      </c>
      <c r="CT24" s="23">
        <f t="array" ref="CT24">IF(AND(CT$4&gt;Resumen_Sprints!$E$9,CT$4&lt;=Resumen_Sprints!$E$9+Resumen_Sprints!$D$9),INDEX('Sprint N°4'!$C$6:$P$6,CT$4-Resumen_Sprints!$E$9),0)</f>
        <v>0</v>
      </c>
      <c r="CU24" s="25">
        <f t="shared" ref="CU24:CU27" si="4">SUM(C24:CT24)</f>
        <v>1</v>
      </c>
    </row>
    <row r="25" ht="14.25" customHeight="1">
      <c r="A25" s="11" t="str">
        <f>'Sprint N°4'!A7</f>
        <v>Algoritmo de Cubicación (cálculo de materiales)</v>
      </c>
      <c r="B25" s="11">
        <f>'Sprint N°4'!B7</f>
        <v>39</v>
      </c>
      <c r="C25" s="23">
        <f t="array" ref="C25">IF(AND(C$4&gt;Resumen_Sprints!$E$9,C$4&lt;=Resumen_Sprints!$E$9+Resumen_Sprints!$D$9),INDEX('Sprint N°4'!$C$7:$P$7,C$4-Resumen_Sprints!$E$9),0)</f>
        <v>0</v>
      </c>
      <c r="D25" s="23">
        <f t="array" ref="D25">IF(AND(D$4&gt;Resumen_Sprints!$E$9,D$4&lt;=Resumen_Sprints!$E$9+Resumen_Sprints!$D$9),INDEX('Sprint N°4'!$C$7:$P$7,D$4-Resumen_Sprints!$E$9),0)</f>
        <v>0</v>
      </c>
      <c r="E25" s="23">
        <f t="array" ref="E25">IF(AND(E$4&gt;Resumen_Sprints!$E$9,E$4&lt;=Resumen_Sprints!$E$9+Resumen_Sprints!$D$9),INDEX('Sprint N°4'!$C$7:$P$7,E$4-Resumen_Sprints!$E$9),0)</f>
        <v>0</v>
      </c>
      <c r="F25" s="23">
        <f t="array" ref="F25">IF(AND(F$4&gt;Resumen_Sprints!$E$9,F$4&lt;=Resumen_Sprints!$E$9+Resumen_Sprints!$D$9),INDEX('Sprint N°4'!$C$7:$P$7,F$4-Resumen_Sprints!$E$9),0)</f>
        <v>0</v>
      </c>
      <c r="G25" s="23">
        <f t="array" ref="G25">IF(AND(G$4&gt;Resumen_Sprints!$E$9,G$4&lt;=Resumen_Sprints!$E$9+Resumen_Sprints!$D$9),INDEX('Sprint N°4'!$C$7:$P$7,G$4-Resumen_Sprints!$E$9),0)</f>
        <v>0</v>
      </c>
      <c r="H25" s="23">
        <f t="array" ref="H25">IF(AND(H$4&gt;Resumen_Sprints!$E$9,H$4&lt;=Resumen_Sprints!$E$9+Resumen_Sprints!$D$9),INDEX('Sprint N°4'!$C$7:$P$7,H$4-Resumen_Sprints!$E$9),0)</f>
        <v>0</v>
      </c>
      <c r="I25" s="23">
        <f t="array" ref="I25">IF(AND(I$4&gt;Resumen_Sprints!$E$9,I$4&lt;=Resumen_Sprints!$E$9+Resumen_Sprints!$D$9),INDEX('Sprint N°4'!$C$7:$P$7,I$4-Resumen_Sprints!$E$9),0)</f>
        <v>0</v>
      </c>
      <c r="J25" s="23">
        <f t="array" ref="J25">IF(AND(J$4&gt;Resumen_Sprints!$E$9,J$4&lt;=Resumen_Sprints!$E$9+Resumen_Sprints!$D$9),INDEX('Sprint N°4'!$C$7:$P$7,J$4-Resumen_Sprints!$E$9),0)</f>
        <v>0</v>
      </c>
      <c r="K25" s="23">
        <f t="array" ref="K25">IF(AND(K$4&gt;Resumen_Sprints!$E$9,K$4&lt;=Resumen_Sprints!$E$9+Resumen_Sprints!$D$9),INDEX('Sprint N°4'!$C$7:$P$7,K$4-Resumen_Sprints!$E$9),0)</f>
        <v>0</v>
      </c>
      <c r="L25" s="23">
        <f t="array" ref="L25">IF(AND(L$4&gt;Resumen_Sprints!$E$9,L$4&lt;=Resumen_Sprints!$E$9+Resumen_Sprints!$D$9),INDEX('Sprint N°4'!$C$7:$P$7,L$4-Resumen_Sprints!$E$9),0)</f>
        <v>0</v>
      </c>
      <c r="M25" s="23">
        <f t="array" ref="M25">IF(AND(M$4&gt;Resumen_Sprints!$E$9,M$4&lt;=Resumen_Sprints!$E$9+Resumen_Sprints!$D$9),INDEX('Sprint N°4'!$C$7:$P$7,M$4-Resumen_Sprints!$E$9),0)</f>
        <v>0</v>
      </c>
      <c r="N25" s="23">
        <f t="array" ref="N25">IF(AND(N$4&gt;Resumen_Sprints!$E$9,N$4&lt;=Resumen_Sprints!$E$9+Resumen_Sprints!$D$9),INDEX('Sprint N°4'!$C$7:$P$7,N$4-Resumen_Sprints!$E$9),0)</f>
        <v>0</v>
      </c>
      <c r="O25" s="23">
        <f t="array" ref="O25">IF(AND(O$4&gt;Resumen_Sprints!$E$9,O$4&lt;=Resumen_Sprints!$E$9+Resumen_Sprints!$D$9),INDEX('Sprint N°4'!$C$7:$P$7,O$4-Resumen_Sprints!$E$9),0)</f>
        <v>0</v>
      </c>
      <c r="P25" s="23">
        <f t="array" ref="P25">IF(AND(P$4&gt;Resumen_Sprints!$E$9,P$4&lt;=Resumen_Sprints!$E$9+Resumen_Sprints!$D$9),INDEX('Sprint N°4'!$C$7:$P$7,P$4-Resumen_Sprints!$E$9),0)</f>
        <v>0</v>
      </c>
      <c r="Q25" s="23">
        <f t="array" ref="Q25">IF(AND(Q$4&gt;Resumen_Sprints!$E$9,Q$4&lt;=Resumen_Sprints!$E$9+Resumen_Sprints!$D$9),INDEX('Sprint N°4'!$C$7:$P$7,Q$4-Resumen_Sprints!$E$9),0)</f>
        <v>0</v>
      </c>
      <c r="R25" s="23">
        <f t="array" ref="R25">IF(AND(R$4&gt;Resumen_Sprints!$E$9,R$4&lt;=Resumen_Sprints!$E$9+Resumen_Sprints!$D$9),INDEX('Sprint N°4'!$C$7:$P$7,R$4-Resumen_Sprints!$E$9),0)</f>
        <v>0</v>
      </c>
      <c r="S25" s="23">
        <f t="array" ref="S25">IF(AND(S$4&gt;Resumen_Sprints!$E$9,S$4&lt;=Resumen_Sprints!$E$9+Resumen_Sprints!$D$9),INDEX('Sprint N°4'!$C$7:$P$7,S$4-Resumen_Sprints!$E$9),0)</f>
        <v>0</v>
      </c>
      <c r="T25" s="23">
        <f t="array" ref="T25">IF(AND(T$4&gt;Resumen_Sprints!$E$9,T$4&lt;=Resumen_Sprints!$E$9+Resumen_Sprints!$D$9),INDEX('Sprint N°4'!$C$7:$P$7,T$4-Resumen_Sprints!$E$9),0)</f>
        <v>0</v>
      </c>
      <c r="U25" s="23">
        <f t="array" ref="U25">IF(AND(U$4&gt;Resumen_Sprints!$E$9,U$4&lt;=Resumen_Sprints!$E$9+Resumen_Sprints!$D$9),INDEX('Sprint N°4'!$C$7:$P$7,U$4-Resumen_Sprints!$E$9),0)</f>
        <v>0</v>
      </c>
      <c r="V25" s="23">
        <f t="array" ref="V25">IF(AND(V$4&gt;Resumen_Sprints!$E$9,V$4&lt;=Resumen_Sprints!$E$9+Resumen_Sprints!$D$9),INDEX('Sprint N°4'!$C$7:$P$7,V$4-Resumen_Sprints!$E$9),0)</f>
        <v>0</v>
      </c>
      <c r="W25" s="23">
        <f t="array" ref="W25">IF(AND(W$4&gt;Resumen_Sprints!$E$9,W$4&lt;=Resumen_Sprints!$E$9+Resumen_Sprints!$D$9),INDEX('Sprint N°4'!$C$7:$P$7,W$4-Resumen_Sprints!$E$9),0)</f>
        <v>0</v>
      </c>
      <c r="X25" s="23">
        <f t="array" ref="X25">IF(AND(X$4&gt;Resumen_Sprints!$E$9,X$4&lt;=Resumen_Sprints!$E$9+Resumen_Sprints!$D$9),INDEX('Sprint N°4'!$C$7:$P$7,X$4-Resumen_Sprints!$E$9),0)</f>
        <v>0</v>
      </c>
      <c r="Y25" s="23">
        <f t="array" ref="Y25">IF(AND(Y$4&gt;Resumen_Sprints!$E$9,Y$4&lt;=Resumen_Sprints!$E$9+Resumen_Sprints!$D$9),INDEX('Sprint N°4'!$C$7:$P$7,Y$4-Resumen_Sprints!$E$9),0)</f>
        <v>0</v>
      </c>
      <c r="Z25" s="23">
        <f t="array" ref="Z25">IF(AND(Z$4&gt;Resumen_Sprints!$E$9,Z$4&lt;=Resumen_Sprints!$E$9+Resumen_Sprints!$D$9),INDEX('Sprint N°4'!$C$7:$P$7,Z$4-Resumen_Sprints!$E$9),0)</f>
        <v>0</v>
      </c>
      <c r="AA25" s="23">
        <f t="array" ref="AA25">IF(AND(AA$4&gt;Resumen_Sprints!$E$9,AA$4&lt;=Resumen_Sprints!$E$9+Resumen_Sprints!$D$9),INDEX('Sprint N°4'!$C$7:$P$7,AA$4-Resumen_Sprints!$E$9),0)</f>
        <v>0</v>
      </c>
      <c r="AB25" s="23">
        <f t="array" ref="AB25">IF(AND(AB$4&gt;Resumen_Sprints!$E$9,AB$4&lt;=Resumen_Sprints!$E$9+Resumen_Sprints!$D$9),INDEX('Sprint N°4'!$C$7:$P$7,AB$4-Resumen_Sprints!$E$9),0)</f>
        <v>0</v>
      </c>
      <c r="AC25" s="23">
        <f t="array" ref="AC25">IF(AND(AC$4&gt;Resumen_Sprints!$E$9,AC$4&lt;=Resumen_Sprints!$E$9+Resumen_Sprints!$D$9),INDEX('Sprint N°4'!$C$7:$P$7,AC$4-Resumen_Sprints!$E$9),0)</f>
        <v>0</v>
      </c>
      <c r="AD25" s="23">
        <f t="array" ref="AD25">IF(AND(AD$4&gt;Resumen_Sprints!$E$9,AD$4&lt;=Resumen_Sprints!$E$9+Resumen_Sprints!$D$9),INDEX('Sprint N°4'!$C$7:$P$7,AD$4-Resumen_Sprints!$E$9),0)</f>
        <v>4</v>
      </c>
      <c r="AE25" s="23">
        <f t="array" ref="AE25">IF(AND(AE$4&gt;Resumen_Sprints!$E$9,AE$4&lt;=Resumen_Sprints!$E$9+Resumen_Sprints!$D$9),INDEX('Sprint N°4'!$C$7:$P$7,AE$4-Resumen_Sprints!$E$9),0)</f>
        <v>5</v>
      </c>
      <c r="AF25" s="23">
        <f t="array" ref="AF25">IF(AND(AF$4&gt;Resumen_Sprints!$E$9,AF$4&lt;=Resumen_Sprints!$E$9+Resumen_Sprints!$D$9),INDEX('Sprint N°4'!$C$7:$P$7,AF$4-Resumen_Sprints!$E$9),0)</f>
        <v>5</v>
      </c>
      <c r="AG25" s="23">
        <f t="array" ref="AG25">IF(AND(AG$4&gt;Resumen_Sprints!$E$9,AG$4&lt;=Resumen_Sprints!$E$9+Resumen_Sprints!$D$9),INDEX('Sprint N°4'!$C$7:$P$7,AG$4-Resumen_Sprints!$E$9),0)</f>
        <v>7</v>
      </c>
      <c r="AH25" s="23">
        <f t="array" ref="AH25">IF(AND(AH$4&gt;Resumen_Sprints!$E$9,AH$4&lt;=Resumen_Sprints!$E$9+Resumen_Sprints!$D$9),INDEX('Sprint N°4'!$C$7:$P$7,AH$4-Resumen_Sprints!$E$9),0)</f>
        <v>6</v>
      </c>
      <c r="AI25" s="23">
        <f t="array" ref="AI25">IF(AND(AI$4&gt;Resumen_Sprints!$E$9,AI$4&lt;=Resumen_Sprints!$E$9+Resumen_Sprints!$D$9),INDEX('Sprint N°4'!$C$7:$P$7,AI$4-Resumen_Sprints!$E$9),0)</f>
        <v>7</v>
      </c>
      <c r="AJ25" s="23">
        <f t="array" ref="AJ25">IF(AND(AJ$4&gt;Resumen_Sprints!$E$9,AJ$4&lt;=Resumen_Sprints!$E$9+Resumen_Sprints!$D$9),INDEX('Sprint N°4'!$C$7:$P$7,AJ$4-Resumen_Sprints!$E$9),0)</f>
        <v>4</v>
      </c>
      <c r="AK25" s="23" t="str">
        <f t="array" ref="AK25">IF(AND(AK$4&gt;Resumen_Sprints!$E$9,AK$4&lt;=Resumen_Sprints!$E$9+Resumen_Sprints!$D$9),INDEX('Sprint N°4'!$C$7:$P$7,AK$4-Resumen_Sprints!$E$9),0)</f>
        <v/>
      </c>
      <c r="AL25" s="23" t="str">
        <f t="array" ref="AL25">IF(AND(AL$4&gt;Resumen_Sprints!$E$9,AL$4&lt;=Resumen_Sprints!$E$9+Resumen_Sprints!$D$9),INDEX('Sprint N°4'!$C$7:$P$7,AL$4-Resumen_Sprints!$E$9),0)</f>
        <v/>
      </c>
      <c r="AM25" s="23" t="str">
        <f t="array" ref="AM25">IF(AND(AM$4&gt;Resumen_Sprints!$E$9,AM$4&lt;=Resumen_Sprints!$E$9+Resumen_Sprints!$D$9),INDEX('Sprint N°4'!$C$7:$P$7,AM$4-Resumen_Sprints!$E$9),0)</f>
        <v/>
      </c>
      <c r="AN25" s="23" t="str">
        <f t="array" ref="AN25">IF(AND(AN$4&gt;Resumen_Sprints!$E$9,AN$4&lt;=Resumen_Sprints!$E$9+Resumen_Sprints!$D$9),INDEX('Sprint N°4'!$C$7:$P$7,AN$4-Resumen_Sprints!$E$9),0)</f>
        <v/>
      </c>
      <c r="AO25" s="23" t="str">
        <f t="array" ref="AO25">IF(AND(AO$4&gt;Resumen_Sprints!$E$9,AO$4&lt;=Resumen_Sprints!$E$9+Resumen_Sprints!$D$9),INDEX('Sprint N°4'!$C$7:$P$7,AO$4-Resumen_Sprints!$E$9),0)</f>
        <v/>
      </c>
      <c r="AP25" s="23" t="str">
        <f t="array" ref="AP25">IF(AND(AP$4&gt;Resumen_Sprints!$E$9,AP$4&lt;=Resumen_Sprints!$E$9+Resumen_Sprints!$D$9),INDEX('Sprint N°4'!$C$7:$P$7,AP$4-Resumen_Sprints!$E$9),0)</f>
        <v/>
      </c>
      <c r="AQ25" s="23" t="str">
        <f t="array" ref="AQ25">IF(AND(AQ$4&gt;Resumen_Sprints!$E$9,AQ$4&lt;=Resumen_Sprints!$E$9+Resumen_Sprints!$D$9),INDEX('Sprint N°4'!$C$7:$P$7,AQ$4-Resumen_Sprints!$E$9),0)</f>
        <v/>
      </c>
      <c r="AR25" s="23">
        <f t="array" ref="AR25">IF(AND(AR$4&gt;Resumen_Sprints!$E$9,AR$4&lt;=Resumen_Sprints!$E$9+Resumen_Sprints!$D$9),INDEX('Sprint N°4'!$C$7:$P$7,AR$4-Resumen_Sprints!$E$9),0)</f>
        <v>0</v>
      </c>
      <c r="AS25" s="23">
        <f t="array" ref="AS25">IF(AND(AS$4&gt;Resumen_Sprints!$E$9,AS$4&lt;=Resumen_Sprints!$E$9+Resumen_Sprints!$D$9),INDEX('Sprint N°4'!$C$7:$P$7,AS$4-Resumen_Sprints!$E$9),0)</f>
        <v>0</v>
      </c>
      <c r="AT25" s="23">
        <f t="array" ref="AT25">IF(AND(AT$4&gt;Resumen_Sprints!$E$9,AT$4&lt;=Resumen_Sprints!$E$9+Resumen_Sprints!$D$9),INDEX('Sprint N°4'!$C$7:$P$7,AT$4-Resumen_Sprints!$E$9),0)</f>
        <v>0</v>
      </c>
      <c r="AU25" s="23">
        <f t="array" ref="AU25">IF(AND(AU$4&gt;Resumen_Sprints!$E$9,AU$4&lt;=Resumen_Sprints!$E$9+Resumen_Sprints!$D$9),INDEX('Sprint N°4'!$C$7:$P$7,AU$4-Resumen_Sprints!$E$9),0)</f>
        <v>0</v>
      </c>
      <c r="AV25" s="23">
        <f t="array" ref="AV25">IF(AND(AV$4&gt;Resumen_Sprints!$E$9,AV$4&lt;=Resumen_Sprints!$E$9+Resumen_Sprints!$D$9),INDEX('Sprint N°4'!$C$7:$P$7,AV$4-Resumen_Sprints!$E$9),0)</f>
        <v>0</v>
      </c>
      <c r="AW25" s="23">
        <f t="array" ref="AW25">IF(AND(AW$4&gt;Resumen_Sprints!$E$9,AW$4&lt;=Resumen_Sprints!$E$9+Resumen_Sprints!$D$9),INDEX('Sprint N°4'!$C$7:$P$7,AW$4-Resumen_Sprints!$E$9),0)</f>
        <v>0</v>
      </c>
      <c r="AX25" s="23">
        <f t="array" ref="AX25">IF(AND(AX$4&gt;Resumen_Sprints!$E$9,AX$4&lt;=Resumen_Sprints!$E$9+Resumen_Sprints!$D$9),INDEX('Sprint N°4'!$C$7:$P$7,AX$4-Resumen_Sprints!$E$9),0)</f>
        <v>0</v>
      </c>
      <c r="AY25" s="23">
        <f t="array" ref="AY25">IF(AND(AY$4&gt;Resumen_Sprints!$E$9,AY$4&lt;=Resumen_Sprints!$E$9+Resumen_Sprints!$D$9),INDEX('Sprint N°4'!$C$7:$P$7,AY$4-Resumen_Sprints!$E$9),0)</f>
        <v>0</v>
      </c>
      <c r="AZ25" s="23">
        <f t="array" ref="AZ25">IF(AND(AZ$4&gt;Resumen_Sprints!$E$9,AZ$4&lt;=Resumen_Sprints!$E$9+Resumen_Sprints!$D$9),INDEX('Sprint N°4'!$C$7:$P$7,AZ$4-Resumen_Sprints!$E$9),0)</f>
        <v>0</v>
      </c>
      <c r="BA25" s="23">
        <f t="array" ref="BA25">IF(AND(BA$4&gt;Resumen_Sprints!$E$9,BA$4&lt;=Resumen_Sprints!$E$9+Resumen_Sprints!$D$9),INDEX('Sprint N°4'!$C$7:$P$7,BA$4-Resumen_Sprints!$E$9),0)</f>
        <v>0</v>
      </c>
      <c r="BB25" s="23">
        <f t="array" ref="BB25">IF(AND(BB$4&gt;Resumen_Sprints!$E$9,BB$4&lt;=Resumen_Sprints!$E$9+Resumen_Sprints!$D$9),INDEX('Sprint N°4'!$C$7:$P$7,BB$4-Resumen_Sprints!$E$9),0)</f>
        <v>0</v>
      </c>
      <c r="BC25" s="23">
        <f t="array" ref="BC25">IF(AND(BC$4&gt;Resumen_Sprints!$E$9,BC$4&lt;=Resumen_Sprints!$E$9+Resumen_Sprints!$D$9),INDEX('Sprint N°4'!$C$7:$P$7,BC$4-Resumen_Sprints!$E$9),0)</f>
        <v>0</v>
      </c>
      <c r="BD25" s="23">
        <f t="array" ref="BD25">IF(AND(BD$4&gt;Resumen_Sprints!$E$9,BD$4&lt;=Resumen_Sprints!$E$9+Resumen_Sprints!$D$9),INDEX('Sprint N°4'!$C$7:$P$7,BD$4-Resumen_Sprints!$E$9),0)</f>
        <v>0</v>
      </c>
      <c r="BE25" s="23">
        <f t="array" ref="BE25">IF(AND(BE$4&gt;Resumen_Sprints!$E$9,BE$4&lt;=Resumen_Sprints!$E$9+Resumen_Sprints!$D$9),INDEX('Sprint N°4'!$C$7:$P$7,BE$4-Resumen_Sprints!$E$9),0)</f>
        <v>0</v>
      </c>
      <c r="BF25" s="23">
        <f t="array" ref="BF25">IF(AND(BF$4&gt;Resumen_Sprints!$E$9,BF$4&lt;=Resumen_Sprints!$E$9+Resumen_Sprints!$D$9),INDEX('Sprint N°4'!$C$7:$P$7,BF$4-Resumen_Sprints!$E$9),0)</f>
        <v>0</v>
      </c>
      <c r="BG25" s="23">
        <f t="array" ref="BG25">IF(AND(BG$4&gt;Resumen_Sprints!$E$9,BG$4&lt;=Resumen_Sprints!$E$9+Resumen_Sprints!$D$9),INDEX('Sprint N°4'!$C$7:$P$7,BG$4-Resumen_Sprints!$E$9),0)</f>
        <v>0</v>
      </c>
      <c r="BH25" s="23">
        <f t="array" ref="BH25">IF(AND(BH$4&gt;Resumen_Sprints!$E$9,BH$4&lt;=Resumen_Sprints!$E$9+Resumen_Sprints!$D$9),INDEX('Sprint N°4'!$C$7:$P$7,BH$4-Resumen_Sprints!$E$9),0)</f>
        <v>0</v>
      </c>
      <c r="BI25" s="23">
        <f t="array" ref="BI25">IF(AND(BI$4&gt;Resumen_Sprints!$E$9,BI$4&lt;=Resumen_Sprints!$E$9+Resumen_Sprints!$D$9),INDEX('Sprint N°4'!$C$7:$P$7,BI$4-Resumen_Sprints!$E$9),0)</f>
        <v>0</v>
      </c>
      <c r="BJ25" s="23">
        <f t="array" ref="BJ25">IF(AND(BJ$4&gt;Resumen_Sprints!$E$9,BJ$4&lt;=Resumen_Sprints!$E$9+Resumen_Sprints!$D$9),INDEX('Sprint N°4'!$C$7:$P$7,BJ$4-Resumen_Sprints!$E$9),0)</f>
        <v>0</v>
      </c>
      <c r="BK25" s="23">
        <f t="array" ref="BK25">IF(AND(BK$4&gt;Resumen_Sprints!$E$9,BK$4&lt;=Resumen_Sprints!$E$9+Resumen_Sprints!$D$9),INDEX('Sprint N°4'!$C$7:$P$7,BK$4-Resumen_Sprints!$E$9),0)</f>
        <v>0</v>
      </c>
      <c r="BL25" s="23">
        <f t="array" ref="BL25">IF(AND(BL$4&gt;Resumen_Sprints!$E$9,BL$4&lt;=Resumen_Sprints!$E$9+Resumen_Sprints!$D$9),INDEX('Sprint N°4'!$C$7:$P$7,BL$4-Resumen_Sprints!$E$9),0)</f>
        <v>0</v>
      </c>
      <c r="BM25" s="23">
        <f t="array" ref="BM25">IF(AND(BM$4&gt;Resumen_Sprints!$E$9,BM$4&lt;=Resumen_Sprints!$E$9+Resumen_Sprints!$D$9),INDEX('Sprint N°4'!$C$7:$P$7,BM$4-Resumen_Sprints!$E$9),0)</f>
        <v>0</v>
      </c>
      <c r="BN25" s="23">
        <f t="array" ref="BN25">IF(AND(BN$4&gt;Resumen_Sprints!$E$9,BN$4&lt;=Resumen_Sprints!$E$9+Resumen_Sprints!$D$9),INDEX('Sprint N°4'!$C$7:$P$7,BN$4-Resumen_Sprints!$E$9),0)</f>
        <v>0</v>
      </c>
      <c r="BO25" s="23">
        <f t="array" ref="BO25">IF(AND(BO$4&gt;Resumen_Sprints!$E$9,BO$4&lt;=Resumen_Sprints!$E$9+Resumen_Sprints!$D$9),INDEX('Sprint N°4'!$C$7:$P$7,BO$4-Resumen_Sprints!$E$9),0)</f>
        <v>0</v>
      </c>
      <c r="BP25" s="23">
        <f t="array" ref="BP25">IF(AND(BP$4&gt;Resumen_Sprints!$E$9,BP$4&lt;=Resumen_Sprints!$E$9+Resumen_Sprints!$D$9),INDEX('Sprint N°4'!$C$7:$P$7,BP$4-Resumen_Sprints!$E$9),0)</f>
        <v>0</v>
      </c>
      <c r="BQ25" s="23">
        <f t="array" ref="BQ25">IF(AND(BQ$4&gt;Resumen_Sprints!$E$9,BQ$4&lt;=Resumen_Sprints!$E$9+Resumen_Sprints!$D$9),INDEX('Sprint N°4'!$C$7:$P$7,BQ$4-Resumen_Sprints!$E$9),0)</f>
        <v>0</v>
      </c>
      <c r="BR25" s="23">
        <f t="array" ref="BR25">IF(AND(BR$4&gt;Resumen_Sprints!$E$9,BR$4&lt;=Resumen_Sprints!$E$9+Resumen_Sprints!$D$9),INDEX('Sprint N°4'!$C$7:$P$7,BR$4-Resumen_Sprints!$E$9),0)</f>
        <v>0</v>
      </c>
      <c r="BS25" s="23">
        <f t="array" ref="BS25">IF(AND(BS$4&gt;Resumen_Sprints!$E$9,BS$4&lt;=Resumen_Sprints!$E$9+Resumen_Sprints!$D$9),INDEX('Sprint N°4'!$C$7:$P$7,BS$4-Resumen_Sprints!$E$9),0)</f>
        <v>0</v>
      </c>
      <c r="BT25" s="23">
        <f t="array" ref="BT25">IF(AND(BT$4&gt;Resumen_Sprints!$E$9,BT$4&lt;=Resumen_Sprints!$E$9+Resumen_Sprints!$D$9),INDEX('Sprint N°4'!$C$7:$P$7,BT$4-Resumen_Sprints!$E$9),0)</f>
        <v>0</v>
      </c>
      <c r="BU25" s="23">
        <f t="array" ref="BU25">IF(AND(BU$4&gt;Resumen_Sprints!$E$9,BU$4&lt;=Resumen_Sprints!$E$9+Resumen_Sprints!$D$9),INDEX('Sprint N°4'!$C$7:$P$7,BU$4-Resumen_Sprints!$E$9),0)</f>
        <v>0</v>
      </c>
      <c r="BV25" s="23">
        <f t="array" ref="BV25">IF(AND(BV$4&gt;Resumen_Sprints!$E$9,BV$4&lt;=Resumen_Sprints!$E$9+Resumen_Sprints!$D$9),INDEX('Sprint N°4'!$C$7:$P$7,BV$4-Resumen_Sprints!$E$9),0)</f>
        <v>0</v>
      </c>
      <c r="BW25" s="23">
        <f t="array" ref="BW25">IF(AND(BW$4&gt;Resumen_Sprints!$E$9,BW$4&lt;=Resumen_Sprints!$E$9+Resumen_Sprints!$D$9),INDEX('Sprint N°4'!$C$7:$P$7,BW$4-Resumen_Sprints!$E$9),0)</f>
        <v>0</v>
      </c>
      <c r="BX25" s="23">
        <f t="array" ref="BX25">IF(AND(BX$4&gt;Resumen_Sprints!$E$9,BX$4&lt;=Resumen_Sprints!$E$9+Resumen_Sprints!$D$9),INDEX('Sprint N°4'!$C$7:$P$7,BX$4-Resumen_Sprints!$E$9),0)</f>
        <v>0</v>
      </c>
      <c r="BY25" s="23">
        <f t="array" ref="BY25">IF(AND(BY$4&gt;Resumen_Sprints!$E$9,BY$4&lt;=Resumen_Sprints!$E$9+Resumen_Sprints!$D$9),INDEX('Sprint N°4'!$C$7:$P$7,BY$4-Resumen_Sprints!$E$9),0)</f>
        <v>0</v>
      </c>
      <c r="BZ25" s="23">
        <f t="array" ref="BZ25">IF(AND(BZ$4&gt;Resumen_Sprints!$E$9,BZ$4&lt;=Resumen_Sprints!$E$9+Resumen_Sprints!$D$9),INDEX('Sprint N°4'!$C$7:$P$7,BZ$4-Resumen_Sprints!$E$9),0)</f>
        <v>0</v>
      </c>
      <c r="CA25" s="23">
        <f t="array" ref="CA25">IF(AND(CA$4&gt;Resumen_Sprints!$E$9,CA$4&lt;=Resumen_Sprints!$E$9+Resumen_Sprints!$D$9),INDEX('Sprint N°4'!$C$7:$P$7,CA$4-Resumen_Sprints!$E$9),0)</f>
        <v>0</v>
      </c>
      <c r="CB25" s="23">
        <f t="array" ref="CB25">IF(AND(CB$4&gt;Resumen_Sprints!$E$9,CB$4&lt;=Resumen_Sprints!$E$9+Resumen_Sprints!$D$9),INDEX('Sprint N°4'!$C$7:$P$7,CB$4-Resumen_Sprints!$E$9),0)</f>
        <v>0</v>
      </c>
      <c r="CC25" s="23">
        <f t="array" ref="CC25">IF(AND(CC$4&gt;Resumen_Sprints!$E$9,CC$4&lt;=Resumen_Sprints!$E$9+Resumen_Sprints!$D$9),INDEX('Sprint N°4'!$C$7:$P$7,CC$4-Resumen_Sprints!$E$9),0)</f>
        <v>0</v>
      </c>
      <c r="CD25" s="23">
        <f t="array" ref="CD25">IF(AND(CD$4&gt;Resumen_Sprints!$E$9,CD$4&lt;=Resumen_Sprints!$E$9+Resumen_Sprints!$D$9),INDEX('Sprint N°4'!$C$7:$P$7,CD$4-Resumen_Sprints!$E$9),0)</f>
        <v>0</v>
      </c>
      <c r="CE25" s="23">
        <f t="array" ref="CE25">IF(AND(CE$4&gt;Resumen_Sprints!$E$9,CE$4&lt;=Resumen_Sprints!$E$9+Resumen_Sprints!$D$9),INDEX('Sprint N°4'!$C$7:$P$7,CE$4-Resumen_Sprints!$E$9),0)</f>
        <v>0</v>
      </c>
      <c r="CF25" s="23">
        <f t="array" ref="CF25">IF(AND(CF$4&gt;Resumen_Sprints!$E$9,CF$4&lt;=Resumen_Sprints!$E$9+Resumen_Sprints!$D$9),INDEX('Sprint N°4'!$C$7:$P$7,CF$4-Resumen_Sprints!$E$9),0)</f>
        <v>0</v>
      </c>
      <c r="CG25" s="23">
        <f t="array" ref="CG25">IF(AND(CG$4&gt;Resumen_Sprints!$E$9,CG$4&lt;=Resumen_Sprints!$E$9+Resumen_Sprints!$D$9),INDEX('Sprint N°4'!$C$7:$P$7,CG$4-Resumen_Sprints!$E$9),0)</f>
        <v>0</v>
      </c>
      <c r="CH25" s="23">
        <f t="array" ref="CH25">IF(AND(CH$4&gt;Resumen_Sprints!$E$9,CH$4&lt;=Resumen_Sprints!$E$9+Resumen_Sprints!$D$9),INDEX('Sprint N°4'!$C$7:$P$7,CH$4-Resumen_Sprints!$E$9),0)</f>
        <v>0</v>
      </c>
      <c r="CI25" s="23">
        <f t="array" ref="CI25">IF(AND(CI$4&gt;Resumen_Sprints!$E$9,CI$4&lt;=Resumen_Sprints!$E$9+Resumen_Sprints!$D$9),INDEX('Sprint N°4'!$C$7:$P$7,CI$4-Resumen_Sprints!$E$9),0)</f>
        <v>0</v>
      </c>
      <c r="CJ25" s="23">
        <f t="array" ref="CJ25">IF(AND(CJ$4&gt;Resumen_Sprints!$E$9,CJ$4&lt;=Resumen_Sprints!$E$9+Resumen_Sprints!$D$9),INDEX('Sprint N°4'!$C$7:$P$7,CJ$4-Resumen_Sprints!$E$9),0)</f>
        <v>0</v>
      </c>
      <c r="CK25" s="23">
        <f t="array" ref="CK25">IF(AND(CK$4&gt;Resumen_Sprints!$E$9,CK$4&lt;=Resumen_Sprints!$E$9+Resumen_Sprints!$D$9),INDEX('Sprint N°4'!$C$7:$P$7,CK$4-Resumen_Sprints!$E$9),0)</f>
        <v>0</v>
      </c>
      <c r="CL25" s="23">
        <f t="array" ref="CL25">IF(AND(CL$4&gt;Resumen_Sprints!$E$9,CL$4&lt;=Resumen_Sprints!$E$9+Resumen_Sprints!$D$9),INDEX('Sprint N°4'!$C$7:$P$7,CL$4-Resumen_Sprints!$E$9),0)</f>
        <v>0</v>
      </c>
      <c r="CM25" s="23">
        <f t="array" ref="CM25">IF(AND(CM$4&gt;Resumen_Sprints!$E$9,CM$4&lt;=Resumen_Sprints!$E$9+Resumen_Sprints!$D$9),INDEX('Sprint N°4'!$C$7:$P$7,CM$4-Resumen_Sprints!$E$9),0)</f>
        <v>0</v>
      </c>
      <c r="CN25" s="23">
        <f t="array" ref="CN25">IF(AND(CN$4&gt;Resumen_Sprints!$E$9,CN$4&lt;=Resumen_Sprints!$E$9+Resumen_Sprints!$D$9),INDEX('Sprint N°4'!$C$7:$P$7,CN$4-Resumen_Sprints!$E$9),0)</f>
        <v>0</v>
      </c>
      <c r="CO25" s="23">
        <f t="array" ref="CO25">IF(AND(CO$4&gt;Resumen_Sprints!$E$9,CO$4&lt;=Resumen_Sprints!$E$9+Resumen_Sprints!$D$9),INDEX('Sprint N°4'!$C$7:$P$7,CO$4-Resumen_Sprints!$E$9),0)</f>
        <v>0</v>
      </c>
      <c r="CP25" s="23">
        <f t="array" ref="CP25">IF(AND(CP$4&gt;Resumen_Sprints!$E$9,CP$4&lt;=Resumen_Sprints!$E$9+Resumen_Sprints!$D$9),INDEX('Sprint N°4'!$C$7:$P$7,CP$4-Resumen_Sprints!$E$9),0)</f>
        <v>0</v>
      </c>
      <c r="CQ25" s="23">
        <f t="array" ref="CQ25">IF(AND(CQ$4&gt;Resumen_Sprints!$E$9,CQ$4&lt;=Resumen_Sprints!$E$9+Resumen_Sprints!$D$9),INDEX('Sprint N°4'!$C$7:$P$7,CQ$4-Resumen_Sprints!$E$9),0)</f>
        <v>0</v>
      </c>
      <c r="CR25" s="23">
        <f t="array" ref="CR25">IF(AND(CR$4&gt;Resumen_Sprints!$E$9,CR$4&lt;=Resumen_Sprints!$E$9+Resumen_Sprints!$D$9),INDEX('Sprint N°4'!$C$7:$P$7,CR$4-Resumen_Sprints!$E$9),0)</f>
        <v>0</v>
      </c>
      <c r="CS25" s="23">
        <f t="array" ref="CS25">IF(AND(CS$4&gt;Resumen_Sprints!$E$9,CS$4&lt;=Resumen_Sprints!$E$9+Resumen_Sprints!$D$9),INDEX('Sprint N°4'!$C$7:$P$7,CS$4-Resumen_Sprints!$E$9),0)</f>
        <v>0</v>
      </c>
      <c r="CT25" s="23">
        <f t="array" ref="CT25">IF(AND(CT$4&gt;Resumen_Sprints!$E$9,CT$4&lt;=Resumen_Sprints!$E$9+Resumen_Sprints!$D$9),INDEX('Sprint N°4'!$C$7:$P$7,CT$4-Resumen_Sprints!$E$9),0)</f>
        <v>0</v>
      </c>
      <c r="CU25" s="25">
        <f t="shared" si="4"/>
        <v>38</v>
      </c>
    </row>
    <row r="26" ht="14.25" customHeight="1">
      <c r="A26" s="11" t="str">
        <f>'Sprint N°4'!A8</f>
        <v>Ajuste a Presupuesto Máximo del Usuario</v>
      </c>
      <c r="B26" s="11">
        <f>'Sprint N°4'!B8</f>
        <v>36</v>
      </c>
      <c r="C26" s="23">
        <f t="array" ref="C26">IF(AND(C$4&gt;Resumen_Sprints!$E$9,C$4&lt;=Resumen_Sprints!$E$9+Resumen_Sprints!$D$9),INDEX('Sprint N°4'!$C$8:$P$8,C$4-Resumen_Sprints!$E$9),0)</f>
        <v>0</v>
      </c>
      <c r="D26" s="23">
        <f t="array" ref="D26">IF(AND(D$4&gt;Resumen_Sprints!$E$9,D$4&lt;=Resumen_Sprints!$E$9+Resumen_Sprints!$D$9),INDEX('Sprint N°4'!$C$8:$P$8,D$4-Resumen_Sprints!$E$9),0)</f>
        <v>0</v>
      </c>
      <c r="E26" s="23">
        <f t="array" ref="E26">IF(AND(E$4&gt;Resumen_Sprints!$E$9,E$4&lt;=Resumen_Sprints!$E$9+Resumen_Sprints!$D$9),INDEX('Sprint N°4'!$C$8:$P$8,E$4-Resumen_Sprints!$E$9),0)</f>
        <v>0</v>
      </c>
      <c r="F26" s="23">
        <f t="array" ref="F26">IF(AND(F$4&gt;Resumen_Sprints!$E$9,F$4&lt;=Resumen_Sprints!$E$9+Resumen_Sprints!$D$9),INDEX('Sprint N°4'!$C$8:$P$8,F$4-Resumen_Sprints!$E$9),0)</f>
        <v>0</v>
      </c>
      <c r="G26" s="23">
        <f t="array" ref="G26">IF(AND(G$4&gt;Resumen_Sprints!$E$9,G$4&lt;=Resumen_Sprints!$E$9+Resumen_Sprints!$D$9),INDEX('Sprint N°4'!$C$8:$P$8,G$4-Resumen_Sprints!$E$9),0)</f>
        <v>0</v>
      </c>
      <c r="H26" s="23">
        <f t="array" ref="H26">IF(AND(H$4&gt;Resumen_Sprints!$E$9,H$4&lt;=Resumen_Sprints!$E$9+Resumen_Sprints!$D$9),INDEX('Sprint N°4'!$C$8:$P$8,H$4-Resumen_Sprints!$E$9),0)</f>
        <v>0</v>
      </c>
      <c r="I26" s="23">
        <f t="array" ref="I26">IF(AND(I$4&gt;Resumen_Sprints!$E$9,I$4&lt;=Resumen_Sprints!$E$9+Resumen_Sprints!$D$9),INDEX('Sprint N°4'!$C$8:$P$8,I$4-Resumen_Sprints!$E$9),0)</f>
        <v>0</v>
      </c>
      <c r="J26" s="23">
        <f t="array" ref="J26">IF(AND(J$4&gt;Resumen_Sprints!$E$9,J$4&lt;=Resumen_Sprints!$E$9+Resumen_Sprints!$D$9),INDEX('Sprint N°4'!$C$8:$P$8,J$4-Resumen_Sprints!$E$9),0)</f>
        <v>0</v>
      </c>
      <c r="K26" s="23">
        <f t="array" ref="K26">IF(AND(K$4&gt;Resumen_Sprints!$E$9,K$4&lt;=Resumen_Sprints!$E$9+Resumen_Sprints!$D$9),INDEX('Sprint N°4'!$C$8:$P$8,K$4-Resumen_Sprints!$E$9),0)</f>
        <v>0</v>
      </c>
      <c r="L26" s="23">
        <f t="array" ref="L26">IF(AND(L$4&gt;Resumen_Sprints!$E$9,L$4&lt;=Resumen_Sprints!$E$9+Resumen_Sprints!$D$9),INDEX('Sprint N°4'!$C$8:$P$8,L$4-Resumen_Sprints!$E$9),0)</f>
        <v>0</v>
      </c>
      <c r="M26" s="23">
        <f t="array" ref="M26">IF(AND(M$4&gt;Resumen_Sprints!$E$9,M$4&lt;=Resumen_Sprints!$E$9+Resumen_Sprints!$D$9),INDEX('Sprint N°4'!$C$8:$P$8,M$4-Resumen_Sprints!$E$9),0)</f>
        <v>0</v>
      </c>
      <c r="N26" s="23">
        <f t="array" ref="N26">IF(AND(N$4&gt;Resumen_Sprints!$E$9,N$4&lt;=Resumen_Sprints!$E$9+Resumen_Sprints!$D$9),INDEX('Sprint N°4'!$C$8:$P$8,N$4-Resumen_Sprints!$E$9),0)</f>
        <v>0</v>
      </c>
      <c r="O26" s="23">
        <f t="array" ref="O26">IF(AND(O$4&gt;Resumen_Sprints!$E$9,O$4&lt;=Resumen_Sprints!$E$9+Resumen_Sprints!$D$9),INDEX('Sprint N°4'!$C$8:$P$8,O$4-Resumen_Sprints!$E$9),0)</f>
        <v>0</v>
      </c>
      <c r="P26" s="23">
        <f t="array" ref="P26">IF(AND(P$4&gt;Resumen_Sprints!$E$9,P$4&lt;=Resumen_Sprints!$E$9+Resumen_Sprints!$D$9),INDEX('Sprint N°4'!$C$8:$P$8,P$4-Resumen_Sprints!$E$9),0)</f>
        <v>0</v>
      </c>
      <c r="Q26" s="23">
        <f t="array" ref="Q26">IF(AND(Q$4&gt;Resumen_Sprints!$E$9,Q$4&lt;=Resumen_Sprints!$E$9+Resumen_Sprints!$D$9),INDEX('Sprint N°4'!$C$8:$P$8,Q$4-Resumen_Sprints!$E$9),0)</f>
        <v>0</v>
      </c>
      <c r="R26" s="23">
        <f t="array" ref="R26">IF(AND(R$4&gt;Resumen_Sprints!$E$9,R$4&lt;=Resumen_Sprints!$E$9+Resumen_Sprints!$D$9),INDEX('Sprint N°4'!$C$8:$P$8,R$4-Resumen_Sprints!$E$9),0)</f>
        <v>0</v>
      </c>
      <c r="S26" s="23">
        <f t="array" ref="S26">IF(AND(S$4&gt;Resumen_Sprints!$E$9,S$4&lt;=Resumen_Sprints!$E$9+Resumen_Sprints!$D$9),INDEX('Sprint N°4'!$C$8:$P$8,S$4-Resumen_Sprints!$E$9),0)</f>
        <v>0</v>
      </c>
      <c r="T26" s="23">
        <f t="array" ref="T26">IF(AND(T$4&gt;Resumen_Sprints!$E$9,T$4&lt;=Resumen_Sprints!$E$9+Resumen_Sprints!$D$9),INDEX('Sprint N°4'!$C$8:$P$8,T$4-Resumen_Sprints!$E$9),0)</f>
        <v>0</v>
      </c>
      <c r="U26" s="23">
        <f t="array" ref="U26">IF(AND(U$4&gt;Resumen_Sprints!$E$9,U$4&lt;=Resumen_Sprints!$E$9+Resumen_Sprints!$D$9),INDEX('Sprint N°4'!$C$8:$P$8,U$4-Resumen_Sprints!$E$9),0)</f>
        <v>0</v>
      </c>
      <c r="V26" s="23">
        <f t="array" ref="V26">IF(AND(V$4&gt;Resumen_Sprints!$E$9,V$4&lt;=Resumen_Sprints!$E$9+Resumen_Sprints!$D$9),INDEX('Sprint N°4'!$C$8:$P$8,V$4-Resumen_Sprints!$E$9),0)</f>
        <v>0</v>
      </c>
      <c r="W26" s="23">
        <f t="array" ref="W26">IF(AND(W$4&gt;Resumen_Sprints!$E$9,W$4&lt;=Resumen_Sprints!$E$9+Resumen_Sprints!$D$9),INDEX('Sprint N°4'!$C$8:$P$8,W$4-Resumen_Sprints!$E$9),0)</f>
        <v>0</v>
      </c>
      <c r="X26" s="23">
        <f t="array" ref="X26">IF(AND(X$4&gt;Resumen_Sprints!$E$9,X$4&lt;=Resumen_Sprints!$E$9+Resumen_Sprints!$D$9),INDEX('Sprint N°4'!$C$8:$P$8,X$4-Resumen_Sprints!$E$9),0)</f>
        <v>0</v>
      </c>
      <c r="Y26" s="23">
        <f t="array" ref="Y26">IF(AND(Y$4&gt;Resumen_Sprints!$E$9,Y$4&lt;=Resumen_Sprints!$E$9+Resumen_Sprints!$D$9),INDEX('Sprint N°4'!$C$8:$P$8,Y$4-Resumen_Sprints!$E$9),0)</f>
        <v>0</v>
      </c>
      <c r="Z26" s="23">
        <f t="array" ref="Z26">IF(AND(Z$4&gt;Resumen_Sprints!$E$9,Z$4&lt;=Resumen_Sprints!$E$9+Resumen_Sprints!$D$9),INDEX('Sprint N°4'!$C$8:$P$8,Z$4-Resumen_Sprints!$E$9),0)</f>
        <v>0</v>
      </c>
      <c r="AA26" s="23">
        <f t="array" ref="AA26">IF(AND(AA$4&gt;Resumen_Sprints!$E$9,AA$4&lt;=Resumen_Sprints!$E$9+Resumen_Sprints!$D$9),INDEX('Sprint N°4'!$C$8:$P$8,AA$4-Resumen_Sprints!$E$9),0)</f>
        <v>0</v>
      </c>
      <c r="AB26" s="23">
        <f t="array" ref="AB26">IF(AND(AB$4&gt;Resumen_Sprints!$E$9,AB$4&lt;=Resumen_Sprints!$E$9+Resumen_Sprints!$D$9),INDEX('Sprint N°4'!$C$8:$P$8,AB$4-Resumen_Sprints!$E$9),0)</f>
        <v>0</v>
      </c>
      <c r="AC26" s="23">
        <f t="array" ref="AC26">IF(AND(AC$4&gt;Resumen_Sprints!$E$9,AC$4&lt;=Resumen_Sprints!$E$9+Resumen_Sprints!$D$9),INDEX('Sprint N°4'!$C$8:$P$8,AC$4-Resumen_Sprints!$E$9),0)</f>
        <v>0</v>
      </c>
      <c r="AD26" s="23" t="str">
        <f t="array" ref="AD26">IF(AND(AD$4&gt;Resumen_Sprints!$E$9,AD$4&lt;=Resumen_Sprints!$E$9+Resumen_Sprints!$D$9),INDEX('Sprint N°4'!$C$8:$P$8,AD$4-Resumen_Sprints!$E$9),0)</f>
        <v/>
      </c>
      <c r="AE26" s="23" t="str">
        <f t="array" ref="AE26">IF(AND(AE$4&gt;Resumen_Sprints!$E$9,AE$4&lt;=Resumen_Sprints!$E$9+Resumen_Sprints!$D$9),INDEX('Sprint N°4'!$C$8:$P$8,AE$4-Resumen_Sprints!$E$9),0)</f>
        <v/>
      </c>
      <c r="AF26" s="23" t="str">
        <f t="array" ref="AF26">IF(AND(AF$4&gt;Resumen_Sprints!$E$9,AF$4&lt;=Resumen_Sprints!$E$9+Resumen_Sprints!$D$9),INDEX('Sprint N°4'!$C$8:$P$8,AF$4-Resumen_Sprints!$E$9),0)</f>
        <v/>
      </c>
      <c r="AG26" s="23" t="str">
        <f t="array" ref="AG26">IF(AND(AG$4&gt;Resumen_Sprints!$E$9,AG$4&lt;=Resumen_Sprints!$E$9+Resumen_Sprints!$D$9),INDEX('Sprint N°4'!$C$8:$P$8,AG$4-Resumen_Sprints!$E$9),0)</f>
        <v/>
      </c>
      <c r="AH26" s="23" t="str">
        <f t="array" ref="AH26">IF(AND(AH$4&gt;Resumen_Sprints!$E$9,AH$4&lt;=Resumen_Sprints!$E$9+Resumen_Sprints!$D$9),INDEX('Sprint N°4'!$C$8:$P$8,AH$4-Resumen_Sprints!$E$9),0)</f>
        <v/>
      </c>
      <c r="AI26" s="23" t="str">
        <f t="array" ref="AI26">IF(AND(AI$4&gt;Resumen_Sprints!$E$9,AI$4&lt;=Resumen_Sprints!$E$9+Resumen_Sprints!$D$9),INDEX('Sprint N°4'!$C$8:$P$8,AI$4-Resumen_Sprints!$E$9),0)</f>
        <v/>
      </c>
      <c r="AJ26" s="23">
        <f t="array" ref="AJ26">IF(AND(AJ$4&gt;Resumen_Sprints!$E$9,AJ$4&lt;=Resumen_Sprints!$E$9+Resumen_Sprints!$D$9),INDEX('Sprint N°4'!$C$8:$P$8,AJ$4-Resumen_Sprints!$E$9),0)</f>
        <v>3</v>
      </c>
      <c r="AK26" s="23">
        <f t="array" ref="AK26">IF(AND(AK$4&gt;Resumen_Sprints!$E$9,AK$4&lt;=Resumen_Sprints!$E$9+Resumen_Sprints!$D$9),INDEX('Sprint N°4'!$C$8:$P$8,AK$4-Resumen_Sprints!$E$9),0)</f>
        <v>7</v>
      </c>
      <c r="AL26" s="23">
        <f t="array" ref="AL26">IF(AND(AL$4&gt;Resumen_Sprints!$E$9,AL$4&lt;=Resumen_Sprints!$E$9+Resumen_Sprints!$D$9),INDEX('Sprint N°4'!$C$8:$P$8,AL$4-Resumen_Sprints!$E$9),0)</f>
        <v>6</v>
      </c>
      <c r="AM26" s="23">
        <f t="array" ref="AM26">IF(AND(AM$4&gt;Resumen_Sprints!$E$9,AM$4&lt;=Resumen_Sprints!$E$9+Resumen_Sprints!$D$9),INDEX('Sprint N°4'!$C$8:$P$8,AM$4-Resumen_Sprints!$E$9),0)</f>
        <v>8</v>
      </c>
      <c r="AN26" s="23">
        <f t="array" ref="AN26">IF(AND(AN$4&gt;Resumen_Sprints!$E$9,AN$4&lt;=Resumen_Sprints!$E$9+Resumen_Sprints!$D$9),INDEX('Sprint N°4'!$C$8:$P$8,AN$4-Resumen_Sprints!$E$9),0)</f>
        <v>7</v>
      </c>
      <c r="AO26" s="23">
        <f t="array" ref="AO26">IF(AND(AO$4&gt;Resumen_Sprints!$E$9,AO$4&lt;=Resumen_Sprints!$E$9+Resumen_Sprints!$D$9),INDEX('Sprint N°4'!$C$8:$P$8,AO$4-Resumen_Sprints!$E$9),0)</f>
        <v>5</v>
      </c>
      <c r="AP26" s="23" t="str">
        <f t="array" ref="AP26">IF(AND(AP$4&gt;Resumen_Sprints!$E$9,AP$4&lt;=Resumen_Sprints!$E$9+Resumen_Sprints!$D$9),INDEX('Sprint N°4'!$C$8:$P$8,AP$4-Resumen_Sprints!$E$9),0)</f>
        <v/>
      </c>
      <c r="AQ26" s="23" t="str">
        <f t="array" ref="AQ26">IF(AND(AQ$4&gt;Resumen_Sprints!$E$9,AQ$4&lt;=Resumen_Sprints!$E$9+Resumen_Sprints!$D$9),INDEX('Sprint N°4'!$C$8:$P$8,AQ$4-Resumen_Sprints!$E$9),0)</f>
        <v/>
      </c>
      <c r="AR26" s="23">
        <f t="array" ref="AR26">IF(AND(AR$4&gt;Resumen_Sprints!$E$9,AR$4&lt;=Resumen_Sprints!$E$9+Resumen_Sprints!$D$9),INDEX('Sprint N°4'!$C$8:$P$8,AR$4-Resumen_Sprints!$E$9),0)</f>
        <v>0</v>
      </c>
      <c r="AS26" s="23">
        <f t="array" ref="AS26">IF(AND(AS$4&gt;Resumen_Sprints!$E$9,AS$4&lt;=Resumen_Sprints!$E$9+Resumen_Sprints!$D$9),INDEX('Sprint N°4'!$C$8:$P$8,AS$4-Resumen_Sprints!$E$9),0)</f>
        <v>0</v>
      </c>
      <c r="AT26" s="23">
        <f t="array" ref="AT26">IF(AND(AT$4&gt;Resumen_Sprints!$E$9,AT$4&lt;=Resumen_Sprints!$E$9+Resumen_Sprints!$D$9),INDEX('Sprint N°4'!$C$8:$P$8,AT$4-Resumen_Sprints!$E$9),0)</f>
        <v>0</v>
      </c>
      <c r="AU26" s="23">
        <f t="array" ref="AU26">IF(AND(AU$4&gt;Resumen_Sprints!$E$9,AU$4&lt;=Resumen_Sprints!$E$9+Resumen_Sprints!$D$9),INDEX('Sprint N°4'!$C$8:$P$8,AU$4-Resumen_Sprints!$E$9),0)</f>
        <v>0</v>
      </c>
      <c r="AV26" s="23">
        <f t="array" ref="AV26">IF(AND(AV$4&gt;Resumen_Sprints!$E$9,AV$4&lt;=Resumen_Sprints!$E$9+Resumen_Sprints!$D$9),INDEX('Sprint N°4'!$C$8:$P$8,AV$4-Resumen_Sprints!$E$9),0)</f>
        <v>0</v>
      </c>
      <c r="AW26" s="23">
        <f t="array" ref="AW26">IF(AND(AW$4&gt;Resumen_Sprints!$E$9,AW$4&lt;=Resumen_Sprints!$E$9+Resumen_Sprints!$D$9),INDEX('Sprint N°4'!$C$8:$P$8,AW$4-Resumen_Sprints!$E$9),0)</f>
        <v>0</v>
      </c>
      <c r="AX26" s="23">
        <f t="array" ref="AX26">IF(AND(AX$4&gt;Resumen_Sprints!$E$9,AX$4&lt;=Resumen_Sprints!$E$9+Resumen_Sprints!$D$9),INDEX('Sprint N°4'!$C$8:$P$8,AX$4-Resumen_Sprints!$E$9),0)</f>
        <v>0</v>
      </c>
      <c r="AY26" s="23">
        <f t="array" ref="AY26">IF(AND(AY$4&gt;Resumen_Sprints!$E$9,AY$4&lt;=Resumen_Sprints!$E$9+Resumen_Sprints!$D$9),INDEX('Sprint N°4'!$C$8:$P$8,AY$4-Resumen_Sprints!$E$9),0)</f>
        <v>0</v>
      </c>
      <c r="AZ26" s="23">
        <f t="array" ref="AZ26">IF(AND(AZ$4&gt;Resumen_Sprints!$E$9,AZ$4&lt;=Resumen_Sprints!$E$9+Resumen_Sprints!$D$9),INDEX('Sprint N°4'!$C$8:$P$8,AZ$4-Resumen_Sprints!$E$9),0)</f>
        <v>0</v>
      </c>
      <c r="BA26" s="23">
        <f t="array" ref="BA26">IF(AND(BA$4&gt;Resumen_Sprints!$E$9,BA$4&lt;=Resumen_Sprints!$E$9+Resumen_Sprints!$D$9),INDEX('Sprint N°4'!$C$8:$P$8,BA$4-Resumen_Sprints!$E$9),0)</f>
        <v>0</v>
      </c>
      <c r="BB26" s="23">
        <f t="array" ref="BB26">IF(AND(BB$4&gt;Resumen_Sprints!$E$9,BB$4&lt;=Resumen_Sprints!$E$9+Resumen_Sprints!$D$9),INDEX('Sprint N°4'!$C$8:$P$8,BB$4-Resumen_Sprints!$E$9),0)</f>
        <v>0</v>
      </c>
      <c r="BC26" s="23">
        <f t="array" ref="BC26">IF(AND(BC$4&gt;Resumen_Sprints!$E$9,BC$4&lt;=Resumen_Sprints!$E$9+Resumen_Sprints!$D$9),INDEX('Sprint N°4'!$C$8:$P$8,BC$4-Resumen_Sprints!$E$9),0)</f>
        <v>0</v>
      </c>
      <c r="BD26" s="23">
        <f t="array" ref="BD26">IF(AND(BD$4&gt;Resumen_Sprints!$E$9,BD$4&lt;=Resumen_Sprints!$E$9+Resumen_Sprints!$D$9),INDEX('Sprint N°4'!$C$8:$P$8,BD$4-Resumen_Sprints!$E$9),0)</f>
        <v>0</v>
      </c>
      <c r="BE26" s="23">
        <f t="array" ref="BE26">IF(AND(BE$4&gt;Resumen_Sprints!$E$9,BE$4&lt;=Resumen_Sprints!$E$9+Resumen_Sprints!$D$9),INDEX('Sprint N°4'!$C$8:$P$8,BE$4-Resumen_Sprints!$E$9),0)</f>
        <v>0</v>
      </c>
      <c r="BF26" s="23">
        <f t="array" ref="BF26">IF(AND(BF$4&gt;Resumen_Sprints!$E$9,BF$4&lt;=Resumen_Sprints!$E$9+Resumen_Sprints!$D$9),INDEX('Sprint N°4'!$C$8:$P$8,BF$4-Resumen_Sprints!$E$9),0)</f>
        <v>0</v>
      </c>
      <c r="BG26" s="23">
        <f t="array" ref="BG26">IF(AND(BG$4&gt;Resumen_Sprints!$E$9,BG$4&lt;=Resumen_Sprints!$E$9+Resumen_Sprints!$D$9),INDEX('Sprint N°4'!$C$8:$P$8,BG$4-Resumen_Sprints!$E$9),0)</f>
        <v>0</v>
      </c>
      <c r="BH26" s="23">
        <f t="array" ref="BH26">IF(AND(BH$4&gt;Resumen_Sprints!$E$9,BH$4&lt;=Resumen_Sprints!$E$9+Resumen_Sprints!$D$9),INDEX('Sprint N°4'!$C$8:$P$8,BH$4-Resumen_Sprints!$E$9),0)</f>
        <v>0</v>
      </c>
      <c r="BI26" s="23">
        <f t="array" ref="BI26">IF(AND(BI$4&gt;Resumen_Sprints!$E$9,BI$4&lt;=Resumen_Sprints!$E$9+Resumen_Sprints!$D$9),INDEX('Sprint N°4'!$C$8:$P$8,BI$4-Resumen_Sprints!$E$9),0)</f>
        <v>0</v>
      </c>
      <c r="BJ26" s="23">
        <f t="array" ref="BJ26">IF(AND(BJ$4&gt;Resumen_Sprints!$E$9,BJ$4&lt;=Resumen_Sprints!$E$9+Resumen_Sprints!$D$9),INDEX('Sprint N°4'!$C$8:$P$8,BJ$4-Resumen_Sprints!$E$9),0)</f>
        <v>0</v>
      </c>
      <c r="BK26" s="23">
        <f t="array" ref="BK26">IF(AND(BK$4&gt;Resumen_Sprints!$E$9,BK$4&lt;=Resumen_Sprints!$E$9+Resumen_Sprints!$D$9),INDEX('Sprint N°4'!$C$8:$P$8,BK$4-Resumen_Sprints!$E$9),0)</f>
        <v>0</v>
      </c>
      <c r="BL26" s="23">
        <f t="array" ref="BL26">IF(AND(BL$4&gt;Resumen_Sprints!$E$9,BL$4&lt;=Resumen_Sprints!$E$9+Resumen_Sprints!$D$9),INDEX('Sprint N°4'!$C$8:$P$8,BL$4-Resumen_Sprints!$E$9),0)</f>
        <v>0</v>
      </c>
      <c r="BM26" s="23">
        <f t="array" ref="BM26">IF(AND(BM$4&gt;Resumen_Sprints!$E$9,BM$4&lt;=Resumen_Sprints!$E$9+Resumen_Sprints!$D$9),INDEX('Sprint N°4'!$C$8:$P$8,BM$4-Resumen_Sprints!$E$9),0)</f>
        <v>0</v>
      </c>
      <c r="BN26" s="23">
        <f t="array" ref="BN26">IF(AND(BN$4&gt;Resumen_Sprints!$E$9,BN$4&lt;=Resumen_Sprints!$E$9+Resumen_Sprints!$D$9),INDEX('Sprint N°4'!$C$8:$P$8,BN$4-Resumen_Sprints!$E$9),0)</f>
        <v>0</v>
      </c>
      <c r="BO26" s="23">
        <f t="array" ref="BO26">IF(AND(BO$4&gt;Resumen_Sprints!$E$9,BO$4&lt;=Resumen_Sprints!$E$9+Resumen_Sprints!$D$9),INDEX('Sprint N°4'!$C$8:$P$8,BO$4-Resumen_Sprints!$E$9),0)</f>
        <v>0</v>
      </c>
      <c r="BP26" s="23">
        <f t="array" ref="BP26">IF(AND(BP$4&gt;Resumen_Sprints!$E$9,BP$4&lt;=Resumen_Sprints!$E$9+Resumen_Sprints!$D$9),INDEX('Sprint N°4'!$C$8:$P$8,BP$4-Resumen_Sprints!$E$9),0)</f>
        <v>0</v>
      </c>
      <c r="BQ26" s="23">
        <f t="array" ref="BQ26">IF(AND(BQ$4&gt;Resumen_Sprints!$E$9,BQ$4&lt;=Resumen_Sprints!$E$9+Resumen_Sprints!$D$9),INDEX('Sprint N°4'!$C$8:$P$8,BQ$4-Resumen_Sprints!$E$9),0)</f>
        <v>0</v>
      </c>
      <c r="BR26" s="23">
        <f t="array" ref="BR26">IF(AND(BR$4&gt;Resumen_Sprints!$E$9,BR$4&lt;=Resumen_Sprints!$E$9+Resumen_Sprints!$D$9),INDEX('Sprint N°4'!$C$8:$P$8,BR$4-Resumen_Sprints!$E$9),0)</f>
        <v>0</v>
      </c>
      <c r="BS26" s="23">
        <f t="array" ref="BS26">IF(AND(BS$4&gt;Resumen_Sprints!$E$9,BS$4&lt;=Resumen_Sprints!$E$9+Resumen_Sprints!$D$9),INDEX('Sprint N°4'!$C$8:$P$8,BS$4-Resumen_Sprints!$E$9),0)</f>
        <v>0</v>
      </c>
      <c r="BT26" s="23">
        <f t="array" ref="BT26">IF(AND(BT$4&gt;Resumen_Sprints!$E$9,BT$4&lt;=Resumen_Sprints!$E$9+Resumen_Sprints!$D$9),INDEX('Sprint N°4'!$C$8:$P$8,BT$4-Resumen_Sprints!$E$9),0)</f>
        <v>0</v>
      </c>
      <c r="BU26" s="23">
        <f t="array" ref="BU26">IF(AND(BU$4&gt;Resumen_Sprints!$E$9,BU$4&lt;=Resumen_Sprints!$E$9+Resumen_Sprints!$D$9),INDEX('Sprint N°4'!$C$8:$P$8,BU$4-Resumen_Sprints!$E$9),0)</f>
        <v>0</v>
      </c>
      <c r="BV26" s="23">
        <f t="array" ref="BV26">IF(AND(BV$4&gt;Resumen_Sprints!$E$9,BV$4&lt;=Resumen_Sprints!$E$9+Resumen_Sprints!$D$9),INDEX('Sprint N°4'!$C$8:$P$8,BV$4-Resumen_Sprints!$E$9),0)</f>
        <v>0</v>
      </c>
      <c r="BW26" s="23">
        <f t="array" ref="BW26">IF(AND(BW$4&gt;Resumen_Sprints!$E$9,BW$4&lt;=Resumen_Sprints!$E$9+Resumen_Sprints!$D$9),INDEX('Sprint N°4'!$C$8:$P$8,BW$4-Resumen_Sprints!$E$9),0)</f>
        <v>0</v>
      </c>
      <c r="BX26" s="23">
        <f t="array" ref="BX26">IF(AND(BX$4&gt;Resumen_Sprints!$E$9,BX$4&lt;=Resumen_Sprints!$E$9+Resumen_Sprints!$D$9),INDEX('Sprint N°4'!$C$8:$P$8,BX$4-Resumen_Sprints!$E$9),0)</f>
        <v>0</v>
      </c>
      <c r="BY26" s="23">
        <f t="array" ref="BY26">IF(AND(BY$4&gt;Resumen_Sprints!$E$9,BY$4&lt;=Resumen_Sprints!$E$9+Resumen_Sprints!$D$9),INDEX('Sprint N°4'!$C$8:$P$8,BY$4-Resumen_Sprints!$E$9),0)</f>
        <v>0</v>
      </c>
      <c r="BZ26" s="23">
        <f t="array" ref="BZ26">IF(AND(BZ$4&gt;Resumen_Sprints!$E$9,BZ$4&lt;=Resumen_Sprints!$E$9+Resumen_Sprints!$D$9),INDEX('Sprint N°4'!$C$8:$P$8,BZ$4-Resumen_Sprints!$E$9),0)</f>
        <v>0</v>
      </c>
      <c r="CA26" s="23">
        <f t="array" ref="CA26">IF(AND(CA$4&gt;Resumen_Sprints!$E$9,CA$4&lt;=Resumen_Sprints!$E$9+Resumen_Sprints!$D$9),INDEX('Sprint N°4'!$C$8:$P$8,CA$4-Resumen_Sprints!$E$9),0)</f>
        <v>0</v>
      </c>
      <c r="CB26" s="23">
        <f t="array" ref="CB26">IF(AND(CB$4&gt;Resumen_Sprints!$E$9,CB$4&lt;=Resumen_Sprints!$E$9+Resumen_Sprints!$D$9),INDEX('Sprint N°4'!$C$8:$P$8,CB$4-Resumen_Sprints!$E$9),0)</f>
        <v>0</v>
      </c>
      <c r="CC26" s="23">
        <f t="array" ref="CC26">IF(AND(CC$4&gt;Resumen_Sprints!$E$9,CC$4&lt;=Resumen_Sprints!$E$9+Resumen_Sprints!$D$9),INDEX('Sprint N°4'!$C$8:$P$8,CC$4-Resumen_Sprints!$E$9),0)</f>
        <v>0</v>
      </c>
      <c r="CD26" s="23">
        <f t="array" ref="CD26">IF(AND(CD$4&gt;Resumen_Sprints!$E$9,CD$4&lt;=Resumen_Sprints!$E$9+Resumen_Sprints!$D$9),INDEX('Sprint N°4'!$C$8:$P$8,CD$4-Resumen_Sprints!$E$9),0)</f>
        <v>0</v>
      </c>
      <c r="CE26" s="23">
        <f t="array" ref="CE26">IF(AND(CE$4&gt;Resumen_Sprints!$E$9,CE$4&lt;=Resumen_Sprints!$E$9+Resumen_Sprints!$D$9),INDEX('Sprint N°4'!$C$8:$P$8,CE$4-Resumen_Sprints!$E$9),0)</f>
        <v>0</v>
      </c>
      <c r="CF26" s="23">
        <f t="array" ref="CF26">IF(AND(CF$4&gt;Resumen_Sprints!$E$9,CF$4&lt;=Resumen_Sprints!$E$9+Resumen_Sprints!$D$9),INDEX('Sprint N°4'!$C$8:$P$8,CF$4-Resumen_Sprints!$E$9),0)</f>
        <v>0</v>
      </c>
      <c r="CG26" s="23">
        <f t="array" ref="CG26">IF(AND(CG$4&gt;Resumen_Sprints!$E$9,CG$4&lt;=Resumen_Sprints!$E$9+Resumen_Sprints!$D$9),INDEX('Sprint N°4'!$C$8:$P$8,CG$4-Resumen_Sprints!$E$9),0)</f>
        <v>0</v>
      </c>
      <c r="CH26" s="23">
        <f t="array" ref="CH26">IF(AND(CH$4&gt;Resumen_Sprints!$E$9,CH$4&lt;=Resumen_Sprints!$E$9+Resumen_Sprints!$D$9),INDEX('Sprint N°4'!$C$8:$P$8,CH$4-Resumen_Sprints!$E$9),0)</f>
        <v>0</v>
      </c>
      <c r="CI26" s="23">
        <f t="array" ref="CI26">IF(AND(CI$4&gt;Resumen_Sprints!$E$9,CI$4&lt;=Resumen_Sprints!$E$9+Resumen_Sprints!$D$9),INDEX('Sprint N°4'!$C$8:$P$8,CI$4-Resumen_Sprints!$E$9),0)</f>
        <v>0</v>
      </c>
      <c r="CJ26" s="23">
        <f t="array" ref="CJ26">IF(AND(CJ$4&gt;Resumen_Sprints!$E$9,CJ$4&lt;=Resumen_Sprints!$E$9+Resumen_Sprints!$D$9),INDEX('Sprint N°4'!$C$8:$P$8,CJ$4-Resumen_Sprints!$E$9),0)</f>
        <v>0</v>
      </c>
      <c r="CK26" s="23">
        <f t="array" ref="CK26">IF(AND(CK$4&gt;Resumen_Sprints!$E$9,CK$4&lt;=Resumen_Sprints!$E$9+Resumen_Sprints!$D$9),INDEX('Sprint N°4'!$C$8:$P$8,CK$4-Resumen_Sprints!$E$9),0)</f>
        <v>0</v>
      </c>
      <c r="CL26" s="23">
        <f t="array" ref="CL26">IF(AND(CL$4&gt;Resumen_Sprints!$E$9,CL$4&lt;=Resumen_Sprints!$E$9+Resumen_Sprints!$D$9),INDEX('Sprint N°4'!$C$8:$P$8,CL$4-Resumen_Sprints!$E$9),0)</f>
        <v>0</v>
      </c>
      <c r="CM26" s="23">
        <f t="array" ref="CM26">IF(AND(CM$4&gt;Resumen_Sprints!$E$9,CM$4&lt;=Resumen_Sprints!$E$9+Resumen_Sprints!$D$9),INDEX('Sprint N°4'!$C$8:$P$8,CM$4-Resumen_Sprints!$E$9),0)</f>
        <v>0</v>
      </c>
      <c r="CN26" s="23">
        <f t="array" ref="CN26">IF(AND(CN$4&gt;Resumen_Sprints!$E$9,CN$4&lt;=Resumen_Sprints!$E$9+Resumen_Sprints!$D$9),INDEX('Sprint N°4'!$C$8:$P$8,CN$4-Resumen_Sprints!$E$9),0)</f>
        <v>0</v>
      </c>
      <c r="CO26" s="23">
        <f t="array" ref="CO26">IF(AND(CO$4&gt;Resumen_Sprints!$E$9,CO$4&lt;=Resumen_Sprints!$E$9+Resumen_Sprints!$D$9),INDEX('Sprint N°4'!$C$8:$P$8,CO$4-Resumen_Sprints!$E$9),0)</f>
        <v>0</v>
      </c>
      <c r="CP26" s="23">
        <f t="array" ref="CP26">IF(AND(CP$4&gt;Resumen_Sprints!$E$9,CP$4&lt;=Resumen_Sprints!$E$9+Resumen_Sprints!$D$9),INDEX('Sprint N°4'!$C$8:$P$8,CP$4-Resumen_Sprints!$E$9),0)</f>
        <v>0</v>
      </c>
      <c r="CQ26" s="23">
        <f t="array" ref="CQ26">IF(AND(CQ$4&gt;Resumen_Sprints!$E$9,CQ$4&lt;=Resumen_Sprints!$E$9+Resumen_Sprints!$D$9),INDEX('Sprint N°4'!$C$8:$P$8,CQ$4-Resumen_Sprints!$E$9),0)</f>
        <v>0</v>
      </c>
      <c r="CR26" s="23">
        <f t="array" ref="CR26">IF(AND(CR$4&gt;Resumen_Sprints!$E$9,CR$4&lt;=Resumen_Sprints!$E$9+Resumen_Sprints!$D$9),INDEX('Sprint N°4'!$C$8:$P$8,CR$4-Resumen_Sprints!$E$9),0)</f>
        <v>0</v>
      </c>
      <c r="CS26" s="23">
        <f t="array" ref="CS26">IF(AND(CS$4&gt;Resumen_Sprints!$E$9,CS$4&lt;=Resumen_Sprints!$E$9+Resumen_Sprints!$D$9),INDEX('Sprint N°4'!$C$8:$P$8,CS$4-Resumen_Sprints!$E$9),0)</f>
        <v>0</v>
      </c>
      <c r="CT26" s="23">
        <f t="array" ref="CT26">IF(AND(CT$4&gt;Resumen_Sprints!$E$9,CT$4&lt;=Resumen_Sprints!$E$9+Resumen_Sprints!$D$9),INDEX('Sprint N°4'!$C$8:$P$8,CT$4-Resumen_Sprints!$E$9),0)</f>
        <v>0</v>
      </c>
      <c r="CU26" s="25">
        <f t="shared" si="4"/>
        <v>36</v>
      </c>
    </row>
    <row r="27" ht="14.25" customHeight="1">
      <c r="A27" s="11" t="str">
        <f>'Sprint N°4'!A9</f>
        <v>Integración del Motor con el Catálogo de Materiales</v>
      </c>
      <c r="B27" s="11">
        <f>'Sprint N°4'!B9</f>
        <v>15</v>
      </c>
      <c r="C27" s="23">
        <f t="array" ref="C27">IF(AND(C$4&gt;Resumen_Sprints!$E$9,C$4&lt;=Resumen_Sprints!$E$9+Resumen_Sprints!$D$9),INDEX('Sprint N°4'!$C$9:$P$9,C$4-Resumen_Sprints!$E$9),0)</f>
        <v>0</v>
      </c>
      <c r="D27" s="23">
        <f t="array" ref="D27">IF(AND(D$4&gt;Resumen_Sprints!$E$9,D$4&lt;=Resumen_Sprints!$E$9+Resumen_Sprints!$D$9),INDEX('Sprint N°4'!$C$9:$P$9,D$4-Resumen_Sprints!$E$9),0)</f>
        <v>0</v>
      </c>
      <c r="E27" s="23">
        <f t="array" ref="E27">IF(AND(E$4&gt;Resumen_Sprints!$E$9,E$4&lt;=Resumen_Sprints!$E$9+Resumen_Sprints!$D$9),INDEX('Sprint N°4'!$C$9:$P$9,E$4-Resumen_Sprints!$E$9),0)</f>
        <v>0</v>
      </c>
      <c r="F27" s="23">
        <f t="array" ref="F27">IF(AND(F$4&gt;Resumen_Sprints!$E$9,F$4&lt;=Resumen_Sprints!$E$9+Resumen_Sprints!$D$9),INDEX('Sprint N°4'!$C$9:$P$9,F$4-Resumen_Sprints!$E$9),0)</f>
        <v>0</v>
      </c>
      <c r="G27" s="23">
        <f t="array" ref="G27">IF(AND(G$4&gt;Resumen_Sprints!$E$9,G$4&lt;=Resumen_Sprints!$E$9+Resumen_Sprints!$D$9),INDEX('Sprint N°4'!$C$9:$P$9,G$4-Resumen_Sprints!$E$9),0)</f>
        <v>0</v>
      </c>
      <c r="H27" s="23">
        <f t="array" ref="H27">IF(AND(H$4&gt;Resumen_Sprints!$E$9,H$4&lt;=Resumen_Sprints!$E$9+Resumen_Sprints!$D$9),INDEX('Sprint N°4'!$C$9:$P$9,H$4-Resumen_Sprints!$E$9),0)</f>
        <v>0</v>
      </c>
      <c r="I27" s="23">
        <f t="array" ref="I27">IF(AND(I$4&gt;Resumen_Sprints!$E$9,I$4&lt;=Resumen_Sprints!$E$9+Resumen_Sprints!$D$9),INDEX('Sprint N°4'!$C$9:$P$9,I$4-Resumen_Sprints!$E$9),0)</f>
        <v>0</v>
      </c>
      <c r="J27" s="23">
        <f t="array" ref="J27">IF(AND(J$4&gt;Resumen_Sprints!$E$9,J$4&lt;=Resumen_Sprints!$E$9+Resumen_Sprints!$D$9),INDEX('Sprint N°4'!$C$9:$P$9,J$4-Resumen_Sprints!$E$9),0)</f>
        <v>0</v>
      </c>
      <c r="K27" s="23">
        <f t="array" ref="K27">IF(AND(K$4&gt;Resumen_Sprints!$E$9,K$4&lt;=Resumen_Sprints!$E$9+Resumen_Sprints!$D$9),INDEX('Sprint N°4'!$C$9:$P$9,K$4-Resumen_Sprints!$E$9),0)</f>
        <v>0</v>
      </c>
      <c r="L27" s="23">
        <f t="array" ref="L27">IF(AND(L$4&gt;Resumen_Sprints!$E$9,L$4&lt;=Resumen_Sprints!$E$9+Resumen_Sprints!$D$9),INDEX('Sprint N°4'!$C$9:$P$9,L$4-Resumen_Sprints!$E$9),0)</f>
        <v>0</v>
      </c>
      <c r="M27" s="23">
        <f t="array" ref="M27">IF(AND(M$4&gt;Resumen_Sprints!$E$9,M$4&lt;=Resumen_Sprints!$E$9+Resumen_Sprints!$D$9),INDEX('Sprint N°4'!$C$9:$P$9,M$4-Resumen_Sprints!$E$9),0)</f>
        <v>0</v>
      </c>
      <c r="N27" s="23">
        <f t="array" ref="N27">IF(AND(N$4&gt;Resumen_Sprints!$E$9,N$4&lt;=Resumen_Sprints!$E$9+Resumen_Sprints!$D$9),INDEX('Sprint N°4'!$C$9:$P$9,N$4-Resumen_Sprints!$E$9),0)</f>
        <v>0</v>
      </c>
      <c r="O27" s="23">
        <f t="array" ref="O27">IF(AND(O$4&gt;Resumen_Sprints!$E$9,O$4&lt;=Resumen_Sprints!$E$9+Resumen_Sprints!$D$9),INDEX('Sprint N°4'!$C$9:$P$9,O$4-Resumen_Sprints!$E$9),0)</f>
        <v>0</v>
      </c>
      <c r="P27" s="23">
        <f t="array" ref="P27">IF(AND(P$4&gt;Resumen_Sprints!$E$9,P$4&lt;=Resumen_Sprints!$E$9+Resumen_Sprints!$D$9),INDEX('Sprint N°4'!$C$9:$P$9,P$4-Resumen_Sprints!$E$9),0)</f>
        <v>0</v>
      </c>
      <c r="Q27" s="23">
        <f t="array" ref="Q27">IF(AND(Q$4&gt;Resumen_Sprints!$E$9,Q$4&lt;=Resumen_Sprints!$E$9+Resumen_Sprints!$D$9),INDEX('Sprint N°4'!$C$9:$P$9,Q$4-Resumen_Sprints!$E$9),0)</f>
        <v>0</v>
      </c>
      <c r="R27" s="23">
        <f t="array" ref="R27">IF(AND(R$4&gt;Resumen_Sprints!$E$9,R$4&lt;=Resumen_Sprints!$E$9+Resumen_Sprints!$D$9),INDEX('Sprint N°4'!$C$9:$P$9,R$4-Resumen_Sprints!$E$9),0)</f>
        <v>0</v>
      </c>
      <c r="S27" s="23">
        <f t="array" ref="S27">IF(AND(S$4&gt;Resumen_Sprints!$E$9,S$4&lt;=Resumen_Sprints!$E$9+Resumen_Sprints!$D$9),INDEX('Sprint N°4'!$C$9:$P$9,S$4-Resumen_Sprints!$E$9),0)</f>
        <v>0</v>
      </c>
      <c r="T27" s="23">
        <f t="array" ref="T27">IF(AND(T$4&gt;Resumen_Sprints!$E$9,T$4&lt;=Resumen_Sprints!$E$9+Resumen_Sprints!$D$9),INDEX('Sprint N°4'!$C$9:$P$9,T$4-Resumen_Sprints!$E$9),0)</f>
        <v>0</v>
      </c>
      <c r="U27" s="23">
        <f t="array" ref="U27">IF(AND(U$4&gt;Resumen_Sprints!$E$9,U$4&lt;=Resumen_Sprints!$E$9+Resumen_Sprints!$D$9),INDEX('Sprint N°4'!$C$9:$P$9,U$4-Resumen_Sprints!$E$9),0)</f>
        <v>0</v>
      </c>
      <c r="V27" s="23">
        <f t="array" ref="V27">IF(AND(V$4&gt;Resumen_Sprints!$E$9,V$4&lt;=Resumen_Sprints!$E$9+Resumen_Sprints!$D$9),INDEX('Sprint N°4'!$C$9:$P$9,V$4-Resumen_Sprints!$E$9),0)</f>
        <v>0</v>
      </c>
      <c r="W27" s="23">
        <f t="array" ref="W27">IF(AND(W$4&gt;Resumen_Sprints!$E$9,W$4&lt;=Resumen_Sprints!$E$9+Resumen_Sprints!$D$9),INDEX('Sprint N°4'!$C$9:$P$9,W$4-Resumen_Sprints!$E$9),0)</f>
        <v>0</v>
      </c>
      <c r="X27" s="23">
        <f t="array" ref="X27">IF(AND(X$4&gt;Resumen_Sprints!$E$9,X$4&lt;=Resumen_Sprints!$E$9+Resumen_Sprints!$D$9),INDEX('Sprint N°4'!$C$9:$P$9,X$4-Resumen_Sprints!$E$9),0)</f>
        <v>0</v>
      </c>
      <c r="Y27" s="23">
        <f t="array" ref="Y27">IF(AND(Y$4&gt;Resumen_Sprints!$E$9,Y$4&lt;=Resumen_Sprints!$E$9+Resumen_Sprints!$D$9),INDEX('Sprint N°4'!$C$9:$P$9,Y$4-Resumen_Sprints!$E$9),0)</f>
        <v>0</v>
      </c>
      <c r="Z27" s="23">
        <f t="array" ref="Z27">IF(AND(Z$4&gt;Resumen_Sprints!$E$9,Z$4&lt;=Resumen_Sprints!$E$9+Resumen_Sprints!$D$9),INDEX('Sprint N°4'!$C$9:$P$9,Z$4-Resumen_Sprints!$E$9),0)</f>
        <v>0</v>
      </c>
      <c r="AA27" s="23">
        <f t="array" ref="AA27">IF(AND(AA$4&gt;Resumen_Sprints!$E$9,AA$4&lt;=Resumen_Sprints!$E$9+Resumen_Sprints!$D$9),INDEX('Sprint N°4'!$C$9:$P$9,AA$4-Resumen_Sprints!$E$9),0)</f>
        <v>0</v>
      </c>
      <c r="AB27" s="23">
        <f t="array" ref="AB27">IF(AND(AB$4&gt;Resumen_Sprints!$E$9,AB$4&lt;=Resumen_Sprints!$E$9+Resumen_Sprints!$D$9),INDEX('Sprint N°4'!$C$9:$P$9,AB$4-Resumen_Sprints!$E$9),0)</f>
        <v>0</v>
      </c>
      <c r="AC27" s="23">
        <f t="array" ref="AC27">IF(AND(AC$4&gt;Resumen_Sprints!$E$9,AC$4&lt;=Resumen_Sprints!$E$9+Resumen_Sprints!$D$9),INDEX('Sprint N°4'!$C$9:$P$9,AC$4-Resumen_Sprints!$E$9),0)</f>
        <v>0</v>
      </c>
      <c r="AD27" s="23" t="str">
        <f t="array" ref="AD27">IF(AND(AD$4&gt;Resumen_Sprints!$E$9,AD$4&lt;=Resumen_Sprints!$E$9+Resumen_Sprints!$D$9),INDEX('Sprint N°4'!$C$9:$P$9,AD$4-Resumen_Sprints!$E$9),0)</f>
        <v/>
      </c>
      <c r="AE27" s="23" t="str">
        <f t="array" ref="AE27">IF(AND(AE$4&gt;Resumen_Sprints!$E$9,AE$4&lt;=Resumen_Sprints!$E$9+Resumen_Sprints!$D$9),INDEX('Sprint N°4'!$C$9:$P$9,AE$4-Resumen_Sprints!$E$9),0)</f>
        <v/>
      </c>
      <c r="AF27" s="23" t="str">
        <f t="array" ref="AF27">IF(AND(AF$4&gt;Resumen_Sprints!$E$9,AF$4&lt;=Resumen_Sprints!$E$9+Resumen_Sprints!$D$9),INDEX('Sprint N°4'!$C$9:$P$9,AF$4-Resumen_Sprints!$E$9),0)</f>
        <v/>
      </c>
      <c r="AG27" s="23" t="str">
        <f t="array" ref="AG27">IF(AND(AG$4&gt;Resumen_Sprints!$E$9,AG$4&lt;=Resumen_Sprints!$E$9+Resumen_Sprints!$D$9),INDEX('Sprint N°4'!$C$9:$P$9,AG$4-Resumen_Sprints!$E$9),0)</f>
        <v/>
      </c>
      <c r="AH27" s="23" t="str">
        <f t="array" ref="AH27">IF(AND(AH$4&gt;Resumen_Sprints!$E$9,AH$4&lt;=Resumen_Sprints!$E$9+Resumen_Sprints!$D$9),INDEX('Sprint N°4'!$C$9:$P$9,AH$4-Resumen_Sprints!$E$9),0)</f>
        <v/>
      </c>
      <c r="AI27" s="23" t="str">
        <f t="array" ref="AI27">IF(AND(AI$4&gt;Resumen_Sprints!$E$9,AI$4&lt;=Resumen_Sprints!$E$9+Resumen_Sprints!$D$9),INDEX('Sprint N°4'!$C$9:$P$9,AI$4-Resumen_Sprints!$E$9),0)</f>
        <v/>
      </c>
      <c r="AJ27" s="23" t="str">
        <f t="array" ref="AJ27">IF(AND(AJ$4&gt;Resumen_Sprints!$E$9,AJ$4&lt;=Resumen_Sprints!$E$9+Resumen_Sprints!$D$9),INDEX('Sprint N°4'!$C$9:$P$9,AJ$4-Resumen_Sprints!$E$9),0)</f>
        <v/>
      </c>
      <c r="AK27" s="23" t="str">
        <f t="array" ref="AK27">IF(AND(AK$4&gt;Resumen_Sprints!$E$9,AK$4&lt;=Resumen_Sprints!$E$9+Resumen_Sprints!$D$9),INDEX('Sprint N°4'!$C$9:$P$9,AK$4-Resumen_Sprints!$E$9),0)</f>
        <v/>
      </c>
      <c r="AL27" s="23" t="str">
        <f t="array" ref="AL27">IF(AND(AL$4&gt;Resumen_Sprints!$E$9,AL$4&lt;=Resumen_Sprints!$E$9+Resumen_Sprints!$D$9),INDEX('Sprint N°4'!$C$9:$P$9,AL$4-Resumen_Sprints!$E$9),0)</f>
        <v/>
      </c>
      <c r="AM27" s="23" t="str">
        <f t="array" ref="AM27">IF(AND(AM$4&gt;Resumen_Sprints!$E$9,AM$4&lt;=Resumen_Sprints!$E$9+Resumen_Sprints!$D$9),INDEX('Sprint N°4'!$C$9:$P$9,AM$4-Resumen_Sprints!$E$9),0)</f>
        <v/>
      </c>
      <c r="AN27" s="23" t="str">
        <f t="array" ref="AN27">IF(AND(AN$4&gt;Resumen_Sprints!$E$9,AN$4&lt;=Resumen_Sprints!$E$9+Resumen_Sprints!$D$9),INDEX('Sprint N°4'!$C$9:$P$9,AN$4-Resumen_Sprints!$E$9),0)</f>
        <v/>
      </c>
      <c r="AO27" s="23">
        <f t="array" ref="AO27">IF(AND(AO$4&gt;Resumen_Sprints!$E$9,AO$4&lt;=Resumen_Sprints!$E$9+Resumen_Sprints!$D$9),INDEX('Sprint N°4'!$C$9:$P$9,AO$4-Resumen_Sprints!$E$9),0)</f>
        <v>2</v>
      </c>
      <c r="AP27" s="23">
        <f t="array" ref="AP27">IF(AND(AP$4&gt;Resumen_Sprints!$E$9,AP$4&lt;=Resumen_Sprints!$E$9+Resumen_Sprints!$D$9),INDEX('Sprint N°4'!$C$9:$P$9,AP$4-Resumen_Sprints!$E$9),0)</f>
        <v>7</v>
      </c>
      <c r="AQ27" s="23">
        <f t="array" ref="AQ27">IF(AND(AQ$4&gt;Resumen_Sprints!$E$9,AQ$4&lt;=Resumen_Sprints!$E$9+Resumen_Sprints!$D$9),INDEX('Sprint N°4'!$C$9:$P$9,AQ$4-Resumen_Sprints!$E$9),0)</f>
        <v>7</v>
      </c>
      <c r="AR27" s="23">
        <f t="array" ref="AR27">IF(AND(AR$4&gt;Resumen_Sprints!$E$9,AR$4&lt;=Resumen_Sprints!$E$9+Resumen_Sprints!$D$9),INDEX('Sprint N°4'!$C$9:$P$9,AR$4-Resumen_Sprints!$E$9),0)</f>
        <v>0</v>
      </c>
      <c r="AS27" s="23">
        <f t="array" ref="AS27">IF(AND(AS$4&gt;Resumen_Sprints!$E$9,AS$4&lt;=Resumen_Sprints!$E$9+Resumen_Sprints!$D$9),INDEX('Sprint N°4'!$C$9:$P$9,AS$4-Resumen_Sprints!$E$9),0)</f>
        <v>0</v>
      </c>
      <c r="AT27" s="23">
        <f t="array" ref="AT27">IF(AND(AT$4&gt;Resumen_Sprints!$E$9,AT$4&lt;=Resumen_Sprints!$E$9+Resumen_Sprints!$D$9),INDEX('Sprint N°4'!$C$9:$P$9,AT$4-Resumen_Sprints!$E$9),0)</f>
        <v>0</v>
      </c>
      <c r="AU27" s="23">
        <f t="array" ref="AU27">IF(AND(AU$4&gt;Resumen_Sprints!$E$9,AU$4&lt;=Resumen_Sprints!$E$9+Resumen_Sprints!$D$9),INDEX('Sprint N°4'!$C$9:$P$9,AU$4-Resumen_Sprints!$E$9),0)</f>
        <v>0</v>
      </c>
      <c r="AV27" s="23">
        <f t="array" ref="AV27">IF(AND(AV$4&gt;Resumen_Sprints!$E$9,AV$4&lt;=Resumen_Sprints!$E$9+Resumen_Sprints!$D$9),INDEX('Sprint N°4'!$C$9:$P$9,AV$4-Resumen_Sprints!$E$9),0)</f>
        <v>0</v>
      </c>
      <c r="AW27" s="23">
        <f t="array" ref="AW27">IF(AND(AW$4&gt;Resumen_Sprints!$E$9,AW$4&lt;=Resumen_Sprints!$E$9+Resumen_Sprints!$D$9),INDEX('Sprint N°4'!$C$9:$P$9,AW$4-Resumen_Sprints!$E$9),0)</f>
        <v>0</v>
      </c>
      <c r="AX27" s="23">
        <f t="array" ref="AX27">IF(AND(AX$4&gt;Resumen_Sprints!$E$9,AX$4&lt;=Resumen_Sprints!$E$9+Resumen_Sprints!$D$9),INDEX('Sprint N°4'!$C$9:$P$9,AX$4-Resumen_Sprints!$E$9),0)</f>
        <v>0</v>
      </c>
      <c r="AY27" s="23">
        <f t="array" ref="AY27">IF(AND(AY$4&gt;Resumen_Sprints!$E$9,AY$4&lt;=Resumen_Sprints!$E$9+Resumen_Sprints!$D$9),INDEX('Sprint N°4'!$C$9:$P$9,AY$4-Resumen_Sprints!$E$9),0)</f>
        <v>0</v>
      </c>
      <c r="AZ27" s="23">
        <f t="array" ref="AZ27">IF(AND(AZ$4&gt;Resumen_Sprints!$E$9,AZ$4&lt;=Resumen_Sprints!$E$9+Resumen_Sprints!$D$9),INDEX('Sprint N°4'!$C$9:$P$9,AZ$4-Resumen_Sprints!$E$9),0)</f>
        <v>0</v>
      </c>
      <c r="BA27" s="23">
        <f t="array" ref="BA27">IF(AND(BA$4&gt;Resumen_Sprints!$E$9,BA$4&lt;=Resumen_Sprints!$E$9+Resumen_Sprints!$D$9),INDEX('Sprint N°4'!$C$9:$P$9,BA$4-Resumen_Sprints!$E$9),0)</f>
        <v>0</v>
      </c>
      <c r="BB27" s="23">
        <f t="array" ref="BB27">IF(AND(BB$4&gt;Resumen_Sprints!$E$9,BB$4&lt;=Resumen_Sprints!$E$9+Resumen_Sprints!$D$9),INDEX('Sprint N°4'!$C$9:$P$9,BB$4-Resumen_Sprints!$E$9),0)</f>
        <v>0</v>
      </c>
      <c r="BC27" s="23">
        <f t="array" ref="BC27">IF(AND(BC$4&gt;Resumen_Sprints!$E$9,BC$4&lt;=Resumen_Sprints!$E$9+Resumen_Sprints!$D$9),INDEX('Sprint N°4'!$C$9:$P$9,BC$4-Resumen_Sprints!$E$9),0)</f>
        <v>0</v>
      </c>
      <c r="BD27" s="23">
        <f t="array" ref="BD27">IF(AND(BD$4&gt;Resumen_Sprints!$E$9,BD$4&lt;=Resumen_Sprints!$E$9+Resumen_Sprints!$D$9),INDEX('Sprint N°4'!$C$9:$P$9,BD$4-Resumen_Sprints!$E$9),0)</f>
        <v>0</v>
      </c>
      <c r="BE27" s="23">
        <f t="array" ref="BE27">IF(AND(BE$4&gt;Resumen_Sprints!$E$9,BE$4&lt;=Resumen_Sprints!$E$9+Resumen_Sprints!$D$9),INDEX('Sprint N°4'!$C$9:$P$9,BE$4-Resumen_Sprints!$E$9),0)</f>
        <v>0</v>
      </c>
      <c r="BF27" s="23">
        <f t="array" ref="BF27">IF(AND(BF$4&gt;Resumen_Sprints!$E$9,BF$4&lt;=Resumen_Sprints!$E$9+Resumen_Sprints!$D$9),INDEX('Sprint N°4'!$C$9:$P$9,BF$4-Resumen_Sprints!$E$9),0)</f>
        <v>0</v>
      </c>
      <c r="BG27" s="23">
        <f t="array" ref="BG27">IF(AND(BG$4&gt;Resumen_Sprints!$E$9,BG$4&lt;=Resumen_Sprints!$E$9+Resumen_Sprints!$D$9),INDEX('Sprint N°4'!$C$9:$P$9,BG$4-Resumen_Sprints!$E$9),0)</f>
        <v>0</v>
      </c>
      <c r="BH27" s="23">
        <f t="array" ref="BH27">IF(AND(BH$4&gt;Resumen_Sprints!$E$9,BH$4&lt;=Resumen_Sprints!$E$9+Resumen_Sprints!$D$9),INDEX('Sprint N°4'!$C$9:$P$9,BH$4-Resumen_Sprints!$E$9),0)</f>
        <v>0</v>
      </c>
      <c r="BI27" s="23">
        <f t="array" ref="BI27">IF(AND(BI$4&gt;Resumen_Sprints!$E$9,BI$4&lt;=Resumen_Sprints!$E$9+Resumen_Sprints!$D$9),INDEX('Sprint N°4'!$C$9:$P$9,BI$4-Resumen_Sprints!$E$9),0)</f>
        <v>0</v>
      </c>
      <c r="BJ27" s="23">
        <f t="array" ref="BJ27">IF(AND(BJ$4&gt;Resumen_Sprints!$E$9,BJ$4&lt;=Resumen_Sprints!$E$9+Resumen_Sprints!$D$9),INDEX('Sprint N°4'!$C$9:$P$9,BJ$4-Resumen_Sprints!$E$9),0)</f>
        <v>0</v>
      </c>
      <c r="BK27" s="23">
        <f t="array" ref="BK27">IF(AND(BK$4&gt;Resumen_Sprints!$E$9,BK$4&lt;=Resumen_Sprints!$E$9+Resumen_Sprints!$D$9),INDEX('Sprint N°4'!$C$9:$P$9,BK$4-Resumen_Sprints!$E$9),0)</f>
        <v>0</v>
      </c>
      <c r="BL27" s="23">
        <f t="array" ref="BL27">IF(AND(BL$4&gt;Resumen_Sprints!$E$9,BL$4&lt;=Resumen_Sprints!$E$9+Resumen_Sprints!$D$9),INDEX('Sprint N°4'!$C$9:$P$9,BL$4-Resumen_Sprints!$E$9),0)</f>
        <v>0</v>
      </c>
      <c r="BM27" s="23">
        <f t="array" ref="BM27">IF(AND(BM$4&gt;Resumen_Sprints!$E$9,BM$4&lt;=Resumen_Sprints!$E$9+Resumen_Sprints!$D$9),INDEX('Sprint N°4'!$C$9:$P$9,BM$4-Resumen_Sprints!$E$9),0)</f>
        <v>0</v>
      </c>
      <c r="BN27" s="23">
        <f t="array" ref="BN27">IF(AND(BN$4&gt;Resumen_Sprints!$E$9,BN$4&lt;=Resumen_Sprints!$E$9+Resumen_Sprints!$D$9),INDEX('Sprint N°4'!$C$9:$P$9,BN$4-Resumen_Sprints!$E$9),0)</f>
        <v>0</v>
      </c>
      <c r="BO27" s="23">
        <f t="array" ref="BO27">IF(AND(BO$4&gt;Resumen_Sprints!$E$9,BO$4&lt;=Resumen_Sprints!$E$9+Resumen_Sprints!$D$9),INDEX('Sprint N°4'!$C$9:$P$9,BO$4-Resumen_Sprints!$E$9),0)</f>
        <v>0</v>
      </c>
      <c r="BP27" s="23">
        <f t="array" ref="BP27">IF(AND(BP$4&gt;Resumen_Sprints!$E$9,BP$4&lt;=Resumen_Sprints!$E$9+Resumen_Sprints!$D$9),INDEX('Sprint N°4'!$C$9:$P$9,BP$4-Resumen_Sprints!$E$9),0)</f>
        <v>0</v>
      </c>
      <c r="BQ27" s="23">
        <f t="array" ref="BQ27">IF(AND(BQ$4&gt;Resumen_Sprints!$E$9,BQ$4&lt;=Resumen_Sprints!$E$9+Resumen_Sprints!$D$9),INDEX('Sprint N°4'!$C$9:$P$9,BQ$4-Resumen_Sprints!$E$9),0)</f>
        <v>0</v>
      </c>
      <c r="BR27" s="23">
        <f t="array" ref="BR27">IF(AND(BR$4&gt;Resumen_Sprints!$E$9,BR$4&lt;=Resumen_Sprints!$E$9+Resumen_Sprints!$D$9),INDEX('Sprint N°4'!$C$9:$P$9,BR$4-Resumen_Sprints!$E$9),0)</f>
        <v>0</v>
      </c>
      <c r="BS27" s="23">
        <f t="array" ref="BS27">IF(AND(BS$4&gt;Resumen_Sprints!$E$9,BS$4&lt;=Resumen_Sprints!$E$9+Resumen_Sprints!$D$9),INDEX('Sprint N°4'!$C$9:$P$9,BS$4-Resumen_Sprints!$E$9),0)</f>
        <v>0</v>
      </c>
      <c r="BT27" s="23">
        <f t="array" ref="BT27">IF(AND(BT$4&gt;Resumen_Sprints!$E$9,BT$4&lt;=Resumen_Sprints!$E$9+Resumen_Sprints!$D$9),INDEX('Sprint N°4'!$C$9:$P$9,BT$4-Resumen_Sprints!$E$9),0)</f>
        <v>0</v>
      </c>
      <c r="BU27" s="23">
        <f t="array" ref="BU27">IF(AND(BU$4&gt;Resumen_Sprints!$E$9,BU$4&lt;=Resumen_Sprints!$E$9+Resumen_Sprints!$D$9),INDEX('Sprint N°4'!$C$9:$P$9,BU$4-Resumen_Sprints!$E$9),0)</f>
        <v>0</v>
      </c>
      <c r="BV27" s="23">
        <f t="array" ref="BV27">IF(AND(BV$4&gt;Resumen_Sprints!$E$9,BV$4&lt;=Resumen_Sprints!$E$9+Resumen_Sprints!$D$9),INDEX('Sprint N°4'!$C$9:$P$9,BV$4-Resumen_Sprints!$E$9),0)</f>
        <v>0</v>
      </c>
      <c r="BW27" s="23">
        <f t="array" ref="BW27">IF(AND(BW$4&gt;Resumen_Sprints!$E$9,BW$4&lt;=Resumen_Sprints!$E$9+Resumen_Sprints!$D$9),INDEX('Sprint N°4'!$C$9:$P$9,BW$4-Resumen_Sprints!$E$9),0)</f>
        <v>0</v>
      </c>
      <c r="BX27" s="23">
        <f t="array" ref="BX27">IF(AND(BX$4&gt;Resumen_Sprints!$E$9,BX$4&lt;=Resumen_Sprints!$E$9+Resumen_Sprints!$D$9),INDEX('Sprint N°4'!$C$9:$P$9,BX$4-Resumen_Sprints!$E$9),0)</f>
        <v>0</v>
      </c>
      <c r="BY27" s="23">
        <f t="array" ref="BY27">IF(AND(BY$4&gt;Resumen_Sprints!$E$9,BY$4&lt;=Resumen_Sprints!$E$9+Resumen_Sprints!$D$9),INDEX('Sprint N°4'!$C$9:$P$9,BY$4-Resumen_Sprints!$E$9),0)</f>
        <v>0</v>
      </c>
      <c r="BZ27" s="23">
        <f t="array" ref="BZ27">IF(AND(BZ$4&gt;Resumen_Sprints!$E$9,BZ$4&lt;=Resumen_Sprints!$E$9+Resumen_Sprints!$D$9),INDEX('Sprint N°4'!$C$9:$P$9,BZ$4-Resumen_Sprints!$E$9),0)</f>
        <v>0</v>
      </c>
      <c r="CA27" s="23">
        <f t="array" ref="CA27">IF(AND(CA$4&gt;Resumen_Sprints!$E$9,CA$4&lt;=Resumen_Sprints!$E$9+Resumen_Sprints!$D$9),INDEX('Sprint N°4'!$C$9:$P$9,CA$4-Resumen_Sprints!$E$9),0)</f>
        <v>0</v>
      </c>
      <c r="CB27" s="23">
        <f t="array" ref="CB27">IF(AND(CB$4&gt;Resumen_Sprints!$E$9,CB$4&lt;=Resumen_Sprints!$E$9+Resumen_Sprints!$D$9),INDEX('Sprint N°4'!$C$9:$P$9,CB$4-Resumen_Sprints!$E$9),0)</f>
        <v>0</v>
      </c>
      <c r="CC27" s="23">
        <f t="array" ref="CC27">IF(AND(CC$4&gt;Resumen_Sprints!$E$9,CC$4&lt;=Resumen_Sprints!$E$9+Resumen_Sprints!$D$9),INDEX('Sprint N°4'!$C$9:$P$9,CC$4-Resumen_Sprints!$E$9),0)</f>
        <v>0</v>
      </c>
      <c r="CD27" s="23">
        <f t="array" ref="CD27">IF(AND(CD$4&gt;Resumen_Sprints!$E$9,CD$4&lt;=Resumen_Sprints!$E$9+Resumen_Sprints!$D$9),INDEX('Sprint N°4'!$C$9:$P$9,CD$4-Resumen_Sprints!$E$9),0)</f>
        <v>0</v>
      </c>
      <c r="CE27" s="23">
        <f t="array" ref="CE27">IF(AND(CE$4&gt;Resumen_Sprints!$E$9,CE$4&lt;=Resumen_Sprints!$E$9+Resumen_Sprints!$D$9),INDEX('Sprint N°4'!$C$9:$P$9,CE$4-Resumen_Sprints!$E$9),0)</f>
        <v>0</v>
      </c>
      <c r="CF27" s="23">
        <f t="array" ref="CF27">IF(AND(CF$4&gt;Resumen_Sprints!$E$9,CF$4&lt;=Resumen_Sprints!$E$9+Resumen_Sprints!$D$9),INDEX('Sprint N°4'!$C$9:$P$9,CF$4-Resumen_Sprints!$E$9),0)</f>
        <v>0</v>
      </c>
      <c r="CG27" s="23">
        <f t="array" ref="CG27">IF(AND(CG$4&gt;Resumen_Sprints!$E$9,CG$4&lt;=Resumen_Sprints!$E$9+Resumen_Sprints!$D$9),INDEX('Sprint N°4'!$C$9:$P$9,CG$4-Resumen_Sprints!$E$9),0)</f>
        <v>0</v>
      </c>
      <c r="CH27" s="23">
        <f t="array" ref="CH27">IF(AND(CH$4&gt;Resumen_Sprints!$E$9,CH$4&lt;=Resumen_Sprints!$E$9+Resumen_Sprints!$D$9),INDEX('Sprint N°4'!$C$9:$P$9,CH$4-Resumen_Sprints!$E$9),0)</f>
        <v>0</v>
      </c>
      <c r="CI27" s="23">
        <f t="array" ref="CI27">IF(AND(CI$4&gt;Resumen_Sprints!$E$9,CI$4&lt;=Resumen_Sprints!$E$9+Resumen_Sprints!$D$9),INDEX('Sprint N°4'!$C$9:$P$9,CI$4-Resumen_Sprints!$E$9),0)</f>
        <v>0</v>
      </c>
      <c r="CJ27" s="23">
        <f t="array" ref="CJ27">IF(AND(CJ$4&gt;Resumen_Sprints!$E$9,CJ$4&lt;=Resumen_Sprints!$E$9+Resumen_Sprints!$D$9),INDEX('Sprint N°4'!$C$9:$P$9,CJ$4-Resumen_Sprints!$E$9),0)</f>
        <v>0</v>
      </c>
      <c r="CK27" s="23">
        <f t="array" ref="CK27">IF(AND(CK$4&gt;Resumen_Sprints!$E$9,CK$4&lt;=Resumen_Sprints!$E$9+Resumen_Sprints!$D$9),INDEX('Sprint N°4'!$C$9:$P$9,CK$4-Resumen_Sprints!$E$9),0)</f>
        <v>0</v>
      </c>
      <c r="CL27" s="23">
        <f t="array" ref="CL27">IF(AND(CL$4&gt;Resumen_Sprints!$E$9,CL$4&lt;=Resumen_Sprints!$E$9+Resumen_Sprints!$D$9),INDEX('Sprint N°4'!$C$9:$P$9,CL$4-Resumen_Sprints!$E$9),0)</f>
        <v>0</v>
      </c>
      <c r="CM27" s="23">
        <f t="array" ref="CM27">IF(AND(CM$4&gt;Resumen_Sprints!$E$9,CM$4&lt;=Resumen_Sprints!$E$9+Resumen_Sprints!$D$9),INDEX('Sprint N°4'!$C$9:$P$9,CM$4-Resumen_Sprints!$E$9),0)</f>
        <v>0</v>
      </c>
      <c r="CN27" s="23">
        <f t="array" ref="CN27">IF(AND(CN$4&gt;Resumen_Sprints!$E$9,CN$4&lt;=Resumen_Sprints!$E$9+Resumen_Sprints!$D$9),INDEX('Sprint N°4'!$C$9:$P$9,CN$4-Resumen_Sprints!$E$9),0)</f>
        <v>0</v>
      </c>
      <c r="CO27" s="23">
        <f t="array" ref="CO27">IF(AND(CO$4&gt;Resumen_Sprints!$E$9,CO$4&lt;=Resumen_Sprints!$E$9+Resumen_Sprints!$D$9),INDEX('Sprint N°4'!$C$9:$P$9,CO$4-Resumen_Sprints!$E$9),0)</f>
        <v>0</v>
      </c>
      <c r="CP27" s="23">
        <f t="array" ref="CP27">IF(AND(CP$4&gt;Resumen_Sprints!$E$9,CP$4&lt;=Resumen_Sprints!$E$9+Resumen_Sprints!$D$9),INDEX('Sprint N°4'!$C$9:$P$9,CP$4-Resumen_Sprints!$E$9),0)</f>
        <v>0</v>
      </c>
      <c r="CQ27" s="23">
        <f t="array" ref="CQ27">IF(AND(CQ$4&gt;Resumen_Sprints!$E$9,CQ$4&lt;=Resumen_Sprints!$E$9+Resumen_Sprints!$D$9),INDEX('Sprint N°4'!$C$9:$P$9,CQ$4-Resumen_Sprints!$E$9),0)</f>
        <v>0</v>
      </c>
      <c r="CR27" s="23">
        <f t="array" ref="CR27">IF(AND(CR$4&gt;Resumen_Sprints!$E$9,CR$4&lt;=Resumen_Sprints!$E$9+Resumen_Sprints!$D$9),INDEX('Sprint N°4'!$C$9:$P$9,CR$4-Resumen_Sprints!$E$9),0)</f>
        <v>0</v>
      </c>
      <c r="CS27" s="23">
        <f t="array" ref="CS27">IF(AND(CS$4&gt;Resumen_Sprints!$E$9,CS$4&lt;=Resumen_Sprints!$E$9+Resumen_Sprints!$D$9),INDEX('Sprint N°4'!$C$9:$P$9,CS$4-Resumen_Sprints!$E$9),0)</f>
        <v>0</v>
      </c>
      <c r="CT27" s="23">
        <f t="array" ref="CT27">IF(AND(CT$4&gt;Resumen_Sprints!$E$9,CT$4&lt;=Resumen_Sprints!$E$9+Resumen_Sprints!$D$9),INDEX('Sprint N°4'!$C$9:$P$9,CT$4-Resumen_Sprints!$E$9),0)</f>
        <v>0</v>
      </c>
      <c r="CU27" s="25">
        <f t="shared" si="4"/>
        <v>16</v>
      </c>
    </row>
    <row r="28" ht="14.25" customHeight="1">
      <c r="A28" s="9" t="str">
        <f>"Sprint N°"&amp;Resumen_Sprints!A10&amp;" – "&amp;Resumen_Sprints!B10</f>
        <v>Sprint N°5 – Interfaz Gráfica Interactiva</v>
      </c>
      <c r="B28" s="10">
        <f>SUM(B29:B32)</f>
        <v>97</v>
      </c>
      <c r="CU28" s="28"/>
    </row>
    <row r="29" ht="14.25" customHeight="1">
      <c r="A29" s="11" t="str">
        <f>'Sprint N°5'!A6</f>
        <v>Coordinación del Objetivos Sprint 5</v>
      </c>
      <c r="B29" s="11">
        <f>'Sprint N°5'!B6</f>
        <v>1</v>
      </c>
      <c r="C29" s="23">
        <f t="array" ref="C29">IF(AND(C$4&gt;Resumen_Sprints!$E$10,C$4&lt;=Resumen_Sprints!$E$10+Resumen_Sprints!$D$10),INDEX('Sprint N°5'!$C$6:$R$6,C$4-Resumen_Sprints!$E$10),0)</f>
        <v>0</v>
      </c>
      <c r="D29" s="23">
        <f t="array" ref="D29">IF(AND(D$4&gt;Resumen_Sprints!$E$10,D$4&lt;=Resumen_Sprints!$E$10+Resumen_Sprints!$D$10),INDEX('Sprint N°5'!$C$6:$R$6,D$4-Resumen_Sprints!$E$10),0)</f>
        <v>0</v>
      </c>
      <c r="E29" s="23">
        <f t="array" ref="E29">IF(AND(E$4&gt;Resumen_Sprints!$E$10,E$4&lt;=Resumen_Sprints!$E$10+Resumen_Sprints!$D$10),INDEX('Sprint N°5'!$C$6:$R$6,E$4-Resumen_Sprints!$E$10),0)</f>
        <v>0</v>
      </c>
      <c r="F29" s="23">
        <f t="array" ref="F29">IF(AND(F$4&gt;Resumen_Sprints!$E$10,F$4&lt;=Resumen_Sprints!$E$10+Resumen_Sprints!$D$10),INDEX('Sprint N°5'!$C$6:$R$6,F$4-Resumen_Sprints!$E$10),0)</f>
        <v>0</v>
      </c>
      <c r="G29" s="23">
        <f t="array" ref="G29">IF(AND(G$4&gt;Resumen_Sprints!$E$10,G$4&lt;=Resumen_Sprints!$E$10+Resumen_Sprints!$D$10),INDEX('Sprint N°5'!$C$6:$R$6,G$4-Resumen_Sprints!$E$10),0)</f>
        <v>0</v>
      </c>
      <c r="H29" s="23">
        <f t="array" ref="H29">IF(AND(H$4&gt;Resumen_Sprints!$E$10,H$4&lt;=Resumen_Sprints!$E$10+Resumen_Sprints!$D$10),INDEX('Sprint N°5'!$C$6:$R$6,H$4-Resumen_Sprints!$E$10),0)</f>
        <v>0</v>
      </c>
      <c r="I29" s="23">
        <f t="array" ref="I29">IF(AND(I$4&gt;Resumen_Sprints!$E$10,I$4&lt;=Resumen_Sprints!$E$10+Resumen_Sprints!$D$10),INDEX('Sprint N°5'!$C$6:$R$6,I$4-Resumen_Sprints!$E$10),0)</f>
        <v>0</v>
      </c>
      <c r="J29" s="23">
        <f t="array" ref="J29">IF(AND(J$4&gt;Resumen_Sprints!$E$10,J$4&lt;=Resumen_Sprints!$E$10+Resumen_Sprints!$D$10),INDEX('Sprint N°5'!$C$6:$R$6,J$4-Resumen_Sprints!$E$10),0)</f>
        <v>0</v>
      </c>
      <c r="K29" s="23">
        <f t="array" ref="K29">IF(AND(K$4&gt;Resumen_Sprints!$E$10,K$4&lt;=Resumen_Sprints!$E$10+Resumen_Sprints!$D$10),INDEX('Sprint N°5'!$C$6:$R$6,K$4-Resumen_Sprints!$E$10),0)</f>
        <v>0</v>
      </c>
      <c r="L29" s="23">
        <f t="array" ref="L29">IF(AND(L$4&gt;Resumen_Sprints!$E$10,L$4&lt;=Resumen_Sprints!$E$10+Resumen_Sprints!$D$10),INDEX('Sprint N°5'!$C$6:$R$6,L$4-Resumen_Sprints!$E$10),0)</f>
        <v>0</v>
      </c>
      <c r="M29" s="23">
        <f t="array" ref="M29">IF(AND(M$4&gt;Resumen_Sprints!$E$10,M$4&lt;=Resumen_Sprints!$E$10+Resumen_Sprints!$D$10),INDEX('Sprint N°5'!$C$6:$R$6,M$4-Resumen_Sprints!$E$10),0)</f>
        <v>0</v>
      </c>
      <c r="N29" s="23">
        <f t="array" ref="N29">IF(AND(N$4&gt;Resumen_Sprints!$E$10,N$4&lt;=Resumen_Sprints!$E$10+Resumen_Sprints!$D$10),INDEX('Sprint N°5'!$C$6:$R$6,N$4-Resumen_Sprints!$E$10),0)</f>
        <v>0</v>
      </c>
      <c r="O29" s="23">
        <f t="array" ref="O29">IF(AND(O$4&gt;Resumen_Sprints!$E$10,O$4&lt;=Resumen_Sprints!$E$10+Resumen_Sprints!$D$10),INDEX('Sprint N°5'!$C$6:$R$6,O$4-Resumen_Sprints!$E$10),0)</f>
        <v>0</v>
      </c>
      <c r="P29" s="23">
        <f t="array" ref="P29">IF(AND(P$4&gt;Resumen_Sprints!$E$10,P$4&lt;=Resumen_Sprints!$E$10+Resumen_Sprints!$D$10),INDEX('Sprint N°5'!$C$6:$R$6,P$4-Resumen_Sprints!$E$10),0)</f>
        <v>0</v>
      </c>
      <c r="Q29" s="23">
        <f t="array" ref="Q29">IF(AND(Q$4&gt;Resumen_Sprints!$E$10,Q$4&lt;=Resumen_Sprints!$E$10+Resumen_Sprints!$D$10),INDEX('Sprint N°5'!$C$6:$R$6,Q$4-Resumen_Sprints!$E$10),0)</f>
        <v>0</v>
      </c>
      <c r="R29" s="23">
        <f t="array" ref="R29">IF(AND(R$4&gt;Resumen_Sprints!$E$10,R$4&lt;=Resumen_Sprints!$E$10+Resumen_Sprints!$D$10),INDEX('Sprint N°5'!$C$6:$R$6,R$4-Resumen_Sprints!$E$10),0)</f>
        <v>0</v>
      </c>
      <c r="S29" s="23">
        <f t="array" ref="S29">IF(AND(S$4&gt;Resumen_Sprints!$E$10,S$4&lt;=Resumen_Sprints!$E$10+Resumen_Sprints!$D$10),INDEX('Sprint N°5'!$C$6:$R$6,S$4-Resumen_Sprints!$E$10),0)</f>
        <v>0</v>
      </c>
      <c r="T29" s="23">
        <f t="array" ref="T29">IF(AND(T$4&gt;Resumen_Sprints!$E$10,T$4&lt;=Resumen_Sprints!$E$10+Resumen_Sprints!$D$10),INDEX('Sprint N°5'!$C$6:$R$6,T$4-Resumen_Sprints!$E$10),0)</f>
        <v>0</v>
      </c>
      <c r="U29" s="23">
        <f t="array" ref="U29">IF(AND(U$4&gt;Resumen_Sprints!$E$10,U$4&lt;=Resumen_Sprints!$E$10+Resumen_Sprints!$D$10),INDEX('Sprint N°5'!$C$6:$R$6,U$4-Resumen_Sprints!$E$10),0)</f>
        <v>0</v>
      </c>
      <c r="V29" s="23">
        <f t="array" ref="V29">IF(AND(V$4&gt;Resumen_Sprints!$E$10,V$4&lt;=Resumen_Sprints!$E$10+Resumen_Sprints!$D$10),INDEX('Sprint N°5'!$C$6:$R$6,V$4-Resumen_Sprints!$E$10),0)</f>
        <v>0</v>
      </c>
      <c r="W29" s="23">
        <f t="array" ref="W29">IF(AND(W$4&gt;Resumen_Sprints!$E$10,W$4&lt;=Resumen_Sprints!$E$10+Resumen_Sprints!$D$10),INDEX('Sprint N°5'!$C$6:$R$6,W$4-Resumen_Sprints!$E$10),0)</f>
        <v>0</v>
      </c>
      <c r="X29" s="23">
        <f t="array" ref="X29">IF(AND(X$4&gt;Resumen_Sprints!$E$10,X$4&lt;=Resumen_Sprints!$E$10+Resumen_Sprints!$D$10),INDEX('Sprint N°5'!$C$6:$R$6,X$4-Resumen_Sprints!$E$10),0)</f>
        <v>0</v>
      </c>
      <c r="Y29" s="23">
        <f t="array" ref="Y29">IF(AND(Y$4&gt;Resumen_Sprints!$E$10,Y$4&lt;=Resumen_Sprints!$E$10+Resumen_Sprints!$D$10),INDEX('Sprint N°5'!$C$6:$R$6,Y$4-Resumen_Sprints!$E$10),0)</f>
        <v>0</v>
      </c>
      <c r="Z29" s="23">
        <f t="array" ref="Z29">IF(AND(Z$4&gt;Resumen_Sprints!$E$10,Z$4&lt;=Resumen_Sprints!$E$10+Resumen_Sprints!$D$10),INDEX('Sprint N°5'!$C$6:$R$6,Z$4-Resumen_Sprints!$E$10),0)</f>
        <v>0</v>
      </c>
      <c r="AA29" s="23">
        <f t="array" ref="AA29">IF(AND(AA$4&gt;Resumen_Sprints!$E$10,AA$4&lt;=Resumen_Sprints!$E$10+Resumen_Sprints!$D$10),INDEX('Sprint N°5'!$C$6:$R$6,AA$4-Resumen_Sprints!$E$10),0)</f>
        <v>0</v>
      </c>
      <c r="AB29" s="23">
        <f t="array" ref="AB29">IF(AND(AB$4&gt;Resumen_Sprints!$E$10,AB$4&lt;=Resumen_Sprints!$E$10+Resumen_Sprints!$D$10),INDEX('Sprint N°5'!$C$6:$R$6,AB$4-Resumen_Sprints!$E$10),0)</f>
        <v>0</v>
      </c>
      <c r="AC29" s="23">
        <f t="array" ref="AC29">IF(AND(AC$4&gt;Resumen_Sprints!$E$10,AC$4&lt;=Resumen_Sprints!$E$10+Resumen_Sprints!$D$10),INDEX('Sprint N°5'!$C$6:$R$6,AC$4-Resumen_Sprints!$E$10),0)</f>
        <v>0</v>
      </c>
      <c r="AD29" s="23">
        <f t="array" ref="AD29">IF(AND(AD$4&gt;Resumen_Sprints!$E$10,AD$4&lt;=Resumen_Sprints!$E$10+Resumen_Sprints!$D$10),INDEX('Sprint N°5'!$C$6:$R$6,AD$4-Resumen_Sprints!$E$10),0)</f>
        <v>0</v>
      </c>
      <c r="AE29" s="23">
        <f t="array" ref="AE29">IF(AND(AE$4&gt;Resumen_Sprints!$E$10,AE$4&lt;=Resumen_Sprints!$E$10+Resumen_Sprints!$D$10),INDEX('Sprint N°5'!$C$6:$R$6,AE$4-Resumen_Sprints!$E$10),0)</f>
        <v>0</v>
      </c>
      <c r="AF29" s="23">
        <f t="array" ref="AF29">IF(AND(AF$4&gt;Resumen_Sprints!$E$10,AF$4&lt;=Resumen_Sprints!$E$10+Resumen_Sprints!$D$10),INDEX('Sprint N°5'!$C$6:$R$6,AF$4-Resumen_Sprints!$E$10),0)</f>
        <v>0</v>
      </c>
      <c r="AG29" s="23">
        <f t="array" ref="AG29">IF(AND(AG$4&gt;Resumen_Sprints!$E$10,AG$4&lt;=Resumen_Sprints!$E$10+Resumen_Sprints!$D$10),INDEX('Sprint N°5'!$C$6:$R$6,AG$4-Resumen_Sprints!$E$10),0)</f>
        <v>0</v>
      </c>
      <c r="AH29" s="23">
        <f t="array" ref="AH29">IF(AND(AH$4&gt;Resumen_Sprints!$E$10,AH$4&lt;=Resumen_Sprints!$E$10+Resumen_Sprints!$D$10),INDEX('Sprint N°5'!$C$6:$R$6,AH$4-Resumen_Sprints!$E$10),0)</f>
        <v>0</v>
      </c>
      <c r="AI29" s="23">
        <f t="array" ref="AI29">IF(AND(AI$4&gt;Resumen_Sprints!$E$10,AI$4&lt;=Resumen_Sprints!$E$10+Resumen_Sprints!$D$10),INDEX('Sprint N°5'!$C$6:$R$6,AI$4-Resumen_Sprints!$E$10),0)</f>
        <v>0</v>
      </c>
      <c r="AJ29" s="23">
        <f t="array" ref="AJ29">IF(AND(AJ$4&gt;Resumen_Sprints!$E$10,AJ$4&lt;=Resumen_Sprints!$E$10+Resumen_Sprints!$D$10),INDEX('Sprint N°5'!$C$6:$R$6,AJ$4-Resumen_Sprints!$E$10),0)</f>
        <v>0</v>
      </c>
      <c r="AK29" s="23">
        <f t="array" ref="AK29">IF(AND(AK$4&gt;Resumen_Sprints!$E$10,AK$4&lt;=Resumen_Sprints!$E$10+Resumen_Sprints!$D$10),INDEX('Sprint N°5'!$C$6:$R$6,AK$4-Resumen_Sprints!$E$10),0)</f>
        <v>0</v>
      </c>
      <c r="AL29" s="23">
        <f t="array" ref="AL29">IF(AND(AL$4&gt;Resumen_Sprints!$E$10,AL$4&lt;=Resumen_Sprints!$E$10+Resumen_Sprints!$D$10),INDEX('Sprint N°5'!$C$6:$R$6,AL$4-Resumen_Sprints!$E$10),0)</f>
        <v>0</v>
      </c>
      <c r="AM29" s="23">
        <f t="array" ref="AM29">IF(AND(AM$4&gt;Resumen_Sprints!$E$10,AM$4&lt;=Resumen_Sprints!$E$10+Resumen_Sprints!$D$10),INDEX('Sprint N°5'!$C$6:$R$6,AM$4-Resumen_Sprints!$E$10),0)</f>
        <v>0</v>
      </c>
      <c r="AN29" s="23">
        <f t="array" ref="AN29">IF(AND(AN$4&gt;Resumen_Sprints!$E$10,AN$4&lt;=Resumen_Sprints!$E$10+Resumen_Sprints!$D$10),INDEX('Sprint N°5'!$C$6:$R$6,AN$4-Resumen_Sprints!$E$10),0)</f>
        <v>0</v>
      </c>
      <c r="AO29" s="23">
        <f t="array" ref="AO29">IF(AND(AO$4&gt;Resumen_Sprints!$E$10,AO$4&lt;=Resumen_Sprints!$E$10+Resumen_Sprints!$D$10),INDEX('Sprint N°5'!$C$6:$R$6,AO$4-Resumen_Sprints!$E$10),0)</f>
        <v>0</v>
      </c>
      <c r="AP29" s="23">
        <f t="array" ref="AP29">IF(AND(AP$4&gt;Resumen_Sprints!$E$10,AP$4&lt;=Resumen_Sprints!$E$10+Resumen_Sprints!$D$10),INDEX('Sprint N°5'!$C$6:$R$6,AP$4-Resumen_Sprints!$E$10),0)</f>
        <v>0</v>
      </c>
      <c r="AQ29" s="23">
        <f t="array" ref="AQ29">IF(AND(AQ$4&gt;Resumen_Sprints!$E$10,AQ$4&lt;=Resumen_Sprints!$E$10+Resumen_Sprints!$D$10),INDEX('Sprint N°5'!$C$6:$R$6,AQ$4-Resumen_Sprints!$E$10),0)</f>
        <v>0</v>
      </c>
      <c r="AR29" s="23">
        <f t="array" ref="AR29">IF(AND(AR$4&gt;Resumen_Sprints!$E$10,AR$4&lt;=Resumen_Sprints!$E$10+Resumen_Sprints!$D$10),INDEX('Sprint N°5'!$C$6:$R$6,AR$4-Resumen_Sprints!$E$10),0)</f>
        <v>1</v>
      </c>
      <c r="AS29" s="23" t="str">
        <f t="array" ref="AS29">IF(AND(AS$4&gt;Resumen_Sprints!$E$10,AS$4&lt;=Resumen_Sprints!$E$10+Resumen_Sprints!$D$10),INDEX('Sprint N°5'!$C$6:$R$6,AS$4-Resumen_Sprints!$E$10),0)</f>
        <v/>
      </c>
      <c r="AT29" s="23" t="str">
        <f t="array" ref="AT29">IF(AND(AT$4&gt;Resumen_Sprints!$E$10,AT$4&lt;=Resumen_Sprints!$E$10+Resumen_Sprints!$D$10),INDEX('Sprint N°5'!$C$6:$R$6,AT$4-Resumen_Sprints!$E$10),0)</f>
        <v/>
      </c>
      <c r="AU29" s="23" t="str">
        <f t="array" ref="AU29">IF(AND(AU$4&gt;Resumen_Sprints!$E$10,AU$4&lt;=Resumen_Sprints!$E$10+Resumen_Sprints!$D$10),INDEX('Sprint N°5'!$C$6:$R$6,AU$4-Resumen_Sprints!$E$10),0)</f>
        <v/>
      </c>
      <c r="AV29" s="23" t="str">
        <f t="array" ref="AV29">IF(AND(AV$4&gt;Resumen_Sprints!$E$10,AV$4&lt;=Resumen_Sprints!$E$10+Resumen_Sprints!$D$10),INDEX('Sprint N°5'!$C$6:$R$6,AV$4-Resumen_Sprints!$E$10),0)</f>
        <v/>
      </c>
      <c r="AW29" s="23" t="str">
        <f t="array" ref="AW29">IF(AND(AW$4&gt;Resumen_Sprints!$E$10,AW$4&lt;=Resumen_Sprints!$E$10+Resumen_Sprints!$D$10),INDEX('Sprint N°5'!$C$6:$R$6,AW$4-Resumen_Sprints!$E$10),0)</f>
        <v/>
      </c>
      <c r="AX29" s="23" t="str">
        <f t="array" ref="AX29">IF(AND(AX$4&gt;Resumen_Sprints!$E$10,AX$4&lt;=Resumen_Sprints!$E$10+Resumen_Sprints!$D$10),INDEX('Sprint N°5'!$C$6:$R$6,AX$4-Resumen_Sprints!$E$10),0)</f>
        <v/>
      </c>
      <c r="AY29" s="23" t="str">
        <f t="array" ref="AY29">IF(AND(AY$4&gt;Resumen_Sprints!$E$10,AY$4&lt;=Resumen_Sprints!$E$10+Resumen_Sprints!$D$10),INDEX('Sprint N°5'!$C$6:$R$6,AY$4-Resumen_Sprints!$E$10),0)</f>
        <v/>
      </c>
      <c r="AZ29" s="23" t="str">
        <f t="array" ref="AZ29">IF(AND(AZ$4&gt;Resumen_Sprints!$E$10,AZ$4&lt;=Resumen_Sprints!$E$10+Resumen_Sprints!$D$10),INDEX('Sprint N°5'!$C$6:$R$6,AZ$4-Resumen_Sprints!$E$10),0)</f>
        <v/>
      </c>
      <c r="BA29" s="23" t="str">
        <f t="array" ref="BA29">IF(AND(BA$4&gt;Resumen_Sprints!$E$10,BA$4&lt;=Resumen_Sprints!$E$10+Resumen_Sprints!$D$10),INDEX('Sprint N°5'!$C$6:$R$6,BA$4-Resumen_Sprints!$E$10),0)</f>
        <v/>
      </c>
      <c r="BB29" s="23" t="str">
        <f t="array" ref="BB29">IF(AND(BB$4&gt;Resumen_Sprints!$E$10,BB$4&lt;=Resumen_Sprints!$E$10+Resumen_Sprints!$D$10),INDEX('Sprint N°5'!$C$6:$R$6,BB$4-Resumen_Sprints!$E$10),0)</f>
        <v/>
      </c>
      <c r="BC29" s="23" t="str">
        <f t="array" ref="BC29">IF(AND(BC$4&gt;Resumen_Sprints!$E$10,BC$4&lt;=Resumen_Sprints!$E$10+Resumen_Sprints!$D$10),INDEX('Sprint N°5'!$C$6:$R$6,BC$4-Resumen_Sprints!$E$10),0)</f>
        <v/>
      </c>
      <c r="BD29" s="23" t="str">
        <f t="array" ref="BD29">IF(AND(BD$4&gt;Resumen_Sprints!$E$10,BD$4&lt;=Resumen_Sprints!$E$10+Resumen_Sprints!$D$10),INDEX('Sprint N°5'!$C$6:$R$6,BD$4-Resumen_Sprints!$E$10),0)</f>
        <v/>
      </c>
      <c r="BE29" s="23" t="str">
        <f t="array" ref="BE29">IF(AND(BE$4&gt;Resumen_Sprints!$E$10,BE$4&lt;=Resumen_Sprints!$E$10+Resumen_Sprints!$D$10),INDEX('Sprint N°5'!$C$6:$R$6,BE$4-Resumen_Sprints!$E$10),0)</f>
        <v/>
      </c>
      <c r="BF29" s="23" t="str">
        <f t="array" ref="BF29">IF(AND(BF$4&gt;Resumen_Sprints!$E$10,BF$4&lt;=Resumen_Sprints!$E$10+Resumen_Sprints!$D$10),INDEX('Sprint N°5'!$C$6:$R$6,BF$4-Resumen_Sprints!$E$10),0)</f>
        <v/>
      </c>
      <c r="BG29" s="23" t="str">
        <f t="array" ref="BG29">IF(AND(BG$4&gt;Resumen_Sprints!$E$10,BG$4&lt;=Resumen_Sprints!$E$10+Resumen_Sprints!$D$10),INDEX('Sprint N°5'!$C$6:$R$6,BG$4-Resumen_Sprints!$E$10),0)</f>
        <v/>
      </c>
      <c r="BH29" s="23">
        <f t="array" ref="BH29">IF(AND(BH$4&gt;Resumen_Sprints!$E$10,BH$4&lt;=Resumen_Sprints!$E$10+Resumen_Sprints!$D$10),INDEX('Sprint N°5'!$C$6:$R$6,BH$4-Resumen_Sprints!$E$10),0)</f>
        <v>0</v>
      </c>
      <c r="BI29" s="23">
        <f t="array" ref="BI29">IF(AND(BI$4&gt;Resumen_Sprints!$E$10,BI$4&lt;=Resumen_Sprints!$E$10+Resumen_Sprints!$D$10),INDEX('Sprint N°5'!$C$6:$R$6,BI$4-Resumen_Sprints!$E$10),0)</f>
        <v>0</v>
      </c>
      <c r="BJ29" s="23">
        <f t="array" ref="BJ29">IF(AND(BJ$4&gt;Resumen_Sprints!$E$10,BJ$4&lt;=Resumen_Sprints!$E$10+Resumen_Sprints!$D$10),INDEX('Sprint N°5'!$C$6:$R$6,BJ$4-Resumen_Sprints!$E$10),0)</f>
        <v>0</v>
      </c>
      <c r="BK29" s="23">
        <f t="array" ref="BK29">IF(AND(BK$4&gt;Resumen_Sprints!$E$10,BK$4&lt;=Resumen_Sprints!$E$10+Resumen_Sprints!$D$10),INDEX('Sprint N°5'!$C$6:$R$6,BK$4-Resumen_Sprints!$E$10),0)</f>
        <v>0</v>
      </c>
      <c r="BL29" s="23">
        <f t="array" ref="BL29">IF(AND(BL$4&gt;Resumen_Sprints!$E$10,BL$4&lt;=Resumen_Sprints!$E$10+Resumen_Sprints!$D$10),INDEX('Sprint N°5'!$C$6:$R$6,BL$4-Resumen_Sprints!$E$10),0)</f>
        <v>0</v>
      </c>
      <c r="BM29" s="23">
        <f t="array" ref="BM29">IF(AND(BM$4&gt;Resumen_Sprints!$E$10,BM$4&lt;=Resumen_Sprints!$E$10+Resumen_Sprints!$D$10),INDEX('Sprint N°5'!$C$6:$R$6,BM$4-Resumen_Sprints!$E$10),0)</f>
        <v>0</v>
      </c>
      <c r="BN29" s="23">
        <f t="array" ref="BN29">IF(AND(BN$4&gt;Resumen_Sprints!$E$10,BN$4&lt;=Resumen_Sprints!$E$10+Resumen_Sprints!$D$10),INDEX('Sprint N°5'!$C$6:$R$6,BN$4-Resumen_Sprints!$E$10),0)</f>
        <v>0</v>
      </c>
      <c r="BO29" s="23">
        <f t="array" ref="BO29">IF(AND(BO$4&gt;Resumen_Sprints!$E$10,BO$4&lt;=Resumen_Sprints!$E$10+Resumen_Sprints!$D$10),INDEX('Sprint N°5'!$C$6:$R$6,BO$4-Resumen_Sprints!$E$10),0)</f>
        <v>0</v>
      </c>
      <c r="BP29" s="23">
        <f t="array" ref="BP29">IF(AND(BP$4&gt;Resumen_Sprints!$E$10,BP$4&lt;=Resumen_Sprints!$E$10+Resumen_Sprints!$D$10),INDEX('Sprint N°5'!$C$6:$R$6,BP$4-Resumen_Sprints!$E$10),0)</f>
        <v>0</v>
      </c>
      <c r="BQ29" s="23">
        <f t="array" ref="BQ29">IF(AND(BQ$4&gt;Resumen_Sprints!$E$10,BQ$4&lt;=Resumen_Sprints!$E$10+Resumen_Sprints!$D$10),INDEX('Sprint N°5'!$C$6:$R$6,BQ$4-Resumen_Sprints!$E$10),0)</f>
        <v>0</v>
      </c>
      <c r="BR29" s="23">
        <f t="array" ref="BR29">IF(AND(BR$4&gt;Resumen_Sprints!$E$10,BR$4&lt;=Resumen_Sprints!$E$10+Resumen_Sprints!$D$10),INDEX('Sprint N°5'!$C$6:$R$6,BR$4-Resumen_Sprints!$E$10),0)</f>
        <v>0</v>
      </c>
      <c r="BS29" s="23">
        <f t="array" ref="BS29">IF(AND(BS$4&gt;Resumen_Sprints!$E$10,BS$4&lt;=Resumen_Sprints!$E$10+Resumen_Sprints!$D$10),INDEX('Sprint N°5'!$C$6:$R$6,BS$4-Resumen_Sprints!$E$10),0)</f>
        <v>0</v>
      </c>
      <c r="BT29" s="23">
        <f t="array" ref="BT29">IF(AND(BT$4&gt;Resumen_Sprints!$E$10,BT$4&lt;=Resumen_Sprints!$E$10+Resumen_Sprints!$D$10),INDEX('Sprint N°5'!$C$6:$R$6,BT$4-Resumen_Sprints!$E$10),0)</f>
        <v>0</v>
      </c>
      <c r="BU29" s="23">
        <f t="array" ref="BU29">IF(AND(BU$4&gt;Resumen_Sprints!$E$10,BU$4&lt;=Resumen_Sprints!$E$10+Resumen_Sprints!$D$10),INDEX('Sprint N°5'!$C$6:$R$6,BU$4-Resumen_Sprints!$E$10),0)</f>
        <v>0</v>
      </c>
      <c r="BV29" s="23">
        <f t="array" ref="BV29">IF(AND(BV$4&gt;Resumen_Sprints!$E$10,BV$4&lt;=Resumen_Sprints!$E$10+Resumen_Sprints!$D$10),INDEX('Sprint N°5'!$C$6:$R$6,BV$4-Resumen_Sprints!$E$10),0)</f>
        <v>0</v>
      </c>
      <c r="BW29" s="23">
        <f t="array" ref="BW29">IF(AND(BW$4&gt;Resumen_Sprints!$E$10,BW$4&lt;=Resumen_Sprints!$E$10+Resumen_Sprints!$D$10),INDEX('Sprint N°5'!$C$6:$R$6,BW$4-Resumen_Sprints!$E$10),0)</f>
        <v>0</v>
      </c>
      <c r="BX29" s="23">
        <f t="array" ref="BX29">IF(AND(BX$4&gt;Resumen_Sprints!$E$10,BX$4&lt;=Resumen_Sprints!$E$10+Resumen_Sprints!$D$10),INDEX('Sprint N°5'!$C$6:$R$6,BX$4-Resumen_Sprints!$E$10),0)</f>
        <v>0</v>
      </c>
      <c r="BY29" s="23">
        <f t="array" ref="BY29">IF(AND(BY$4&gt;Resumen_Sprints!$E$10,BY$4&lt;=Resumen_Sprints!$E$10+Resumen_Sprints!$D$10),INDEX('Sprint N°5'!$C$6:$R$6,BY$4-Resumen_Sprints!$E$10),0)</f>
        <v>0</v>
      </c>
      <c r="BZ29" s="23">
        <f t="array" ref="BZ29">IF(AND(BZ$4&gt;Resumen_Sprints!$E$10,BZ$4&lt;=Resumen_Sprints!$E$10+Resumen_Sprints!$D$10),INDEX('Sprint N°5'!$C$6:$R$6,BZ$4-Resumen_Sprints!$E$10),0)</f>
        <v>0</v>
      </c>
      <c r="CA29" s="23">
        <f t="array" ref="CA29">IF(AND(CA$4&gt;Resumen_Sprints!$E$10,CA$4&lt;=Resumen_Sprints!$E$10+Resumen_Sprints!$D$10),INDEX('Sprint N°5'!$C$6:$R$6,CA$4-Resumen_Sprints!$E$10),0)</f>
        <v>0</v>
      </c>
      <c r="CB29" s="23">
        <f t="array" ref="CB29">IF(AND(CB$4&gt;Resumen_Sprints!$E$10,CB$4&lt;=Resumen_Sprints!$E$10+Resumen_Sprints!$D$10),INDEX('Sprint N°5'!$C$6:$R$6,CB$4-Resumen_Sprints!$E$10),0)</f>
        <v>0</v>
      </c>
      <c r="CC29" s="23">
        <f t="array" ref="CC29">IF(AND(CC$4&gt;Resumen_Sprints!$E$10,CC$4&lt;=Resumen_Sprints!$E$10+Resumen_Sprints!$D$10),INDEX('Sprint N°5'!$C$6:$R$6,CC$4-Resumen_Sprints!$E$10),0)</f>
        <v>0</v>
      </c>
      <c r="CD29" s="23">
        <f t="array" ref="CD29">IF(AND(CD$4&gt;Resumen_Sprints!$E$10,CD$4&lt;=Resumen_Sprints!$E$10+Resumen_Sprints!$D$10),INDEX('Sprint N°5'!$C$6:$R$6,CD$4-Resumen_Sprints!$E$10),0)</f>
        <v>0</v>
      </c>
      <c r="CE29" s="23">
        <f t="array" ref="CE29">IF(AND(CE$4&gt;Resumen_Sprints!$E$10,CE$4&lt;=Resumen_Sprints!$E$10+Resumen_Sprints!$D$10),INDEX('Sprint N°5'!$C$6:$R$6,CE$4-Resumen_Sprints!$E$10),0)</f>
        <v>0</v>
      </c>
      <c r="CF29" s="23">
        <f t="array" ref="CF29">IF(AND(CF$4&gt;Resumen_Sprints!$E$10,CF$4&lt;=Resumen_Sprints!$E$10+Resumen_Sprints!$D$10),INDEX('Sprint N°5'!$C$6:$R$6,CF$4-Resumen_Sprints!$E$10),0)</f>
        <v>0</v>
      </c>
      <c r="CG29" s="23">
        <f t="array" ref="CG29">IF(AND(CG$4&gt;Resumen_Sprints!$E$10,CG$4&lt;=Resumen_Sprints!$E$10+Resumen_Sprints!$D$10),INDEX('Sprint N°5'!$C$6:$R$6,CG$4-Resumen_Sprints!$E$10),0)</f>
        <v>0</v>
      </c>
      <c r="CH29" s="23">
        <f t="array" ref="CH29">IF(AND(CH$4&gt;Resumen_Sprints!$E$10,CH$4&lt;=Resumen_Sprints!$E$10+Resumen_Sprints!$D$10),INDEX('Sprint N°5'!$C$6:$R$6,CH$4-Resumen_Sprints!$E$10),0)</f>
        <v>0</v>
      </c>
      <c r="CI29" s="23">
        <f t="array" ref="CI29">IF(AND(CI$4&gt;Resumen_Sprints!$E$10,CI$4&lt;=Resumen_Sprints!$E$10+Resumen_Sprints!$D$10),INDEX('Sprint N°5'!$C$6:$R$6,CI$4-Resumen_Sprints!$E$10),0)</f>
        <v>0</v>
      </c>
      <c r="CJ29" s="23">
        <f t="array" ref="CJ29">IF(AND(CJ$4&gt;Resumen_Sprints!$E$10,CJ$4&lt;=Resumen_Sprints!$E$10+Resumen_Sprints!$D$10),INDEX('Sprint N°5'!$C$6:$R$6,CJ$4-Resumen_Sprints!$E$10),0)</f>
        <v>0</v>
      </c>
      <c r="CK29" s="23">
        <f t="array" ref="CK29">IF(AND(CK$4&gt;Resumen_Sprints!$E$10,CK$4&lt;=Resumen_Sprints!$E$10+Resumen_Sprints!$D$10),INDEX('Sprint N°5'!$C$6:$R$6,CK$4-Resumen_Sprints!$E$10),0)</f>
        <v>0</v>
      </c>
      <c r="CL29" s="23">
        <f t="array" ref="CL29">IF(AND(CL$4&gt;Resumen_Sprints!$E$10,CL$4&lt;=Resumen_Sprints!$E$10+Resumen_Sprints!$D$10),INDEX('Sprint N°5'!$C$6:$R$6,CL$4-Resumen_Sprints!$E$10),0)</f>
        <v>0</v>
      </c>
      <c r="CM29" s="23">
        <f t="array" ref="CM29">IF(AND(CM$4&gt;Resumen_Sprints!$E$10,CM$4&lt;=Resumen_Sprints!$E$10+Resumen_Sprints!$D$10),INDEX('Sprint N°5'!$C$6:$R$6,CM$4-Resumen_Sprints!$E$10),0)</f>
        <v>0</v>
      </c>
      <c r="CN29" s="23">
        <f t="array" ref="CN29">IF(AND(CN$4&gt;Resumen_Sprints!$E$10,CN$4&lt;=Resumen_Sprints!$E$10+Resumen_Sprints!$D$10),INDEX('Sprint N°5'!$C$6:$R$6,CN$4-Resumen_Sprints!$E$10),0)</f>
        <v>0</v>
      </c>
      <c r="CO29" s="23">
        <f t="array" ref="CO29">IF(AND(CO$4&gt;Resumen_Sprints!$E$10,CO$4&lt;=Resumen_Sprints!$E$10+Resumen_Sprints!$D$10),INDEX('Sprint N°5'!$C$6:$R$6,CO$4-Resumen_Sprints!$E$10),0)</f>
        <v>0</v>
      </c>
      <c r="CP29" s="23">
        <f t="array" ref="CP29">IF(AND(CP$4&gt;Resumen_Sprints!$E$10,CP$4&lt;=Resumen_Sprints!$E$10+Resumen_Sprints!$D$10),INDEX('Sprint N°5'!$C$6:$R$6,CP$4-Resumen_Sprints!$E$10),0)</f>
        <v>0</v>
      </c>
      <c r="CQ29" s="23">
        <f t="array" ref="CQ29">IF(AND(CQ$4&gt;Resumen_Sprints!$E$10,CQ$4&lt;=Resumen_Sprints!$E$10+Resumen_Sprints!$D$10),INDEX('Sprint N°5'!$C$6:$R$6,CQ$4-Resumen_Sprints!$E$10),0)</f>
        <v>0</v>
      </c>
      <c r="CR29" s="23">
        <f t="array" ref="CR29">IF(AND(CR$4&gt;Resumen_Sprints!$E$10,CR$4&lt;=Resumen_Sprints!$E$10+Resumen_Sprints!$D$10),INDEX('Sprint N°5'!$C$6:$R$6,CR$4-Resumen_Sprints!$E$10),0)</f>
        <v>0</v>
      </c>
      <c r="CS29" s="23">
        <f t="array" ref="CS29">IF(AND(CS$4&gt;Resumen_Sprints!$E$10,CS$4&lt;=Resumen_Sprints!$E$10+Resumen_Sprints!$D$10),INDEX('Sprint N°5'!$C$6:$R$6,CS$4-Resumen_Sprints!$E$10),0)</f>
        <v>0</v>
      </c>
      <c r="CT29" s="23">
        <f t="array" ref="CT29">IF(AND(CT$4&gt;Resumen_Sprints!$E$10,CT$4&lt;=Resumen_Sprints!$E$10+Resumen_Sprints!$D$10),INDEX('Sprint N°5'!$C$6:$R$6,CT$4-Resumen_Sprints!$E$10),0)</f>
        <v>0</v>
      </c>
      <c r="CU29" s="25">
        <f t="shared" ref="CU29:CU32" si="5">SUM(C29:CT29)</f>
        <v>1</v>
      </c>
    </row>
    <row r="30" ht="14.25" customHeight="1">
      <c r="A30" s="11" t="str">
        <f>'Sprint N°5'!A7</f>
        <v>Interfaz Principal y Formulario de Presupuesto</v>
      </c>
      <c r="B30" s="11">
        <f>'Sprint N°5'!B7</f>
        <v>24</v>
      </c>
      <c r="C30" s="23">
        <f t="array" ref="C30">IF(AND(C$4&gt;Resumen_Sprints!$E$10,C$4&lt;=Resumen_Sprints!$E$10+Resumen_Sprints!$D$10),INDEX('Sprint N°5'!$C$7:$R$7,C$4-Resumen_Sprints!$E$10),0)</f>
        <v>0</v>
      </c>
      <c r="D30" s="23">
        <f t="array" ref="D30">IF(AND(D$4&gt;Resumen_Sprints!$E$10,D$4&lt;=Resumen_Sprints!$E$10+Resumen_Sprints!$D$10),INDEX('Sprint N°5'!$C$7:$R$7,D$4-Resumen_Sprints!$E$10),0)</f>
        <v>0</v>
      </c>
      <c r="E30" s="23">
        <f t="array" ref="E30">IF(AND(E$4&gt;Resumen_Sprints!$E$10,E$4&lt;=Resumen_Sprints!$E$10+Resumen_Sprints!$D$10),INDEX('Sprint N°5'!$C$7:$R$7,E$4-Resumen_Sprints!$E$10),0)</f>
        <v>0</v>
      </c>
      <c r="F30" s="23">
        <f t="array" ref="F30">IF(AND(F$4&gt;Resumen_Sprints!$E$10,F$4&lt;=Resumen_Sprints!$E$10+Resumen_Sprints!$D$10),INDEX('Sprint N°5'!$C$7:$R$7,F$4-Resumen_Sprints!$E$10),0)</f>
        <v>0</v>
      </c>
      <c r="G30" s="23">
        <f t="array" ref="G30">IF(AND(G$4&gt;Resumen_Sprints!$E$10,G$4&lt;=Resumen_Sprints!$E$10+Resumen_Sprints!$D$10),INDEX('Sprint N°5'!$C$7:$R$7,G$4-Resumen_Sprints!$E$10),0)</f>
        <v>0</v>
      </c>
      <c r="H30" s="23">
        <f t="array" ref="H30">IF(AND(H$4&gt;Resumen_Sprints!$E$10,H$4&lt;=Resumen_Sprints!$E$10+Resumen_Sprints!$D$10),INDEX('Sprint N°5'!$C$7:$R$7,H$4-Resumen_Sprints!$E$10),0)</f>
        <v>0</v>
      </c>
      <c r="I30" s="23">
        <f t="array" ref="I30">IF(AND(I$4&gt;Resumen_Sprints!$E$10,I$4&lt;=Resumen_Sprints!$E$10+Resumen_Sprints!$D$10),INDEX('Sprint N°5'!$C$7:$R$7,I$4-Resumen_Sprints!$E$10),0)</f>
        <v>0</v>
      </c>
      <c r="J30" s="23">
        <f t="array" ref="J30">IF(AND(J$4&gt;Resumen_Sprints!$E$10,J$4&lt;=Resumen_Sprints!$E$10+Resumen_Sprints!$D$10),INDEX('Sprint N°5'!$C$7:$R$7,J$4-Resumen_Sprints!$E$10),0)</f>
        <v>0</v>
      </c>
      <c r="K30" s="23">
        <f t="array" ref="K30">IF(AND(K$4&gt;Resumen_Sprints!$E$10,K$4&lt;=Resumen_Sprints!$E$10+Resumen_Sprints!$D$10),INDEX('Sprint N°5'!$C$7:$R$7,K$4-Resumen_Sprints!$E$10),0)</f>
        <v>0</v>
      </c>
      <c r="L30" s="23">
        <f t="array" ref="L30">IF(AND(L$4&gt;Resumen_Sprints!$E$10,L$4&lt;=Resumen_Sprints!$E$10+Resumen_Sprints!$D$10),INDEX('Sprint N°5'!$C$7:$R$7,L$4-Resumen_Sprints!$E$10),0)</f>
        <v>0</v>
      </c>
      <c r="M30" s="23">
        <f t="array" ref="M30">IF(AND(M$4&gt;Resumen_Sprints!$E$10,M$4&lt;=Resumen_Sprints!$E$10+Resumen_Sprints!$D$10),INDEX('Sprint N°5'!$C$7:$R$7,M$4-Resumen_Sprints!$E$10),0)</f>
        <v>0</v>
      </c>
      <c r="N30" s="23">
        <f t="array" ref="N30">IF(AND(N$4&gt;Resumen_Sprints!$E$10,N$4&lt;=Resumen_Sprints!$E$10+Resumen_Sprints!$D$10),INDEX('Sprint N°5'!$C$7:$R$7,N$4-Resumen_Sprints!$E$10),0)</f>
        <v>0</v>
      </c>
      <c r="O30" s="23">
        <f t="array" ref="O30">IF(AND(O$4&gt;Resumen_Sprints!$E$10,O$4&lt;=Resumen_Sprints!$E$10+Resumen_Sprints!$D$10),INDEX('Sprint N°5'!$C$7:$R$7,O$4-Resumen_Sprints!$E$10),0)</f>
        <v>0</v>
      </c>
      <c r="P30" s="23">
        <f t="array" ref="P30">IF(AND(P$4&gt;Resumen_Sprints!$E$10,P$4&lt;=Resumen_Sprints!$E$10+Resumen_Sprints!$D$10),INDEX('Sprint N°5'!$C$7:$R$7,P$4-Resumen_Sprints!$E$10),0)</f>
        <v>0</v>
      </c>
      <c r="Q30" s="23">
        <f t="array" ref="Q30">IF(AND(Q$4&gt;Resumen_Sprints!$E$10,Q$4&lt;=Resumen_Sprints!$E$10+Resumen_Sprints!$D$10),INDEX('Sprint N°5'!$C$7:$R$7,Q$4-Resumen_Sprints!$E$10),0)</f>
        <v>0</v>
      </c>
      <c r="R30" s="23">
        <f t="array" ref="R30">IF(AND(R$4&gt;Resumen_Sprints!$E$10,R$4&lt;=Resumen_Sprints!$E$10+Resumen_Sprints!$D$10),INDEX('Sprint N°5'!$C$7:$R$7,R$4-Resumen_Sprints!$E$10),0)</f>
        <v>0</v>
      </c>
      <c r="S30" s="23">
        <f t="array" ref="S30">IF(AND(S$4&gt;Resumen_Sprints!$E$10,S$4&lt;=Resumen_Sprints!$E$10+Resumen_Sprints!$D$10),INDEX('Sprint N°5'!$C$7:$R$7,S$4-Resumen_Sprints!$E$10),0)</f>
        <v>0</v>
      </c>
      <c r="T30" s="23">
        <f t="array" ref="T30">IF(AND(T$4&gt;Resumen_Sprints!$E$10,T$4&lt;=Resumen_Sprints!$E$10+Resumen_Sprints!$D$10),INDEX('Sprint N°5'!$C$7:$R$7,T$4-Resumen_Sprints!$E$10),0)</f>
        <v>0</v>
      </c>
      <c r="U30" s="23">
        <f t="array" ref="U30">IF(AND(U$4&gt;Resumen_Sprints!$E$10,U$4&lt;=Resumen_Sprints!$E$10+Resumen_Sprints!$D$10),INDEX('Sprint N°5'!$C$7:$R$7,U$4-Resumen_Sprints!$E$10),0)</f>
        <v>0</v>
      </c>
      <c r="V30" s="23">
        <f t="array" ref="V30">IF(AND(V$4&gt;Resumen_Sprints!$E$10,V$4&lt;=Resumen_Sprints!$E$10+Resumen_Sprints!$D$10),INDEX('Sprint N°5'!$C$7:$R$7,V$4-Resumen_Sprints!$E$10),0)</f>
        <v>0</v>
      </c>
      <c r="W30" s="23">
        <f t="array" ref="W30">IF(AND(W$4&gt;Resumen_Sprints!$E$10,W$4&lt;=Resumen_Sprints!$E$10+Resumen_Sprints!$D$10),INDEX('Sprint N°5'!$C$7:$R$7,W$4-Resumen_Sprints!$E$10),0)</f>
        <v>0</v>
      </c>
      <c r="X30" s="23">
        <f t="array" ref="X30">IF(AND(X$4&gt;Resumen_Sprints!$E$10,X$4&lt;=Resumen_Sprints!$E$10+Resumen_Sprints!$D$10),INDEX('Sprint N°5'!$C$7:$R$7,X$4-Resumen_Sprints!$E$10),0)</f>
        <v>0</v>
      </c>
      <c r="Y30" s="23">
        <f t="array" ref="Y30">IF(AND(Y$4&gt;Resumen_Sprints!$E$10,Y$4&lt;=Resumen_Sprints!$E$10+Resumen_Sprints!$D$10),INDEX('Sprint N°5'!$C$7:$R$7,Y$4-Resumen_Sprints!$E$10),0)</f>
        <v>0</v>
      </c>
      <c r="Z30" s="23">
        <f t="array" ref="Z30">IF(AND(Z$4&gt;Resumen_Sprints!$E$10,Z$4&lt;=Resumen_Sprints!$E$10+Resumen_Sprints!$D$10),INDEX('Sprint N°5'!$C$7:$R$7,Z$4-Resumen_Sprints!$E$10),0)</f>
        <v>0</v>
      </c>
      <c r="AA30" s="23">
        <f t="array" ref="AA30">IF(AND(AA$4&gt;Resumen_Sprints!$E$10,AA$4&lt;=Resumen_Sprints!$E$10+Resumen_Sprints!$D$10),INDEX('Sprint N°5'!$C$7:$R$7,AA$4-Resumen_Sprints!$E$10),0)</f>
        <v>0</v>
      </c>
      <c r="AB30" s="23">
        <f t="array" ref="AB30">IF(AND(AB$4&gt;Resumen_Sprints!$E$10,AB$4&lt;=Resumen_Sprints!$E$10+Resumen_Sprints!$D$10),INDEX('Sprint N°5'!$C$7:$R$7,AB$4-Resumen_Sprints!$E$10),0)</f>
        <v>0</v>
      </c>
      <c r="AC30" s="23">
        <f t="array" ref="AC30">IF(AND(AC$4&gt;Resumen_Sprints!$E$10,AC$4&lt;=Resumen_Sprints!$E$10+Resumen_Sprints!$D$10),INDEX('Sprint N°5'!$C$7:$R$7,AC$4-Resumen_Sprints!$E$10),0)</f>
        <v>0</v>
      </c>
      <c r="AD30" s="23">
        <f t="array" ref="AD30">IF(AND(AD$4&gt;Resumen_Sprints!$E$10,AD$4&lt;=Resumen_Sprints!$E$10+Resumen_Sprints!$D$10),INDEX('Sprint N°5'!$C$7:$R$7,AD$4-Resumen_Sprints!$E$10),0)</f>
        <v>0</v>
      </c>
      <c r="AE30" s="23">
        <f t="array" ref="AE30">IF(AND(AE$4&gt;Resumen_Sprints!$E$10,AE$4&lt;=Resumen_Sprints!$E$10+Resumen_Sprints!$D$10),INDEX('Sprint N°5'!$C$7:$R$7,AE$4-Resumen_Sprints!$E$10),0)</f>
        <v>0</v>
      </c>
      <c r="AF30" s="23">
        <f t="array" ref="AF30">IF(AND(AF$4&gt;Resumen_Sprints!$E$10,AF$4&lt;=Resumen_Sprints!$E$10+Resumen_Sprints!$D$10),INDEX('Sprint N°5'!$C$7:$R$7,AF$4-Resumen_Sprints!$E$10),0)</f>
        <v>0</v>
      </c>
      <c r="AG30" s="23">
        <f t="array" ref="AG30">IF(AND(AG$4&gt;Resumen_Sprints!$E$10,AG$4&lt;=Resumen_Sprints!$E$10+Resumen_Sprints!$D$10),INDEX('Sprint N°5'!$C$7:$R$7,AG$4-Resumen_Sprints!$E$10),0)</f>
        <v>0</v>
      </c>
      <c r="AH30" s="23">
        <f t="array" ref="AH30">IF(AND(AH$4&gt;Resumen_Sprints!$E$10,AH$4&lt;=Resumen_Sprints!$E$10+Resumen_Sprints!$D$10),INDEX('Sprint N°5'!$C$7:$R$7,AH$4-Resumen_Sprints!$E$10),0)</f>
        <v>0</v>
      </c>
      <c r="AI30" s="23">
        <f t="array" ref="AI30">IF(AND(AI$4&gt;Resumen_Sprints!$E$10,AI$4&lt;=Resumen_Sprints!$E$10+Resumen_Sprints!$D$10),INDEX('Sprint N°5'!$C$7:$R$7,AI$4-Resumen_Sprints!$E$10),0)</f>
        <v>0</v>
      </c>
      <c r="AJ30" s="23">
        <f t="array" ref="AJ30">IF(AND(AJ$4&gt;Resumen_Sprints!$E$10,AJ$4&lt;=Resumen_Sprints!$E$10+Resumen_Sprints!$D$10),INDEX('Sprint N°5'!$C$7:$R$7,AJ$4-Resumen_Sprints!$E$10),0)</f>
        <v>0</v>
      </c>
      <c r="AK30" s="23">
        <f t="array" ref="AK30">IF(AND(AK$4&gt;Resumen_Sprints!$E$10,AK$4&lt;=Resumen_Sprints!$E$10+Resumen_Sprints!$D$10),INDEX('Sprint N°5'!$C$7:$R$7,AK$4-Resumen_Sprints!$E$10),0)</f>
        <v>0</v>
      </c>
      <c r="AL30" s="23">
        <f t="array" ref="AL30">IF(AND(AL$4&gt;Resumen_Sprints!$E$10,AL$4&lt;=Resumen_Sprints!$E$10+Resumen_Sprints!$D$10),INDEX('Sprint N°5'!$C$7:$R$7,AL$4-Resumen_Sprints!$E$10),0)</f>
        <v>0</v>
      </c>
      <c r="AM30" s="23">
        <f t="array" ref="AM30">IF(AND(AM$4&gt;Resumen_Sprints!$E$10,AM$4&lt;=Resumen_Sprints!$E$10+Resumen_Sprints!$D$10),INDEX('Sprint N°5'!$C$7:$R$7,AM$4-Resumen_Sprints!$E$10),0)</f>
        <v>0</v>
      </c>
      <c r="AN30" s="23">
        <f t="array" ref="AN30">IF(AND(AN$4&gt;Resumen_Sprints!$E$10,AN$4&lt;=Resumen_Sprints!$E$10+Resumen_Sprints!$D$10),INDEX('Sprint N°5'!$C$7:$R$7,AN$4-Resumen_Sprints!$E$10),0)</f>
        <v>0</v>
      </c>
      <c r="AO30" s="23">
        <f t="array" ref="AO30">IF(AND(AO$4&gt;Resumen_Sprints!$E$10,AO$4&lt;=Resumen_Sprints!$E$10+Resumen_Sprints!$D$10),INDEX('Sprint N°5'!$C$7:$R$7,AO$4-Resumen_Sprints!$E$10),0)</f>
        <v>0</v>
      </c>
      <c r="AP30" s="23">
        <f t="array" ref="AP30">IF(AND(AP$4&gt;Resumen_Sprints!$E$10,AP$4&lt;=Resumen_Sprints!$E$10+Resumen_Sprints!$D$10),INDEX('Sprint N°5'!$C$7:$R$7,AP$4-Resumen_Sprints!$E$10),0)</f>
        <v>0</v>
      </c>
      <c r="AQ30" s="23">
        <f t="array" ref="AQ30">IF(AND(AQ$4&gt;Resumen_Sprints!$E$10,AQ$4&lt;=Resumen_Sprints!$E$10+Resumen_Sprints!$D$10),INDEX('Sprint N°5'!$C$7:$R$7,AQ$4-Resumen_Sprints!$E$10),0)</f>
        <v>0</v>
      </c>
      <c r="AR30" s="23">
        <f t="array" ref="AR30">IF(AND(AR$4&gt;Resumen_Sprints!$E$10,AR$4&lt;=Resumen_Sprints!$E$10+Resumen_Sprints!$D$10),INDEX('Sprint N°5'!$C$7:$R$7,AR$4-Resumen_Sprints!$E$10),0)</f>
        <v>4</v>
      </c>
      <c r="AS30" s="23">
        <f t="array" ref="AS30">IF(AND(AS$4&gt;Resumen_Sprints!$E$10,AS$4&lt;=Resumen_Sprints!$E$10+Resumen_Sprints!$D$10),INDEX('Sprint N°5'!$C$7:$R$7,AS$4-Resumen_Sprints!$E$10),0)</f>
        <v>8</v>
      </c>
      <c r="AT30" s="23">
        <f t="array" ref="AT30">IF(AND(AT$4&gt;Resumen_Sprints!$E$10,AT$4&lt;=Resumen_Sprints!$E$10+Resumen_Sprints!$D$10),INDEX('Sprint N°5'!$C$7:$R$7,AT$4-Resumen_Sprints!$E$10),0)</f>
        <v>5</v>
      </c>
      <c r="AU30" s="23">
        <f t="array" ref="AU30">IF(AND(AU$4&gt;Resumen_Sprints!$E$10,AU$4&lt;=Resumen_Sprints!$E$10+Resumen_Sprints!$D$10),INDEX('Sprint N°5'!$C$7:$R$7,AU$4-Resumen_Sprints!$E$10),0)</f>
        <v>6</v>
      </c>
      <c r="AV30" s="23">
        <f t="array" ref="AV30">IF(AND(AV$4&gt;Resumen_Sprints!$E$10,AV$4&lt;=Resumen_Sprints!$E$10+Resumen_Sprints!$D$10),INDEX('Sprint N°5'!$C$7:$R$7,AV$4-Resumen_Sprints!$E$10),0)</f>
        <v>1</v>
      </c>
      <c r="AW30" s="23" t="str">
        <f t="array" ref="AW30">IF(AND(AW$4&gt;Resumen_Sprints!$E$10,AW$4&lt;=Resumen_Sprints!$E$10+Resumen_Sprints!$D$10),INDEX('Sprint N°5'!$C$7:$R$7,AW$4-Resumen_Sprints!$E$10),0)</f>
        <v/>
      </c>
      <c r="AX30" s="23" t="str">
        <f t="array" ref="AX30">IF(AND(AX$4&gt;Resumen_Sprints!$E$10,AX$4&lt;=Resumen_Sprints!$E$10+Resumen_Sprints!$D$10),INDEX('Sprint N°5'!$C$7:$R$7,AX$4-Resumen_Sprints!$E$10),0)</f>
        <v/>
      </c>
      <c r="AY30" s="23" t="str">
        <f t="array" ref="AY30">IF(AND(AY$4&gt;Resumen_Sprints!$E$10,AY$4&lt;=Resumen_Sprints!$E$10+Resumen_Sprints!$D$10),INDEX('Sprint N°5'!$C$7:$R$7,AY$4-Resumen_Sprints!$E$10),0)</f>
        <v/>
      </c>
      <c r="AZ30" s="23" t="str">
        <f t="array" ref="AZ30">IF(AND(AZ$4&gt;Resumen_Sprints!$E$10,AZ$4&lt;=Resumen_Sprints!$E$10+Resumen_Sprints!$D$10),INDEX('Sprint N°5'!$C$7:$R$7,AZ$4-Resumen_Sprints!$E$10),0)</f>
        <v/>
      </c>
      <c r="BA30" s="23" t="str">
        <f t="array" ref="BA30">IF(AND(BA$4&gt;Resumen_Sprints!$E$10,BA$4&lt;=Resumen_Sprints!$E$10+Resumen_Sprints!$D$10),INDEX('Sprint N°5'!$C$7:$R$7,BA$4-Resumen_Sprints!$E$10),0)</f>
        <v/>
      </c>
      <c r="BB30" s="23" t="str">
        <f t="array" ref="BB30">IF(AND(BB$4&gt;Resumen_Sprints!$E$10,BB$4&lt;=Resumen_Sprints!$E$10+Resumen_Sprints!$D$10),INDEX('Sprint N°5'!$C$7:$R$7,BB$4-Resumen_Sprints!$E$10),0)</f>
        <v/>
      </c>
      <c r="BC30" s="23" t="str">
        <f t="array" ref="BC30">IF(AND(BC$4&gt;Resumen_Sprints!$E$10,BC$4&lt;=Resumen_Sprints!$E$10+Resumen_Sprints!$D$10),INDEX('Sprint N°5'!$C$7:$R$7,BC$4-Resumen_Sprints!$E$10),0)</f>
        <v/>
      </c>
      <c r="BD30" s="23" t="str">
        <f t="array" ref="BD30">IF(AND(BD$4&gt;Resumen_Sprints!$E$10,BD$4&lt;=Resumen_Sprints!$E$10+Resumen_Sprints!$D$10),INDEX('Sprint N°5'!$C$7:$R$7,BD$4-Resumen_Sprints!$E$10),0)</f>
        <v/>
      </c>
      <c r="BE30" s="23" t="str">
        <f t="array" ref="BE30">IF(AND(BE$4&gt;Resumen_Sprints!$E$10,BE$4&lt;=Resumen_Sprints!$E$10+Resumen_Sprints!$D$10),INDEX('Sprint N°5'!$C$7:$R$7,BE$4-Resumen_Sprints!$E$10),0)</f>
        <v/>
      </c>
      <c r="BF30" s="23" t="str">
        <f t="array" ref="BF30">IF(AND(BF$4&gt;Resumen_Sprints!$E$10,BF$4&lt;=Resumen_Sprints!$E$10+Resumen_Sprints!$D$10),INDEX('Sprint N°5'!$C$7:$R$7,BF$4-Resumen_Sprints!$E$10),0)</f>
        <v/>
      </c>
      <c r="BG30" s="23" t="str">
        <f t="array" ref="BG30">IF(AND(BG$4&gt;Resumen_Sprints!$E$10,BG$4&lt;=Resumen_Sprints!$E$10+Resumen_Sprints!$D$10),INDEX('Sprint N°5'!$C$7:$R$7,BG$4-Resumen_Sprints!$E$10),0)</f>
        <v/>
      </c>
      <c r="BH30" s="23">
        <f t="array" ref="BH30">IF(AND(BH$4&gt;Resumen_Sprints!$E$10,BH$4&lt;=Resumen_Sprints!$E$10+Resumen_Sprints!$D$10),INDEX('Sprint N°5'!$C$7:$R$7,BH$4-Resumen_Sprints!$E$10),0)</f>
        <v>0</v>
      </c>
      <c r="BI30" s="23">
        <f t="array" ref="BI30">IF(AND(BI$4&gt;Resumen_Sprints!$E$10,BI$4&lt;=Resumen_Sprints!$E$10+Resumen_Sprints!$D$10),INDEX('Sprint N°5'!$C$7:$R$7,BI$4-Resumen_Sprints!$E$10),0)</f>
        <v>0</v>
      </c>
      <c r="BJ30" s="23">
        <f t="array" ref="BJ30">IF(AND(BJ$4&gt;Resumen_Sprints!$E$10,BJ$4&lt;=Resumen_Sprints!$E$10+Resumen_Sprints!$D$10),INDEX('Sprint N°5'!$C$7:$R$7,BJ$4-Resumen_Sprints!$E$10),0)</f>
        <v>0</v>
      </c>
      <c r="BK30" s="23">
        <f t="array" ref="BK30">IF(AND(BK$4&gt;Resumen_Sprints!$E$10,BK$4&lt;=Resumen_Sprints!$E$10+Resumen_Sprints!$D$10),INDEX('Sprint N°5'!$C$7:$R$7,BK$4-Resumen_Sprints!$E$10),0)</f>
        <v>0</v>
      </c>
      <c r="BL30" s="23">
        <f t="array" ref="BL30">IF(AND(BL$4&gt;Resumen_Sprints!$E$10,BL$4&lt;=Resumen_Sprints!$E$10+Resumen_Sprints!$D$10),INDEX('Sprint N°5'!$C$7:$R$7,BL$4-Resumen_Sprints!$E$10),0)</f>
        <v>0</v>
      </c>
      <c r="BM30" s="23">
        <f t="array" ref="BM30">IF(AND(BM$4&gt;Resumen_Sprints!$E$10,BM$4&lt;=Resumen_Sprints!$E$10+Resumen_Sprints!$D$10),INDEX('Sprint N°5'!$C$7:$R$7,BM$4-Resumen_Sprints!$E$10),0)</f>
        <v>0</v>
      </c>
      <c r="BN30" s="23">
        <f t="array" ref="BN30">IF(AND(BN$4&gt;Resumen_Sprints!$E$10,BN$4&lt;=Resumen_Sprints!$E$10+Resumen_Sprints!$D$10),INDEX('Sprint N°5'!$C$7:$R$7,BN$4-Resumen_Sprints!$E$10),0)</f>
        <v>0</v>
      </c>
      <c r="BO30" s="23">
        <f t="array" ref="BO30">IF(AND(BO$4&gt;Resumen_Sprints!$E$10,BO$4&lt;=Resumen_Sprints!$E$10+Resumen_Sprints!$D$10),INDEX('Sprint N°5'!$C$7:$R$7,BO$4-Resumen_Sprints!$E$10),0)</f>
        <v>0</v>
      </c>
      <c r="BP30" s="23">
        <f t="array" ref="BP30">IF(AND(BP$4&gt;Resumen_Sprints!$E$10,BP$4&lt;=Resumen_Sprints!$E$10+Resumen_Sprints!$D$10),INDEX('Sprint N°5'!$C$7:$R$7,BP$4-Resumen_Sprints!$E$10),0)</f>
        <v>0</v>
      </c>
      <c r="BQ30" s="23">
        <f t="array" ref="BQ30">IF(AND(BQ$4&gt;Resumen_Sprints!$E$10,BQ$4&lt;=Resumen_Sprints!$E$10+Resumen_Sprints!$D$10),INDEX('Sprint N°5'!$C$7:$R$7,BQ$4-Resumen_Sprints!$E$10),0)</f>
        <v>0</v>
      </c>
      <c r="BR30" s="23">
        <f t="array" ref="BR30">IF(AND(BR$4&gt;Resumen_Sprints!$E$10,BR$4&lt;=Resumen_Sprints!$E$10+Resumen_Sprints!$D$10),INDEX('Sprint N°5'!$C$7:$R$7,BR$4-Resumen_Sprints!$E$10),0)</f>
        <v>0</v>
      </c>
      <c r="BS30" s="23">
        <f t="array" ref="BS30">IF(AND(BS$4&gt;Resumen_Sprints!$E$10,BS$4&lt;=Resumen_Sprints!$E$10+Resumen_Sprints!$D$10),INDEX('Sprint N°5'!$C$7:$R$7,BS$4-Resumen_Sprints!$E$10),0)</f>
        <v>0</v>
      </c>
      <c r="BT30" s="23">
        <f t="array" ref="BT30">IF(AND(BT$4&gt;Resumen_Sprints!$E$10,BT$4&lt;=Resumen_Sprints!$E$10+Resumen_Sprints!$D$10),INDEX('Sprint N°5'!$C$7:$R$7,BT$4-Resumen_Sprints!$E$10),0)</f>
        <v>0</v>
      </c>
      <c r="BU30" s="23">
        <f t="array" ref="BU30">IF(AND(BU$4&gt;Resumen_Sprints!$E$10,BU$4&lt;=Resumen_Sprints!$E$10+Resumen_Sprints!$D$10),INDEX('Sprint N°5'!$C$7:$R$7,BU$4-Resumen_Sprints!$E$10),0)</f>
        <v>0</v>
      </c>
      <c r="BV30" s="23">
        <f t="array" ref="BV30">IF(AND(BV$4&gt;Resumen_Sprints!$E$10,BV$4&lt;=Resumen_Sprints!$E$10+Resumen_Sprints!$D$10),INDEX('Sprint N°5'!$C$7:$R$7,BV$4-Resumen_Sprints!$E$10),0)</f>
        <v>0</v>
      </c>
      <c r="BW30" s="23">
        <f t="array" ref="BW30">IF(AND(BW$4&gt;Resumen_Sprints!$E$10,BW$4&lt;=Resumen_Sprints!$E$10+Resumen_Sprints!$D$10),INDEX('Sprint N°5'!$C$7:$R$7,BW$4-Resumen_Sprints!$E$10),0)</f>
        <v>0</v>
      </c>
      <c r="BX30" s="23">
        <f t="array" ref="BX30">IF(AND(BX$4&gt;Resumen_Sprints!$E$10,BX$4&lt;=Resumen_Sprints!$E$10+Resumen_Sprints!$D$10),INDEX('Sprint N°5'!$C$7:$R$7,BX$4-Resumen_Sprints!$E$10),0)</f>
        <v>0</v>
      </c>
      <c r="BY30" s="23">
        <f t="array" ref="BY30">IF(AND(BY$4&gt;Resumen_Sprints!$E$10,BY$4&lt;=Resumen_Sprints!$E$10+Resumen_Sprints!$D$10),INDEX('Sprint N°5'!$C$7:$R$7,BY$4-Resumen_Sprints!$E$10),0)</f>
        <v>0</v>
      </c>
      <c r="BZ30" s="23">
        <f t="array" ref="BZ30">IF(AND(BZ$4&gt;Resumen_Sprints!$E$10,BZ$4&lt;=Resumen_Sprints!$E$10+Resumen_Sprints!$D$10),INDEX('Sprint N°5'!$C$7:$R$7,BZ$4-Resumen_Sprints!$E$10),0)</f>
        <v>0</v>
      </c>
      <c r="CA30" s="23">
        <f t="array" ref="CA30">IF(AND(CA$4&gt;Resumen_Sprints!$E$10,CA$4&lt;=Resumen_Sprints!$E$10+Resumen_Sprints!$D$10),INDEX('Sprint N°5'!$C$7:$R$7,CA$4-Resumen_Sprints!$E$10),0)</f>
        <v>0</v>
      </c>
      <c r="CB30" s="23">
        <f t="array" ref="CB30">IF(AND(CB$4&gt;Resumen_Sprints!$E$10,CB$4&lt;=Resumen_Sprints!$E$10+Resumen_Sprints!$D$10),INDEX('Sprint N°5'!$C$7:$R$7,CB$4-Resumen_Sprints!$E$10),0)</f>
        <v>0</v>
      </c>
      <c r="CC30" s="23">
        <f t="array" ref="CC30">IF(AND(CC$4&gt;Resumen_Sprints!$E$10,CC$4&lt;=Resumen_Sprints!$E$10+Resumen_Sprints!$D$10),INDEX('Sprint N°5'!$C$7:$R$7,CC$4-Resumen_Sprints!$E$10),0)</f>
        <v>0</v>
      </c>
      <c r="CD30" s="23">
        <f t="array" ref="CD30">IF(AND(CD$4&gt;Resumen_Sprints!$E$10,CD$4&lt;=Resumen_Sprints!$E$10+Resumen_Sprints!$D$10),INDEX('Sprint N°5'!$C$7:$R$7,CD$4-Resumen_Sprints!$E$10),0)</f>
        <v>0</v>
      </c>
      <c r="CE30" s="23">
        <f t="array" ref="CE30">IF(AND(CE$4&gt;Resumen_Sprints!$E$10,CE$4&lt;=Resumen_Sprints!$E$10+Resumen_Sprints!$D$10),INDEX('Sprint N°5'!$C$7:$R$7,CE$4-Resumen_Sprints!$E$10),0)</f>
        <v>0</v>
      </c>
      <c r="CF30" s="23">
        <f t="array" ref="CF30">IF(AND(CF$4&gt;Resumen_Sprints!$E$10,CF$4&lt;=Resumen_Sprints!$E$10+Resumen_Sprints!$D$10),INDEX('Sprint N°5'!$C$7:$R$7,CF$4-Resumen_Sprints!$E$10),0)</f>
        <v>0</v>
      </c>
      <c r="CG30" s="23">
        <f t="array" ref="CG30">IF(AND(CG$4&gt;Resumen_Sprints!$E$10,CG$4&lt;=Resumen_Sprints!$E$10+Resumen_Sprints!$D$10),INDEX('Sprint N°5'!$C$7:$R$7,CG$4-Resumen_Sprints!$E$10),0)</f>
        <v>0</v>
      </c>
      <c r="CH30" s="23">
        <f t="array" ref="CH30">IF(AND(CH$4&gt;Resumen_Sprints!$E$10,CH$4&lt;=Resumen_Sprints!$E$10+Resumen_Sprints!$D$10),INDEX('Sprint N°5'!$C$7:$R$7,CH$4-Resumen_Sprints!$E$10),0)</f>
        <v>0</v>
      </c>
      <c r="CI30" s="23">
        <f t="array" ref="CI30">IF(AND(CI$4&gt;Resumen_Sprints!$E$10,CI$4&lt;=Resumen_Sprints!$E$10+Resumen_Sprints!$D$10),INDEX('Sprint N°5'!$C$7:$R$7,CI$4-Resumen_Sprints!$E$10),0)</f>
        <v>0</v>
      </c>
      <c r="CJ30" s="23">
        <f t="array" ref="CJ30">IF(AND(CJ$4&gt;Resumen_Sprints!$E$10,CJ$4&lt;=Resumen_Sprints!$E$10+Resumen_Sprints!$D$10),INDEX('Sprint N°5'!$C$7:$R$7,CJ$4-Resumen_Sprints!$E$10),0)</f>
        <v>0</v>
      </c>
      <c r="CK30" s="23">
        <f t="array" ref="CK30">IF(AND(CK$4&gt;Resumen_Sprints!$E$10,CK$4&lt;=Resumen_Sprints!$E$10+Resumen_Sprints!$D$10),INDEX('Sprint N°5'!$C$7:$R$7,CK$4-Resumen_Sprints!$E$10),0)</f>
        <v>0</v>
      </c>
      <c r="CL30" s="23">
        <f t="array" ref="CL30">IF(AND(CL$4&gt;Resumen_Sprints!$E$10,CL$4&lt;=Resumen_Sprints!$E$10+Resumen_Sprints!$D$10),INDEX('Sprint N°5'!$C$7:$R$7,CL$4-Resumen_Sprints!$E$10),0)</f>
        <v>0</v>
      </c>
      <c r="CM30" s="23">
        <f t="array" ref="CM30">IF(AND(CM$4&gt;Resumen_Sprints!$E$10,CM$4&lt;=Resumen_Sprints!$E$10+Resumen_Sprints!$D$10),INDEX('Sprint N°5'!$C$7:$R$7,CM$4-Resumen_Sprints!$E$10),0)</f>
        <v>0</v>
      </c>
      <c r="CN30" s="23">
        <f t="array" ref="CN30">IF(AND(CN$4&gt;Resumen_Sprints!$E$10,CN$4&lt;=Resumen_Sprints!$E$10+Resumen_Sprints!$D$10),INDEX('Sprint N°5'!$C$7:$R$7,CN$4-Resumen_Sprints!$E$10),0)</f>
        <v>0</v>
      </c>
      <c r="CO30" s="23">
        <f t="array" ref="CO30">IF(AND(CO$4&gt;Resumen_Sprints!$E$10,CO$4&lt;=Resumen_Sprints!$E$10+Resumen_Sprints!$D$10),INDEX('Sprint N°5'!$C$7:$R$7,CO$4-Resumen_Sprints!$E$10),0)</f>
        <v>0</v>
      </c>
      <c r="CP30" s="23">
        <f t="array" ref="CP30">IF(AND(CP$4&gt;Resumen_Sprints!$E$10,CP$4&lt;=Resumen_Sprints!$E$10+Resumen_Sprints!$D$10),INDEX('Sprint N°5'!$C$7:$R$7,CP$4-Resumen_Sprints!$E$10),0)</f>
        <v>0</v>
      </c>
      <c r="CQ30" s="23">
        <f t="array" ref="CQ30">IF(AND(CQ$4&gt;Resumen_Sprints!$E$10,CQ$4&lt;=Resumen_Sprints!$E$10+Resumen_Sprints!$D$10),INDEX('Sprint N°5'!$C$7:$R$7,CQ$4-Resumen_Sprints!$E$10),0)</f>
        <v>0</v>
      </c>
      <c r="CR30" s="23">
        <f t="array" ref="CR30">IF(AND(CR$4&gt;Resumen_Sprints!$E$10,CR$4&lt;=Resumen_Sprints!$E$10+Resumen_Sprints!$D$10),INDEX('Sprint N°5'!$C$7:$R$7,CR$4-Resumen_Sprints!$E$10),0)</f>
        <v>0</v>
      </c>
      <c r="CS30" s="23">
        <f t="array" ref="CS30">IF(AND(CS$4&gt;Resumen_Sprints!$E$10,CS$4&lt;=Resumen_Sprints!$E$10+Resumen_Sprints!$D$10),INDEX('Sprint N°5'!$C$7:$R$7,CS$4-Resumen_Sprints!$E$10),0)</f>
        <v>0</v>
      </c>
      <c r="CT30" s="23">
        <f t="array" ref="CT30">IF(AND(CT$4&gt;Resumen_Sprints!$E$10,CT$4&lt;=Resumen_Sprints!$E$10+Resumen_Sprints!$D$10),INDEX('Sprint N°5'!$C$7:$R$7,CT$4-Resumen_Sprints!$E$10),0)</f>
        <v>0</v>
      </c>
      <c r="CU30" s="25">
        <f t="shared" si="5"/>
        <v>24</v>
      </c>
    </row>
    <row r="31" ht="14.25" customHeight="1">
      <c r="A31" s="11" t="str">
        <f>'Sprint N°5'!A8</f>
        <v>Editor Interactivo de Diseño del Hogar</v>
      </c>
      <c r="B31" s="11">
        <f>'Sprint N°5'!B8</f>
        <v>49</v>
      </c>
      <c r="C31" s="23">
        <f t="array" ref="C31">IF(AND(C$4&gt;Resumen_Sprints!$E$10,C$4&lt;=Resumen_Sprints!$E$10+Resumen_Sprints!$D$10),INDEX('Sprint N°5'!$C$8:$R$8,C$4-Resumen_Sprints!$E$10),0)</f>
        <v>0</v>
      </c>
      <c r="D31" s="23">
        <f t="array" ref="D31">IF(AND(D$4&gt;Resumen_Sprints!$E$10,D$4&lt;=Resumen_Sprints!$E$10+Resumen_Sprints!$D$10),INDEX('Sprint N°5'!$C$8:$R$8,D$4-Resumen_Sprints!$E$10),0)</f>
        <v>0</v>
      </c>
      <c r="E31" s="23">
        <f t="array" ref="E31">IF(AND(E$4&gt;Resumen_Sprints!$E$10,E$4&lt;=Resumen_Sprints!$E$10+Resumen_Sprints!$D$10),INDEX('Sprint N°5'!$C$8:$R$8,E$4-Resumen_Sprints!$E$10),0)</f>
        <v>0</v>
      </c>
      <c r="F31" s="23">
        <f t="array" ref="F31">IF(AND(F$4&gt;Resumen_Sprints!$E$10,F$4&lt;=Resumen_Sprints!$E$10+Resumen_Sprints!$D$10),INDEX('Sprint N°5'!$C$8:$R$8,F$4-Resumen_Sprints!$E$10),0)</f>
        <v>0</v>
      </c>
      <c r="G31" s="23">
        <f t="array" ref="G31">IF(AND(G$4&gt;Resumen_Sprints!$E$10,G$4&lt;=Resumen_Sprints!$E$10+Resumen_Sprints!$D$10),INDEX('Sprint N°5'!$C$8:$R$8,G$4-Resumen_Sprints!$E$10),0)</f>
        <v>0</v>
      </c>
      <c r="H31" s="23">
        <f t="array" ref="H31">IF(AND(H$4&gt;Resumen_Sprints!$E$10,H$4&lt;=Resumen_Sprints!$E$10+Resumen_Sprints!$D$10),INDEX('Sprint N°5'!$C$8:$R$8,H$4-Resumen_Sprints!$E$10),0)</f>
        <v>0</v>
      </c>
      <c r="I31" s="23">
        <f t="array" ref="I31">IF(AND(I$4&gt;Resumen_Sprints!$E$10,I$4&lt;=Resumen_Sprints!$E$10+Resumen_Sprints!$D$10),INDEX('Sprint N°5'!$C$8:$R$8,I$4-Resumen_Sprints!$E$10),0)</f>
        <v>0</v>
      </c>
      <c r="J31" s="23">
        <f t="array" ref="J31">IF(AND(J$4&gt;Resumen_Sprints!$E$10,J$4&lt;=Resumen_Sprints!$E$10+Resumen_Sprints!$D$10),INDEX('Sprint N°5'!$C$8:$R$8,J$4-Resumen_Sprints!$E$10),0)</f>
        <v>0</v>
      </c>
      <c r="K31" s="23">
        <f t="array" ref="K31">IF(AND(K$4&gt;Resumen_Sprints!$E$10,K$4&lt;=Resumen_Sprints!$E$10+Resumen_Sprints!$D$10),INDEX('Sprint N°5'!$C$8:$R$8,K$4-Resumen_Sprints!$E$10),0)</f>
        <v>0</v>
      </c>
      <c r="L31" s="23">
        <f t="array" ref="L31">IF(AND(L$4&gt;Resumen_Sprints!$E$10,L$4&lt;=Resumen_Sprints!$E$10+Resumen_Sprints!$D$10),INDEX('Sprint N°5'!$C$8:$R$8,L$4-Resumen_Sprints!$E$10),0)</f>
        <v>0</v>
      </c>
      <c r="M31" s="23">
        <f t="array" ref="M31">IF(AND(M$4&gt;Resumen_Sprints!$E$10,M$4&lt;=Resumen_Sprints!$E$10+Resumen_Sprints!$D$10),INDEX('Sprint N°5'!$C$8:$R$8,M$4-Resumen_Sprints!$E$10),0)</f>
        <v>0</v>
      </c>
      <c r="N31" s="23">
        <f t="array" ref="N31">IF(AND(N$4&gt;Resumen_Sprints!$E$10,N$4&lt;=Resumen_Sprints!$E$10+Resumen_Sprints!$D$10),INDEX('Sprint N°5'!$C$8:$R$8,N$4-Resumen_Sprints!$E$10),0)</f>
        <v>0</v>
      </c>
      <c r="O31" s="23">
        <f t="array" ref="O31">IF(AND(O$4&gt;Resumen_Sprints!$E$10,O$4&lt;=Resumen_Sprints!$E$10+Resumen_Sprints!$D$10),INDEX('Sprint N°5'!$C$8:$R$8,O$4-Resumen_Sprints!$E$10),0)</f>
        <v>0</v>
      </c>
      <c r="P31" s="23">
        <f t="array" ref="P31">IF(AND(P$4&gt;Resumen_Sprints!$E$10,P$4&lt;=Resumen_Sprints!$E$10+Resumen_Sprints!$D$10),INDEX('Sprint N°5'!$C$8:$R$8,P$4-Resumen_Sprints!$E$10),0)</f>
        <v>0</v>
      </c>
      <c r="Q31" s="23">
        <f t="array" ref="Q31">IF(AND(Q$4&gt;Resumen_Sprints!$E$10,Q$4&lt;=Resumen_Sprints!$E$10+Resumen_Sprints!$D$10),INDEX('Sprint N°5'!$C$8:$R$8,Q$4-Resumen_Sprints!$E$10),0)</f>
        <v>0</v>
      </c>
      <c r="R31" s="23">
        <f t="array" ref="R31">IF(AND(R$4&gt;Resumen_Sprints!$E$10,R$4&lt;=Resumen_Sprints!$E$10+Resumen_Sprints!$D$10),INDEX('Sprint N°5'!$C$8:$R$8,R$4-Resumen_Sprints!$E$10),0)</f>
        <v>0</v>
      </c>
      <c r="S31" s="23">
        <f t="array" ref="S31">IF(AND(S$4&gt;Resumen_Sprints!$E$10,S$4&lt;=Resumen_Sprints!$E$10+Resumen_Sprints!$D$10),INDEX('Sprint N°5'!$C$8:$R$8,S$4-Resumen_Sprints!$E$10),0)</f>
        <v>0</v>
      </c>
      <c r="T31" s="23">
        <f t="array" ref="T31">IF(AND(T$4&gt;Resumen_Sprints!$E$10,T$4&lt;=Resumen_Sprints!$E$10+Resumen_Sprints!$D$10),INDEX('Sprint N°5'!$C$8:$R$8,T$4-Resumen_Sprints!$E$10),0)</f>
        <v>0</v>
      </c>
      <c r="U31" s="23">
        <f t="array" ref="U31">IF(AND(U$4&gt;Resumen_Sprints!$E$10,U$4&lt;=Resumen_Sprints!$E$10+Resumen_Sprints!$D$10),INDEX('Sprint N°5'!$C$8:$R$8,U$4-Resumen_Sprints!$E$10),0)</f>
        <v>0</v>
      </c>
      <c r="V31" s="23">
        <f t="array" ref="V31">IF(AND(V$4&gt;Resumen_Sprints!$E$10,V$4&lt;=Resumen_Sprints!$E$10+Resumen_Sprints!$D$10),INDEX('Sprint N°5'!$C$8:$R$8,V$4-Resumen_Sprints!$E$10),0)</f>
        <v>0</v>
      </c>
      <c r="W31" s="23">
        <f t="array" ref="W31">IF(AND(W$4&gt;Resumen_Sprints!$E$10,W$4&lt;=Resumen_Sprints!$E$10+Resumen_Sprints!$D$10),INDEX('Sprint N°5'!$C$8:$R$8,W$4-Resumen_Sprints!$E$10),0)</f>
        <v>0</v>
      </c>
      <c r="X31" s="23">
        <f t="array" ref="X31">IF(AND(X$4&gt;Resumen_Sprints!$E$10,X$4&lt;=Resumen_Sprints!$E$10+Resumen_Sprints!$D$10),INDEX('Sprint N°5'!$C$8:$R$8,X$4-Resumen_Sprints!$E$10),0)</f>
        <v>0</v>
      </c>
      <c r="Y31" s="23">
        <f t="array" ref="Y31">IF(AND(Y$4&gt;Resumen_Sprints!$E$10,Y$4&lt;=Resumen_Sprints!$E$10+Resumen_Sprints!$D$10),INDEX('Sprint N°5'!$C$8:$R$8,Y$4-Resumen_Sprints!$E$10),0)</f>
        <v>0</v>
      </c>
      <c r="Z31" s="23">
        <f t="array" ref="Z31">IF(AND(Z$4&gt;Resumen_Sprints!$E$10,Z$4&lt;=Resumen_Sprints!$E$10+Resumen_Sprints!$D$10),INDEX('Sprint N°5'!$C$8:$R$8,Z$4-Resumen_Sprints!$E$10),0)</f>
        <v>0</v>
      </c>
      <c r="AA31" s="23">
        <f t="array" ref="AA31">IF(AND(AA$4&gt;Resumen_Sprints!$E$10,AA$4&lt;=Resumen_Sprints!$E$10+Resumen_Sprints!$D$10),INDEX('Sprint N°5'!$C$8:$R$8,AA$4-Resumen_Sprints!$E$10),0)</f>
        <v>0</v>
      </c>
      <c r="AB31" s="23">
        <f t="array" ref="AB31">IF(AND(AB$4&gt;Resumen_Sprints!$E$10,AB$4&lt;=Resumen_Sprints!$E$10+Resumen_Sprints!$D$10),INDEX('Sprint N°5'!$C$8:$R$8,AB$4-Resumen_Sprints!$E$10),0)</f>
        <v>0</v>
      </c>
      <c r="AC31" s="23">
        <f t="array" ref="AC31">IF(AND(AC$4&gt;Resumen_Sprints!$E$10,AC$4&lt;=Resumen_Sprints!$E$10+Resumen_Sprints!$D$10),INDEX('Sprint N°5'!$C$8:$R$8,AC$4-Resumen_Sprints!$E$10),0)</f>
        <v>0</v>
      </c>
      <c r="AD31" s="23">
        <f t="array" ref="AD31">IF(AND(AD$4&gt;Resumen_Sprints!$E$10,AD$4&lt;=Resumen_Sprints!$E$10+Resumen_Sprints!$D$10),INDEX('Sprint N°5'!$C$8:$R$8,AD$4-Resumen_Sprints!$E$10),0)</f>
        <v>0</v>
      </c>
      <c r="AE31" s="23">
        <f t="array" ref="AE31">IF(AND(AE$4&gt;Resumen_Sprints!$E$10,AE$4&lt;=Resumen_Sprints!$E$10+Resumen_Sprints!$D$10),INDEX('Sprint N°5'!$C$8:$R$8,AE$4-Resumen_Sprints!$E$10),0)</f>
        <v>0</v>
      </c>
      <c r="AF31" s="23">
        <f t="array" ref="AF31">IF(AND(AF$4&gt;Resumen_Sprints!$E$10,AF$4&lt;=Resumen_Sprints!$E$10+Resumen_Sprints!$D$10),INDEX('Sprint N°5'!$C$8:$R$8,AF$4-Resumen_Sprints!$E$10),0)</f>
        <v>0</v>
      </c>
      <c r="AG31" s="23">
        <f t="array" ref="AG31">IF(AND(AG$4&gt;Resumen_Sprints!$E$10,AG$4&lt;=Resumen_Sprints!$E$10+Resumen_Sprints!$D$10),INDEX('Sprint N°5'!$C$8:$R$8,AG$4-Resumen_Sprints!$E$10),0)</f>
        <v>0</v>
      </c>
      <c r="AH31" s="23">
        <f t="array" ref="AH31">IF(AND(AH$4&gt;Resumen_Sprints!$E$10,AH$4&lt;=Resumen_Sprints!$E$10+Resumen_Sprints!$D$10),INDEX('Sprint N°5'!$C$8:$R$8,AH$4-Resumen_Sprints!$E$10),0)</f>
        <v>0</v>
      </c>
      <c r="AI31" s="23">
        <f t="array" ref="AI31">IF(AND(AI$4&gt;Resumen_Sprints!$E$10,AI$4&lt;=Resumen_Sprints!$E$10+Resumen_Sprints!$D$10),INDEX('Sprint N°5'!$C$8:$R$8,AI$4-Resumen_Sprints!$E$10),0)</f>
        <v>0</v>
      </c>
      <c r="AJ31" s="23">
        <f t="array" ref="AJ31">IF(AND(AJ$4&gt;Resumen_Sprints!$E$10,AJ$4&lt;=Resumen_Sprints!$E$10+Resumen_Sprints!$D$10),INDEX('Sprint N°5'!$C$8:$R$8,AJ$4-Resumen_Sprints!$E$10),0)</f>
        <v>0</v>
      </c>
      <c r="AK31" s="23">
        <f t="array" ref="AK31">IF(AND(AK$4&gt;Resumen_Sprints!$E$10,AK$4&lt;=Resumen_Sprints!$E$10+Resumen_Sprints!$D$10),INDEX('Sprint N°5'!$C$8:$R$8,AK$4-Resumen_Sprints!$E$10),0)</f>
        <v>0</v>
      </c>
      <c r="AL31" s="23">
        <f t="array" ref="AL31">IF(AND(AL$4&gt;Resumen_Sprints!$E$10,AL$4&lt;=Resumen_Sprints!$E$10+Resumen_Sprints!$D$10),INDEX('Sprint N°5'!$C$8:$R$8,AL$4-Resumen_Sprints!$E$10),0)</f>
        <v>0</v>
      </c>
      <c r="AM31" s="23">
        <f t="array" ref="AM31">IF(AND(AM$4&gt;Resumen_Sprints!$E$10,AM$4&lt;=Resumen_Sprints!$E$10+Resumen_Sprints!$D$10),INDEX('Sprint N°5'!$C$8:$R$8,AM$4-Resumen_Sprints!$E$10),0)</f>
        <v>0</v>
      </c>
      <c r="AN31" s="23">
        <f t="array" ref="AN31">IF(AND(AN$4&gt;Resumen_Sprints!$E$10,AN$4&lt;=Resumen_Sprints!$E$10+Resumen_Sprints!$D$10),INDEX('Sprint N°5'!$C$8:$R$8,AN$4-Resumen_Sprints!$E$10),0)</f>
        <v>0</v>
      </c>
      <c r="AO31" s="23">
        <f t="array" ref="AO31">IF(AND(AO$4&gt;Resumen_Sprints!$E$10,AO$4&lt;=Resumen_Sprints!$E$10+Resumen_Sprints!$D$10),INDEX('Sprint N°5'!$C$8:$R$8,AO$4-Resumen_Sprints!$E$10),0)</f>
        <v>0</v>
      </c>
      <c r="AP31" s="23">
        <f t="array" ref="AP31">IF(AND(AP$4&gt;Resumen_Sprints!$E$10,AP$4&lt;=Resumen_Sprints!$E$10+Resumen_Sprints!$D$10),INDEX('Sprint N°5'!$C$8:$R$8,AP$4-Resumen_Sprints!$E$10),0)</f>
        <v>0</v>
      </c>
      <c r="AQ31" s="23">
        <f t="array" ref="AQ31">IF(AND(AQ$4&gt;Resumen_Sprints!$E$10,AQ$4&lt;=Resumen_Sprints!$E$10+Resumen_Sprints!$D$10),INDEX('Sprint N°5'!$C$8:$R$8,AQ$4-Resumen_Sprints!$E$10),0)</f>
        <v>0</v>
      </c>
      <c r="AR31" s="23" t="str">
        <f t="array" ref="AR31">IF(AND(AR$4&gt;Resumen_Sprints!$E$10,AR$4&lt;=Resumen_Sprints!$E$10+Resumen_Sprints!$D$10),INDEX('Sprint N°5'!$C$8:$R$8,AR$4-Resumen_Sprints!$E$10),0)</f>
        <v/>
      </c>
      <c r="AS31" s="23" t="str">
        <f t="array" ref="AS31">IF(AND(AS$4&gt;Resumen_Sprints!$E$10,AS$4&lt;=Resumen_Sprints!$E$10+Resumen_Sprints!$D$10),INDEX('Sprint N°5'!$C$8:$R$8,AS$4-Resumen_Sprints!$E$10),0)</f>
        <v/>
      </c>
      <c r="AT31" s="23" t="str">
        <f t="array" ref="AT31">IF(AND(AT$4&gt;Resumen_Sprints!$E$10,AT$4&lt;=Resumen_Sprints!$E$10+Resumen_Sprints!$D$10),INDEX('Sprint N°5'!$C$8:$R$8,AT$4-Resumen_Sprints!$E$10),0)</f>
        <v/>
      </c>
      <c r="AU31" s="23" t="str">
        <f t="array" ref="AU31">IF(AND(AU$4&gt;Resumen_Sprints!$E$10,AU$4&lt;=Resumen_Sprints!$E$10+Resumen_Sprints!$D$10),INDEX('Sprint N°5'!$C$8:$R$8,AU$4-Resumen_Sprints!$E$10),0)</f>
        <v/>
      </c>
      <c r="AV31" s="23">
        <f t="array" ref="AV31">IF(AND(AV$4&gt;Resumen_Sprints!$E$10,AV$4&lt;=Resumen_Sprints!$E$10+Resumen_Sprints!$D$10),INDEX('Sprint N°5'!$C$8:$R$8,AV$4-Resumen_Sprints!$E$10),0)</f>
        <v>6</v>
      </c>
      <c r="AW31" s="23">
        <f t="array" ref="AW31">IF(AND(AW$4&gt;Resumen_Sprints!$E$10,AW$4&lt;=Resumen_Sprints!$E$10+Resumen_Sprints!$D$10),INDEX('Sprint N°5'!$C$8:$R$8,AW$4-Resumen_Sprints!$E$10),0)</f>
        <v>5</v>
      </c>
      <c r="AX31" s="23">
        <f t="array" ref="AX31">IF(AND(AX$4&gt;Resumen_Sprints!$E$10,AX$4&lt;=Resumen_Sprints!$E$10+Resumen_Sprints!$D$10),INDEX('Sprint N°5'!$C$8:$R$8,AX$4-Resumen_Sprints!$E$10),0)</f>
        <v>6</v>
      </c>
      <c r="AY31" s="23">
        <f t="array" ref="AY31">IF(AND(AY$4&gt;Resumen_Sprints!$E$10,AY$4&lt;=Resumen_Sprints!$E$10+Resumen_Sprints!$D$10),INDEX('Sprint N°5'!$C$8:$R$8,AY$4-Resumen_Sprints!$E$10),0)</f>
        <v>4</v>
      </c>
      <c r="AZ31" s="23">
        <f t="array" ref="AZ31">IF(AND(AZ$4&gt;Resumen_Sprints!$E$10,AZ$4&lt;=Resumen_Sprints!$E$10+Resumen_Sprints!$D$10),INDEX('Sprint N°5'!$C$8:$R$8,AZ$4-Resumen_Sprints!$E$10),0)</f>
        <v>7</v>
      </c>
      <c r="BA31" s="23">
        <f t="array" ref="BA31">IF(AND(BA$4&gt;Resumen_Sprints!$E$10,BA$4&lt;=Resumen_Sprints!$E$10+Resumen_Sprints!$D$10),INDEX('Sprint N°5'!$C$8:$R$8,BA$4-Resumen_Sprints!$E$10),0)</f>
        <v>7</v>
      </c>
      <c r="BB31" s="23">
        <f t="array" ref="BB31">IF(AND(BB$4&gt;Resumen_Sprints!$E$10,BB$4&lt;=Resumen_Sprints!$E$10+Resumen_Sprints!$D$10),INDEX('Sprint N°5'!$C$8:$R$8,BB$4-Resumen_Sprints!$E$10),0)</f>
        <v>6</v>
      </c>
      <c r="BC31" s="23">
        <f t="array" ref="BC31">IF(AND(BC$4&gt;Resumen_Sprints!$E$10,BC$4&lt;=Resumen_Sprints!$E$10+Resumen_Sprints!$D$10),INDEX('Sprint N°5'!$C$8:$R$8,BC$4-Resumen_Sprints!$E$10),0)</f>
        <v>7</v>
      </c>
      <c r="BD31" s="23" t="str">
        <f t="array" ref="BD31">IF(AND(BD$4&gt;Resumen_Sprints!$E$10,BD$4&lt;=Resumen_Sprints!$E$10+Resumen_Sprints!$D$10),INDEX('Sprint N°5'!$C$8:$R$8,BD$4-Resumen_Sprints!$E$10),0)</f>
        <v/>
      </c>
      <c r="BE31" s="23" t="str">
        <f t="array" ref="BE31">IF(AND(BE$4&gt;Resumen_Sprints!$E$10,BE$4&lt;=Resumen_Sprints!$E$10+Resumen_Sprints!$D$10),INDEX('Sprint N°5'!$C$8:$R$8,BE$4-Resumen_Sprints!$E$10),0)</f>
        <v/>
      </c>
      <c r="BF31" s="23" t="str">
        <f t="array" ref="BF31">IF(AND(BF$4&gt;Resumen_Sprints!$E$10,BF$4&lt;=Resumen_Sprints!$E$10+Resumen_Sprints!$D$10),INDEX('Sprint N°5'!$C$8:$R$8,BF$4-Resumen_Sprints!$E$10),0)</f>
        <v/>
      </c>
      <c r="BG31" s="23" t="str">
        <f t="array" ref="BG31">IF(AND(BG$4&gt;Resumen_Sprints!$E$10,BG$4&lt;=Resumen_Sprints!$E$10+Resumen_Sprints!$D$10),INDEX('Sprint N°5'!$C$8:$R$8,BG$4-Resumen_Sprints!$E$10),0)</f>
        <v/>
      </c>
      <c r="BH31" s="23">
        <f t="array" ref="BH31">IF(AND(BH$4&gt;Resumen_Sprints!$E$10,BH$4&lt;=Resumen_Sprints!$E$10+Resumen_Sprints!$D$10),INDEX('Sprint N°5'!$C$8:$R$8,BH$4-Resumen_Sprints!$E$10),0)</f>
        <v>0</v>
      </c>
      <c r="BI31" s="23">
        <f t="array" ref="BI31">IF(AND(BI$4&gt;Resumen_Sprints!$E$10,BI$4&lt;=Resumen_Sprints!$E$10+Resumen_Sprints!$D$10),INDEX('Sprint N°5'!$C$8:$R$8,BI$4-Resumen_Sprints!$E$10),0)</f>
        <v>0</v>
      </c>
      <c r="BJ31" s="23">
        <f t="array" ref="BJ31">IF(AND(BJ$4&gt;Resumen_Sprints!$E$10,BJ$4&lt;=Resumen_Sprints!$E$10+Resumen_Sprints!$D$10),INDEX('Sprint N°5'!$C$8:$R$8,BJ$4-Resumen_Sprints!$E$10),0)</f>
        <v>0</v>
      </c>
      <c r="BK31" s="23">
        <f t="array" ref="BK31">IF(AND(BK$4&gt;Resumen_Sprints!$E$10,BK$4&lt;=Resumen_Sprints!$E$10+Resumen_Sprints!$D$10),INDEX('Sprint N°5'!$C$8:$R$8,BK$4-Resumen_Sprints!$E$10),0)</f>
        <v>0</v>
      </c>
      <c r="BL31" s="23">
        <f t="array" ref="BL31">IF(AND(BL$4&gt;Resumen_Sprints!$E$10,BL$4&lt;=Resumen_Sprints!$E$10+Resumen_Sprints!$D$10),INDEX('Sprint N°5'!$C$8:$R$8,BL$4-Resumen_Sprints!$E$10),0)</f>
        <v>0</v>
      </c>
      <c r="BM31" s="23">
        <f t="array" ref="BM31">IF(AND(BM$4&gt;Resumen_Sprints!$E$10,BM$4&lt;=Resumen_Sprints!$E$10+Resumen_Sprints!$D$10),INDEX('Sprint N°5'!$C$8:$R$8,BM$4-Resumen_Sprints!$E$10),0)</f>
        <v>0</v>
      </c>
      <c r="BN31" s="23">
        <f t="array" ref="BN31">IF(AND(BN$4&gt;Resumen_Sprints!$E$10,BN$4&lt;=Resumen_Sprints!$E$10+Resumen_Sprints!$D$10),INDEX('Sprint N°5'!$C$8:$R$8,BN$4-Resumen_Sprints!$E$10),0)</f>
        <v>0</v>
      </c>
      <c r="BO31" s="23">
        <f t="array" ref="BO31">IF(AND(BO$4&gt;Resumen_Sprints!$E$10,BO$4&lt;=Resumen_Sprints!$E$10+Resumen_Sprints!$D$10),INDEX('Sprint N°5'!$C$8:$R$8,BO$4-Resumen_Sprints!$E$10),0)</f>
        <v>0</v>
      </c>
      <c r="BP31" s="23">
        <f t="array" ref="BP31">IF(AND(BP$4&gt;Resumen_Sprints!$E$10,BP$4&lt;=Resumen_Sprints!$E$10+Resumen_Sprints!$D$10),INDEX('Sprint N°5'!$C$8:$R$8,BP$4-Resumen_Sprints!$E$10),0)</f>
        <v>0</v>
      </c>
      <c r="BQ31" s="23">
        <f t="array" ref="BQ31">IF(AND(BQ$4&gt;Resumen_Sprints!$E$10,BQ$4&lt;=Resumen_Sprints!$E$10+Resumen_Sprints!$D$10),INDEX('Sprint N°5'!$C$8:$R$8,BQ$4-Resumen_Sprints!$E$10),0)</f>
        <v>0</v>
      </c>
      <c r="BR31" s="23">
        <f t="array" ref="BR31">IF(AND(BR$4&gt;Resumen_Sprints!$E$10,BR$4&lt;=Resumen_Sprints!$E$10+Resumen_Sprints!$D$10),INDEX('Sprint N°5'!$C$8:$R$8,BR$4-Resumen_Sprints!$E$10),0)</f>
        <v>0</v>
      </c>
      <c r="BS31" s="23">
        <f t="array" ref="BS31">IF(AND(BS$4&gt;Resumen_Sprints!$E$10,BS$4&lt;=Resumen_Sprints!$E$10+Resumen_Sprints!$D$10),INDEX('Sprint N°5'!$C$8:$R$8,BS$4-Resumen_Sprints!$E$10),0)</f>
        <v>0</v>
      </c>
      <c r="BT31" s="23">
        <f t="array" ref="BT31">IF(AND(BT$4&gt;Resumen_Sprints!$E$10,BT$4&lt;=Resumen_Sprints!$E$10+Resumen_Sprints!$D$10),INDEX('Sprint N°5'!$C$8:$R$8,BT$4-Resumen_Sprints!$E$10),0)</f>
        <v>0</v>
      </c>
      <c r="BU31" s="23">
        <f t="array" ref="BU31">IF(AND(BU$4&gt;Resumen_Sprints!$E$10,BU$4&lt;=Resumen_Sprints!$E$10+Resumen_Sprints!$D$10),INDEX('Sprint N°5'!$C$8:$R$8,BU$4-Resumen_Sprints!$E$10),0)</f>
        <v>0</v>
      </c>
      <c r="BV31" s="23">
        <f t="array" ref="BV31">IF(AND(BV$4&gt;Resumen_Sprints!$E$10,BV$4&lt;=Resumen_Sprints!$E$10+Resumen_Sprints!$D$10),INDEX('Sprint N°5'!$C$8:$R$8,BV$4-Resumen_Sprints!$E$10),0)</f>
        <v>0</v>
      </c>
      <c r="BW31" s="23">
        <f t="array" ref="BW31">IF(AND(BW$4&gt;Resumen_Sprints!$E$10,BW$4&lt;=Resumen_Sprints!$E$10+Resumen_Sprints!$D$10),INDEX('Sprint N°5'!$C$8:$R$8,BW$4-Resumen_Sprints!$E$10),0)</f>
        <v>0</v>
      </c>
      <c r="BX31" s="23">
        <f t="array" ref="BX31">IF(AND(BX$4&gt;Resumen_Sprints!$E$10,BX$4&lt;=Resumen_Sprints!$E$10+Resumen_Sprints!$D$10),INDEX('Sprint N°5'!$C$8:$R$8,BX$4-Resumen_Sprints!$E$10),0)</f>
        <v>0</v>
      </c>
      <c r="BY31" s="23">
        <f t="array" ref="BY31">IF(AND(BY$4&gt;Resumen_Sprints!$E$10,BY$4&lt;=Resumen_Sprints!$E$10+Resumen_Sprints!$D$10),INDEX('Sprint N°5'!$C$8:$R$8,BY$4-Resumen_Sprints!$E$10),0)</f>
        <v>0</v>
      </c>
      <c r="BZ31" s="23">
        <f t="array" ref="BZ31">IF(AND(BZ$4&gt;Resumen_Sprints!$E$10,BZ$4&lt;=Resumen_Sprints!$E$10+Resumen_Sprints!$D$10),INDEX('Sprint N°5'!$C$8:$R$8,BZ$4-Resumen_Sprints!$E$10),0)</f>
        <v>0</v>
      </c>
      <c r="CA31" s="23">
        <f t="array" ref="CA31">IF(AND(CA$4&gt;Resumen_Sprints!$E$10,CA$4&lt;=Resumen_Sprints!$E$10+Resumen_Sprints!$D$10),INDEX('Sprint N°5'!$C$8:$R$8,CA$4-Resumen_Sprints!$E$10),0)</f>
        <v>0</v>
      </c>
      <c r="CB31" s="23">
        <f t="array" ref="CB31">IF(AND(CB$4&gt;Resumen_Sprints!$E$10,CB$4&lt;=Resumen_Sprints!$E$10+Resumen_Sprints!$D$10),INDEX('Sprint N°5'!$C$8:$R$8,CB$4-Resumen_Sprints!$E$10),0)</f>
        <v>0</v>
      </c>
      <c r="CC31" s="23">
        <f t="array" ref="CC31">IF(AND(CC$4&gt;Resumen_Sprints!$E$10,CC$4&lt;=Resumen_Sprints!$E$10+Resumen_Sprints!$D$10),INDEX('Sprint N°5'!$C$8:$R$8,CC$4-Resumen_Sprints!$E$10),0)</f>
        <v>0</v>
      </c>
      <c r="CD31" s="23">
        <f t="array" ref="CD31">IF(AND(CD$4&gt;Resumen_Sprints!$E$10,CD$4&lt;=Resumen_Sprints!$E$10+Resumen_Sprints!$D$10),INDEX('Sprint N°5'!$C$8:$R$8,CD$4-Resumen_Sprints!$E$10),0)</f>
        <v>0</v>
      </c>
      <c r="CE31" s="23">
        <f t="array" ref="CE31">IF(AND(CE$4&gt;Resumen_Sprints!$E$10,CE$4&lt;=Resumen_Sprints!$E$10+Resumen_Sprints!$D$10),INDEX('Sprint N°5'!$C$8:$R$8,CE$4-Resumen_Sprints!$E$10),0)</f>
        <v>0</v>
      </c>
      <c r="CF31" s="23">
        <f t="array" ref="CF31">IF(AND(CF$4&gt;Resumen_Sprints!$E$10,CF$4&lt;=Resumen_Sprints!$E$10+Resumen_Sprints!$D$10),INDEX('Sprint N°5'!$C$8:$R$8,CF$4-Resumen_Sprints!$E$10),0)</f>
        <v>0</v>
      </c>
      <c r="CG31" s="23">
        <f t="array" ref="CG31">IF(AND(CG$4&gt;Resumen_Sprints!$E$10,CG$4&lt;=Resumen_Sprints!$E$10+Resumen_Sprints!$D$10),INDEX('Sprint N°5'!$C$8:$R$8,CG$4-Resumen_Sprints!$E$10),0)</f>
        <v>0</v>
      </c>
      <c r="CH31" s="23">
        <f t="array" ref="CH31">IF(AND(CH$4&gt;Resumen_Sprints!$E$10,CH$4&lt;=Resumen_Sprints!$E$10+Resumen_Sprints!$D$10),INDEX('Sprint N°5'!$C$8:$R$8,CH$4-Resumen_Sprints!$E$10),0)</f>
        <v>0</v>
      </c>
      <c r="CI31" s="23">
        <f t="array" ref="CI31">IF(AND(CI$4&gt;Resumen_Sprints!$E$10,CI$4&lt;=Resumen_Sprints!$E$10+Resumen_Sprints!$D$10),INDEX('Sprint N°5'!$C$8:$R$8,CI$4-Resumen_Sprints!$E$10),0)</f>
        <v>0</v>
      </c>
      <c r="CJ31" s="23">
        <f t="array" ref="CJ31">IF(AND(CJ$4&gt;Resumen_Sprints!$E$10,CJ$4&lt;=Resumen_Sprints!$E$10+Resumen_Sprints!$D$10),INDEX('Sprint N°5'!$C$8:$R$8,CJ$4-Resumen_Sprints!$E$10),0)</f>
        <v>0</v>
      </c>
      <c r="CK31" s="23">
        <f t="array" ref="CK31">IF(AND(CK$4&gt;Resumen_Sprints!$E$10,CK$4&lt;=Resumen_Sprints!$E$10+Resumen_Sprints!$D$10),INDEX('Sprint N°5'!$C$8:$R$8,CK$4-Resumen_Sprints!$E$10),0)</f>
        <v>0</v>
      </c>
      <c r="CL31" s="23">
        <f t="array" ref="CL31">IF(AND(CL$4&gt;Resumen_Sprints!$E$10,CL$4&lt;=Resumen_Sprints!$E$10+Resumen_Sprints!$D$10),INDEX('Sprint N°5'!$C$8:$R$8,CL$4-Resumen_Sprints!$E$10),0)</f>
        <v>0</v>
      </c>
      <c r="CM31" s="23">
        <f t="array" ref="CM31">IF(AND(CM$4&gt;Resumen_Sprints!$E$10,CM$4&lt;=Resumen_Sprints!$E$10+Resumen_Sprints!$D$10),INDEX('Sprint N°5'!$C$8:$R$8,CM$4-Resumen_Sprints!$E$10),0)</f>
        <v>0</v>
      </c>
      <c r="CN31" s="23">
        <f t="array" ref="CN31">IF(AND(CN$4&gt;Resumen_Sprints!$E$10,CN$4&lt;=Resumen_Sprints!$E$10+Resumen_Sprints!$D$10),INDEX('Sprint N°5'!$C$8:$R$8,CN$4-Resumen_Sprints!$E$10),0)</f>
        <v>0</v>
      </c>
      <c r="CO31" s="23">
        <f t="array" ref="CO31">IF(AND(CO$4&gt;Resumen_Sprints!$E$10,CO$4&lt;=Resumen_Sprints!$E$10+Resumen_Sprints!$D$10),INDEX('Sprint N°5'!$C$8:$R$8,CO$4-Resumen_Sprints!$E$10),0)</f>
        <v>0</v>
      </c>
      <c r="CP31" s="23">
        <f t="array" ref="CP31">IF(AND(CP$4&gt;Resumen_Sprints!$E$10,CP$4&lt;=Resumen_Sprints!$E$10+Resumen_Sprints!$D$10),INDEX('Sprint N°5'!$C$8:$R$8,CP$4-Resumen_Sprints!$E$10),0)</f>
        <v>0</v>
      </c>
      <c r="CQ31" s="23">
        <f t="array" ref="CQ31">IF(AND(CQ$4&gt;Resumen_Sprints!$E$10,CQ$4&lt;=Resumen_Sprints!$E$10+Resumen_Sprints!$D$10),INDEX('Sprint N°5'!$C$8:$R$8,CQ$4-Resumen_Sprints!$E$10),0)</f>
        <v>0</v>
      </c>
      <c r="CR31" s="23">
        <f t="array" ref="CR31">IF(AND(CR$4&gt;Resumen_Sprints!$E$10,CR$4&lt;=Resumen_Sprints!$E$10+Resumen_Sprints!$D$10),INDEX('Sprint N°5'!$C$8:$R$8,CR$4-Resumen_Sprints!$E$10),0)</f>
        <v>0</v>
      </c>
      <c r="CS31" s="23">
        <f t="array" ref="CS31">IF(AND(CS$4&gt;Resumen_Sprints!$E$10,CS$4&lt;=Resumen_Sprints!$E$10+Resumen_Sprints!$D$10),INDEX('Sprint N°5'!$C$8:$R$8,CS$4-Resumen_Sprints!$E$10),0)</f>
        <v>0</v>
      </c>
      <c r="CT31" s="23">
        <f t="array" ref="CT31">IF(AND(CT$4&gt;Resumen_Sprints!$E$10,CT$4&lt;=Resumen_Sprints!$E$10+Resumen_Sprints!$D$10),INDEX('Sprint N°5'!$C$8:$R$8,CT$4-Resumen_Sprints!$E$10),0)</f>
        <v>0</v>
      </c>
      <c r="CU31" s="25">
        <f t="shared" si="5"/>
        <v>48</v>
      </c>
    </row>
    <row r="32" ht="14.25" customHeight="1">
      <c r="A32" s="11" t="str">
        <f>'Sprint N°5'!A9</f>
        <v>Visualización de Resultados en Tiempo Real</v>
      </c>
      <c r="B32" s="11">
        <f>'Sprint N°5'!B9</f>
        <v>23</v>
      </c>
      <c r="C32" s="23">
        <f t="array" ref="C32">IF(AND(C$4&gt;Resumen_Sprints!$E$10,C$4&lt;=Resumen_Sprints!$E$10+Resumen_Sprints!$D$10),INDEX('Sprint N°5'!$C$9:$R$9,C$4-Resumen_Sprints!$E$10),0)</f>
        <v>0</v>
      </c>
      <c r="D32" s="23">
        <f t="array" ref="D32">IF(AND(D$4&gt;Resumen_Sprints!$E$10,D$4&lt;=Resumen_Sprints!$E$10+Resumen_Sprints!$D$10),INDEX('Sprint N°5'!$C$9:$R$9,D$4-Resumen_Sprints!$E$10),0)</f>
        <v>0</v>
      </c>
      <c r="E32" s="23">
        <f t="array" ref="E32">IF(AND(E$4&gt;Resumen_Sprints!$E$10,E$4&lt;=Resumen_Sprints!$E$10+Resumen_Sprints!$D$10),INDEX('Sprint N°5'!$C$9:$R$9,E$4-Resumen_Sprints!$E$10),0)</f>
        <v>0</v>
      </c>
      <c r="F32" s="23">
        <f t="array" ref="F32">IF(AND(F$4&gt;Resumen_Sprints!$E$10,F$4&lt;=Resumen_Sprints!$E$10+Resumen_Sprints!$D$10),INDEX('Sprint N°5'!$C$9:$R$9,F$4-Resumen_Sprints!$E$10),0)</f>
        <v>0</v>
      </c>
      <c r="G32" s="23">
        <f t="array" ref="G32">IF(AND(G$4&gt;Resumen_Sprints!$E$10,G$4&lt;=Resumen_Sprints!$E$10+Resumen_Sprints!$D$10),INDEX('Sprint N°5'!$C$9:$R$9,G$4-Resumen_Sprints!$E$10),0)</f>
        <v>0</v>
      </c>
      <c r="H32" s="23">
        <f t="array" ref="H32">IF(AND(H$4&gt;Resumen_Sprints!$E$10,H$4&lt;=Resumen_Sprints!$E$10+Resumen_Sprints!$D$10),INDEX('Sprint N°5'!$C$9:$R$9,H$4-Resumen_Sprints!$E$10),0)</f>
        <v>0</v>
      </c>
      <c r="I32" s="23">
        <f t="array" ref="I32">IF(AND(I$4&gt;Resumen_Sprints!$E$10,I$4&lt;=Resumen_Sprints!$E$10+Resumen_Sprints!$D$10),INDEX('Sprint N°5'!$C$9:$R$9,I$4-Resumen_Sprints!$E$10),0)</f>
        <v>0</v>
      </c>
      <c r="J32" s="23">
        <f t="array" ref="J32">IF(AND(J$4&gt;Resumen_Sprints!$E$10,J$4&lt;=Resumen_Sprints!$E$10+Resumen_Sprints!$D$10),INDEX('Sprint N°5'!$C$9:$R$9,J$4-Resumen_Sprints!$E$10),0)</f>
        <v>0</v>
      </c>
      <c r="K32" s="23">
        <f t="array" ref="K32">IF(AND(K$4&gt;Resumen_Sprints!$E$10,K$4&lt;=Resumen_Sprints!$E$10+Resumen_Sprints!$D$10),INDEX('Sprint N°5'!$C$9:$R$9,K$4-Resumen_Sprints!$E$10),0)</f>
        <v>0</v>
      </c>
      <c r="L32" s="23">
        <f t="array" ref="L32">IF(AND(L$4&gt;Resumen_Sprints!$E$10,L$4&lt;=Resumen_Sprints!$E$10+Resumen_Sprints!$D$10),INDEX('Sprint N°5'!$C$9:$R$9,L$4-Resumen_Sprints!$E$10),0)</f>
        <v>0</v>
      </c>
      <c r="M32" s="23">
        <f t="array" ref="M32">IF(AND(M$4&gt;Resumen_Sprints!$E$10,M$4&lt;=Resumen_Sprints!$E$10+Resumen_Sprints!$D$10),INDEX('Sprint N°5'!$C$9:$R$9,M$4-Resumen_Sprints!$E$10),0)</f>
        <v>0</v>
      </c>
      <c r="N32" s="23">
        <f t="array" ref="N32">IF(AND(N$4&gt;Resumen_Sprints!$E$10,N$4&lt;=Resumen_Sprints!$E$10+Resumen_Sprints!$D$10),INDEX('Sprint N°5'!$C$9:$R$9,N$4-Resumen_Sprints!$E$10),0)</f>
        <v>0</v>
      </c>
      <c r="O32" s="23">
        <f t="array" ref="O32">IF(AND(O$4&gt;Resumen_Sprints!$E$10,O$4&lt;=Resumen_Sprints!$E$10+Resumen_Sprints!$D$10),INDEX('Sprint N°5'!$C$9:$R$9,O$4-Resumen_Sprints!$E$10),0)</f>
        <v>0</v>
      </c>
      <c r="P32" s="23">
        <f t="array" ref="P32">IF(AND(P$4&gt;Resumen_Sprints!$E$10,P$4&lt;=Resumen_Sprints!$E$10+Resumen_Sprints!$D$10),INDEX('Sprint N°5'!$C$9:$R$9,P$4-Resumen_Sprints!$E$10),0)</f>
        <v>0</v>
      </c>
      <c r="Q32" s="23">
        <f t="array" ref="Q32">IF(AND(Q$4&gt;Resumen_Sprints!$E$10,Q$4&lt;=Resumen_Sprints!$E$10+Resumen_Sprints!$D$10),INDEX('Sprint N°5'!$C$9:$R$9,Q$4-Resumen_Sprints!$E$10),0)</f>
        <v>0</v>
      </c>
      <c r="R32" s="23">
        <f t="array" ref="R32">IF(AND(R$4&gt;Resumen_Sprints!$E$10,R$4&lt;=Resumen_Sprints!$E$10+Resumen_Sprints!$D$10),INDEX('Sprint N°5'!$C$9:$R$9,R$4-Resumen_Sprints!$E$10),0)</f>
        <v>0</v>
      </c>
      <c r="S32" s="23">
        <f t="array" ref="S32">IF(AND(S$4&gt;Resumen_Sprints!$E$10,S$4&lt;=Resumen_Sprints!$E$10+Resumen_Sprints!$D$10),INDEX('Sprint N°5'!$C$9:$R$9,S$4-Resumen_Sprints!$E$10),0)</f>
        <v>0</v>
      </c>
      <c r="T32" s="23">
        <f t="array" ref="T32">IF(AND(T$4&gt;Resumen_Sprints!$E$10,T$4&lt;=Resumen_Sprints!$E$10+Resumen_Sprints!$D$10),INDEX('Sprint N°5'!$C$9:$R$9,T$4-Resumen_Sprints!$E$10),0)</f>
        <v>0</v>
      </c>
      <c r="U32" s="23">
        <f t="array" ref="U32">IF(AND(U$4&gt;Resumen_Sprints!$E$10,U$4&lt;=Resumen_Sprints!$E$10+Resumen_Sprints!$D$10),INDEX('Sprint N°5'!$C$9:$R$9,U$4-Resumen_Sprints!$E$10),0)</f>
        <v>0</v>
      </c>
      <c r="V32" s="23">
        <f t="array" ref="V32">IF(AND(V$4&gt;Resumen_Sprints!$E$10,V$4&lt;=Resumen_Sprints!$E$10+Resumen_Sprints!$D$10),INDEX('Sprint N°5'!$C$9:$R$9,V$4-Resumen_Sprints!$E$10),0)</f>
        <v>0</v>
      </c>
      <c r="W32" s="23">
        <f t="array" ref="W32">IF(AND(W$4&gt;Resumen_Sprints!$E$10,W$4&lt;=Resumen_Sprints!$E$10+Resumen_Sprints!$D$10),INDEX('Sprint N°5'!$C$9:$R$9,W$4-Resumen_Sprints!$E$10),0)</f>
        <v>0</v>
      </c>
      <c r="X32" s="23">
        <f t="array" ref="X32">IF(AND(X$4&gt;Resumen_Sprints!$E$10,X$4&lt;=Resumen_Sprints!$E$10+Resumen_Sprints!$D$10),INDEX('Sprint N°5'!$C$9:$R$9,X$4-Resumen_Sprints!$E$10),0)</f>
        <v>0</v>
      </c>
      <c r="Y32" s="23">
        <f t="array" ref="Y32">IF(AND(Y$4&gt;Resumen_Sprints!$E$10,Y$4&lt;=Resumen_Sprints!$E$10+Resumen_Sprints!$D$10),INDEX('Sprint N°5'!$C$9:$R$9,Y$4-Resumen_Sprints!$E$10),0)</f>
        <v>0</v>
      </c>
      <c r="Z32" s="23">
        <f t="array" ref="Z32">IF(AND(Z$4&gt;Resumen_Sprints!$E$10,Z$4&lt;=Resumen_Sprints!$E$10+Resumen_Sprints!$D$10),INDEX('Sprint N°5'!$C$9:$R$9,Z$4-Resumen_Sprints!$E$10),0)</f>
        <v>0</v>
      </c>
      <c r="AA32" s="23">
        <f t="array" ref="AA32">IF(AND(AA$4&gt;Resumen_Sprints!$E$10,AA$4&lt;=Resumen_Sprints!$E$10+Resumen_Sprints!$D$10),INDEX('Sprint N°5'!$C$9:$R$9,AA$4-Resumen_Sprints!$E$10),0)</f>
        <v>0</v>
      </c>
      <c r="AB32" s="23">
        <f t="array" ref="AB32">IF(AND(AB$4&gt;Resumen_Sprints!$E$10,AB$4&lt;=Resumen_Sprints!$E$10+Resumen_Sprints!$D$10),INDEX('Sprint N°5'!$C$9:$R$9,AB$4-Resumen_Sprints!$E$10),0)</f>
        <v>0</v>
      </c>
      <c r="AC32" s="23">
        <f t="array" ref="AC32">IF(AND(AC$4&gt;Resumen_Sprints!$E$10,AC$4&lt;=Resumen_Sprints!$E$10+Resumen_Sprints!$D$10),INDEX('Sprint N°5'!$C$9:$R$9,AC$4-Resumen_Sprints!$E$10),0)</f>
        <v>0</v>
      </c>
      <c r="AD32" s="23">
        <f t="array" ref="AD32">IF(AND(AD$4&gt;Resumen_Sprints!$E$10,AD$4&lt;=Resumen_Sprints!$E$10+Resumen_Sprints!$D$10),INDEX('Sprint N°5'!$C$9:$R$9,AD$4-Resumen_Sprints!$E$10),0)</f>
        <v>0</v>
      </c>
      <c r="AE32" s="23">
        <f t="array" ref="AE32">IF(AND(AE$4&gt;Resumen_Sprints!$E$10,AE$4&lt;=Resumen_Sprints!$E$10+Resumen_Sprints!$D$10),INDEX('Sprint N°5'!$C$9:$R$9,AE$4-Resumen_Sprints!$E$10),0)</f>
        <v>0</v>
      </c>
      <c r="AF32" s="23">
        <f t="array" ref="AF32">IF(AND(AF$4&gt;Resumen_Sprints!$E$10,AF$4&lt;=Resumen_Sprints!$E$10+Resumen_Sprints!$D$10),INDEX('Sprint N°5'!$C$9:$R$9,AF$4-Resumen_Sprints!$E$10),0)</f>
        <v>0</v>
      </c>
      <c r="AG32" s="23">
        <f t="array" ref="AG32">IF(AND(AG$4&gt;Resumen_Sprints!$E$10,AG$4&lt;=Resumen_Sprints!$E$10+Resumen_Sprints!$D$10),INDEX('Sprint N°5'!$C$9:$R$9,AG$4-Resumen_Sprints!$E$10),0)</f>
        <v>0</v>
      </c>
      <c r="AH32" s="23">
        <f t="array" ref="AH32">IF(AND(AH$4&gt;Resumen_Sprints!$E$10,AH$4&lt;=Resumen_Sprints!$E$10+Resumen_Sprints!$D$10),INDEX('Sprint N°5'!$C$9:$R$9,AH$4-Resumen_Sprints!$E$10),0)</f>
        <v>0</v>
      </c>
      <c r="AI32" s="23">
        <f t="array" ref="AI32">IF(AND(AI$4&gt;Resumen_Sprints!$E$10,AI$4&lt;=Resumen_Sprints!$E$10+Resumen_Sprints!$D$10),INDEX('Sprint N°5'!$C$9:$R$9,AI$4-Resumen_Sprints!$E$10),0)</f>
        <v>0</v>
      </c>
      <c r="AJ32" s="23">
        <f t="array" ref="AJ32">IF(AND(AJ$4&gt;Resumen_Sprints!$E$10,AJ$4&lt;=Resumen_Sprints!$E$10+Resumen_Sprints!$D$10),INDEX('Sprint N°5'!$C$9:$R$9,AJ$4-Resumen_Sprints!$E$10),0)</f>
        <v>0</v>
      </c>
      <c r="AK32" s="23">
        <f t="array" ref="AK32">IF(AND(AK$4&gt;Resumen_Sprints!$E$10,AK$4&lt;=Resumen_Sprints!$E$10+Resumen_Sprints!$D$10),INDEX('Sprint N°5'!$C$9:$R$9,AK$4-Resumen_Sprints!$E$10),0)</f>
        <v>0</v>
      </c>
      <c r="AL32" s="23">
        <f t="array" ref="AL32">IF(AND(AL$4&gt;Resumen_Sprints!$E$10,AL$4&lt;=Resumen_Sprints!$E$10+Resumen_Sprints!$D$10),INDEX('Sprint N°5'!$C$9:$R$9,AL$4-Resumen_Sprints!$E$10),0)</f>
        <v>0</v>
      </c>
      <c r="AM32" s="23">
        <f t="array" ref="AM32">IF(AND(AM$4&gt;Resumen_Sprints!$E$10,AM$4&lt;=Resumen_Sprints!$E$10+Resumen_Sprints!$D$10),INDEX('Sprint N°5'!$C$9:$R$9,AM$4-Resumen_Sprints!$E$10),0)</f>
        <v>0</v>
      </c>
      <c r="AN32" s="23">
        <f t="array" ref="AN32">IF(AND(AN$4&gt;Resumen_Sprints!$E$10,AN$4&lt;=Resumen_Sprints!$E$10+Resumen_Sprints!$D$10),INDEX('Sprint N°5'!$C$9:$R$9,AN$4-Resumen_Sprints!$E$10),0)</f>
        <v>0</v>
      </c>
      <c r="AO32" s="23">
        <f t="array" ref="AO32">IF(AND(AO$4&gt;Resumen_Sprints!$E$10,AO$4&lt;=Resumen_Sprints!$E$10+Resumen_Sprints!$D$10),INDEX('Sprint N°5'!$C$9:$R$9,AO$4-Resumen_Sprints!$E$10),0)</f>
        <v>0</v>
      </c>
      <c r="AP32" s="23">
        <f t="array" ref="AP32">IF(AND(AP$4&gt;Resumen_Sprints!$E$10,AP$4&lt;=Resumen_Sprints!$E$10+Resumen_Sprints!$D$10),INDEX('Sprint N°5'!$C$9:$R$9,AP$4-Resumen_Sprints!$E$10),0)</f>
        <v>0</v>
      </c>
      <c r="AQ32" s="23">
        <f t="array" ref="AQ32">IF(AND(AQ$4&gt;Resumen_Sprints!$E$10,AQ$4&lt;=Resumen_Sprints!$E$10+Resumen_Sprints!$D$10),INDEX('Sprint N°5'!$C$9:$R$9,AQ$4-Resumen_Sprints!$E$10),0)</f>
        <v>0</v>
      </c>
      <c r="AR32" s="23" t="str">
        <f t="array" ref="AR32">IF(AND(AR$4&gt;Resumen_Sprints!$E$10,AR$4&lt;=Resumen_Sprints!$E$10+Resumen_Sprints!$D$10),INDEX('Sprint N°5'!$C$9:$R$9,AR$4-Resumen_Sprints!$E$10),0)</f>
        <v/>
      </c>
      <c r="AS32" s="23" t="str">
        <f t="array" ref="AS32">IF(AND(AS$4&gt;Resumen_Sprints!$E$10,AS$4&lt;=Resumen_Sprints!$E$10+Resumen_Sprints!$D$10),INDEX('Sprint N°5'!$C$9:$R$9,AS$4-Resumen_Sprints!$E$10),0)</f>
        <v/>
      </c>
      <c r="AT32" s="23" t="str">
        <f t="array" ref="AT32">IF(AND(AT$4&gt;Resumen_Sprints!$E$10,AT$4&lt;=Resumen_Sprints!$E$10+Resumen_Sprints!$D$10),INDEX('Sprint N°5'!$C$9:$R$9,AT$4-Resumen_Sprints!$E$10),0)</f>
        <v/>
      </c>
      <c r="AU32" s="23" t="str">
        <f t="array" ref="AU32">IF(AND(AU$4&gt;Resumen_Sprints!$E$10,AU$4&lt;=Resumen_Sprints!$E$10+Resumen_Sprints!$D$10),INDEX('Sprint N°5'!$C$9:$R$9,AU$4-Resumen_Sprints!$E$10),0)</f>
        <v/>
      </c>
      <c r="AV32" s="23" t="str">
        <f t="array" ref="AV32">IF(AND(AV$4&gt;Resumen_Sprints!$E$10,AV$4&lt;=Resumen_Sprints!$E$10+Resumen_Sprints!$D$10),INDEX('Sprint N°5'!$C$9:$R$9,AV$4-Resumen_Sprints!$E$10),0)</f>
        <v/>
      </c>
      <c r="AW32" s="23" t="str">
        <f t="array" ref="AW32">IF(AND(AW$4&gt;Resumen_Sprints!$E$10,AW$4&lt;=Resumen_Sprints!$E$10+Resumen_Sprints!$D$10),INDEX('Sprint N°5'!$C$9:$R$9,AW$4-Resumen_Sprints!$E$10),0)</f>
        <v/>
      </c>
      <c r="AX32" s="23" t="str">
        <f t="array" ref="AX32">IF(AND(AX$4&gt;Resumen_Sprints!$E$10,AX$4&lt;=Resumen_Sprints!$E$10+Resumen_Sprints!$D$10),INDEX('Sprint N°5'!$C$9:$R$9,AX$4-Resumen_Sprints!$E$10),0)</f>
        <v/>
      </c>
      <c r="AY32" s="23" t="str">
        <f t="array" ref="AY32">IF(AND(AY$4&gt;Resumen_Sprints!$E$10,AY$4&lt;=Resumen_Sprints!$E$10+Resumen_Sprints!$D$10),INDEX('Sprint N°5'!$C$9:$R$9,AY$4-Resumen_Sprints!$E$10),0)</f>
        <v/>
      </c>
      <c r="AZ32" s="23" t="str">
        <f t="array" ref="AZ32">IF(AND(AZ$4&gt;Resumen_Sprints!$E$10,AZ$4&lt;=Resumen_Sprints!$E$10+Resumen_Sprints!$D$10),INDEX('Sprint N°5'!$C$9:$R$9,AZ$4-Resumen_Sprints!$E$10),0)</f>
        <v/>
      </c>
      <c r="BA32" s="23" t="str">
        <f t="array" ref="BA32">IF(AND(BA$4&gt;Resumen_Sprints!$E$10,BA$4&lt;=Resumen_Sprints!$E$10+Resumen_Sprints!$D$10),INDEX('Sprint N°5'!$C$9:$R$9,BA$4-Resumen_Sprints!$E$10),0)</f>
        <v/>
      </c>
      <c r="BB32" s="23" t="str">
        <f t="array" ref="BB32">IF(AND(BB$4&gt;Resumen_Sprints!$E$10,BB$4&lt;=Resumen_Sprints!$E$10+Resumen_Sprints!$D$10),INDEX('Sprint N°5'!$C$9:$R$9,BB$4-Resumen_Sprints!$E$10),0)</f>
        <v/>
      </c>
      <c r="BC32" s="23" t="str">
        <f t="array" ref="BC32">IF(AND(BC$4&gt;Resumen_Sprints!$E$10,BC$4&lt;=Resumen_Sprints!$E$10+Resumen_Sprints!$D$10),INDEX('Sprint N°5'!$C$9:$R$9,BC$4-Resumen_Sprints!$E$10),0)</f>
        <v/>
      </c>
      <c r="BD32" s="23">
        <f t="array" ref="BD32">IF(AND(BD$4&gt;Resumen_Sprints!$E$10,BD$4&lt;=Resumen_Sprints!$E$10+Resumen_Sprints!$D$10),INDEX('Sprint N°5'!$C$9:$R$9,BD$4-Resumen_Sprints!$E$10),0)</f>
        <v>5</v>
      </c>
      <c r="BE32" s="23">
        <f t="array" ref="BE32">IF(AND(BE$4&gt;Resumen_Sprints!$E$10,BE$4&lt;=Resumen_Sprints!$E$10+Resumen_Sprints!$D$10),INDEX('Sprint N°5'!$C$9:$R$9,BE$4-Resumen_Sprints!$E$10),0)</f>
        <v>7</v>
      </c>
      <c r="BF32" s="23">
        <f t="array" ref="BF32">IF(AND(BF$4&gt;Resumen_Sprints!$E$10,BF$4&lt;=Resumen_Sprints!$E$10+Resumen_Sprints!$D$10),INDEX('Sprint N°5'!$C$9:$R$9,BF$4-Resumen_Sprints!$E$10),0)</f>
        <v>6</v>
      </c>
      <c r="BG32" s="23">
        <f t="array" ref="BG32">IF(AND(BG$4&gt;Resumen_Sprints!$E$10,BG$4&lt;=Resumen_Sprints!$E$10+Resumen_Sprints!$D$10),INDEX('Sprint N°5'!$C$9:$R$9,BG$4-Resumen_Sprints!$E$10),0)</f>
        <v>6</v>
      </c>
      <c r="BH32" s="23">
        <f t="array" ref="BH32">IF(AND(BH$4&gt;Resumen_Sprints!$E$10,BH$4&lt;=Resumen_Sprints!$E$10+Resumen_Sprints!$D$10),INDEX('Sprint N°5'!$C$9:$R$9,BH$4-Resumen_Sprints!$E$10),0)</f>
        <v>0</v>
      </c>
      <c r="BI32" s="23">
        <f t="array" ref="BI32">IF(AND(BI$4&gt;Resumen_Sprints!$E$10,BI$4&lt;=Resumen_Sprints!$E$10+Resumen_Sprints!$D$10),INDEX('Sprint N°5'!$C$9:$R$9,BI$4-Resumen_Sprints!$E$10),0)</f>
        <v>0</v>
      </c>
      <c r="BJ32" s="23">
        <f t="array" ref="BJ32">IF(AND(BJ$4&gt;Resumen_Sprints!$E$10,BJ$4&lt;=Resumen_Sprints!$E$10+Resumen_Sprints!$D$10),INDEX('Sprint N°5'!$C$9:$R$9,BJ$4-Resumen_Sprints!$E$10),0)</f>
        <v>0</v>
      </c>
      <c r="BK32" s="23">
        <f t="array" ref="BK32">IF(AND(BK$4&gt;Resumen_Sprints!$E$10,BK$4&lt;=Resumen_Sprints!$E$10+Resumen_Sprints!$D$10),INDEX('Sprint N°5'!$C$9:$R$9,BK$4-Resumen_Sprints!$E$10),0)</f>
        <v>0</v>
      </c>
      <c r="BL32" s="23">
        <f t="array" ref="BL32">IF(AND(BL$4&gt;Resumen_Sprints!$E$10,BL$4&lt;=Resumen_Sprints!$E$10+Resumen_Sprints!$D$10),INDEX('Sprint N°5'!$C$9:$R$9,BL$4-Resumen_Sprints!$E$10),0)</f>
        <v>0</v>
      </c>
      <c r="BM32" s="23">
        <f t="array" ref="BM32">IF(AND(BM$4&gt;Resumen_Sprints!$E$10,BM$4&lt;=Resumen_Sprints!$E$10+Resumen_Sprints!$D$10),INDEX('Sprint N°5'!$C$9:$R$9,BM$4-Resumen_Sprints!$E$10),0)</f>
        <v>0</v>
      </c>
      <c r="BN32" s="23">
        <f t="array" ref="BN32">IF(AND(BN$4&gt;Resumen_Sprints!$E$10,BN$4&lt;=Resumen_Sprints!$E$10+Resumen_Sprints!$D$10),INDEX('Sprint N°5'!$C$9:$R$9,BN$4-Resumen_Sprints!$E$10),0)</f>
        <v>0</v>
      </c>
      <c r="BO32" s="23">
        <f t="array" ref="BO32">IF(AND(BO$4&gt;Resumen_Sprints!$E$10,BO$4&lt;=Resumen_Sprints!$E$10+Resumen_Sprints!$D$10),INDEX('Sprint N°5'!$C$9:$R$9,BO$4-Resumen_Sprints!$E$10),0)</f>
        <v>0</v>
      </c>
      <c r="BP32" s="23">
        <f t="array" ref="BP32">IF(AND(BP$4&gt;Resumen_Sprints!$E$10,BP$4&lt;=Resumen_Sprints!$E$10+Resumen_Sprints!$D$10),INDEX('Sprint N°5'!$C$9:$R$9,BP$4-Resumen_Sprints!$E$10),0)</f>
        <v>0</v>
      </c>
      <c r="BQ32" s="23">
        <f t="array" ref="BQ32">IF(AND(BQ$4&gt;Resumen_Sprints!$E$10,BQ$4&lt;=Resumen_Sprints!$E$10+Resumen_Sprints!$D$10),INDEX('Sprint N°5'!$C$9:$R$9,BQ$4-Resumen_Sprints!$E$10),0)</f>
        <v>0</v>
      </c>
      <c r="BR32" s="23">
        <f t="array" ref="BR32">IF(AND(BR$4&gt;Resumen_Sprints!$E$10,BR$4&lt;=Resumen_Sprints!$E$10+Resumen_Sprints!$D$10),INDEX('Sprint N°5'!$C$9:$R$9,BR$4-Resumen_Sprints!$E$10),0)</f>
        <v>0</v>
      </c>
      <c r="BS32" s="23">
        <f t="array" ref="BS32">IF(AND(BS$4&gt;Resumen_Sprints!$E$10,BS$4&lt;=Resumen_Sprints!$E$10+Resumen_Sprints!$D$10),INDEX('Sprint N°5'!$C$9:$R$9,BS$4-Resumen_Sprints!$E$10),0)</f>
        <v>0</v>
      </c>
      <c r="BT32" s="23">
        <f t="array" ref="BT32">IF(AND(BT$4&gt;Resumen_Sprints!$E$10,BT$4&lt;=Resumen_Sprints!$E$10+Resumen_Sprints!$D$10),INDEX('Sprint N°5'!$C$9:$R$9,BT$4-Resumen_Sprints!$E$10),0)</f>
        <v>0</v>
      </c>
      <c r="BU32" s="23">
        <f t="array" ref="BU32">IF(AND(BU$4&gt;Resumen_Sprints!$E$10,BU$4&lt;=Resumen_Sprints!$E$10+Resumen_Sprints!$D$10),INDEX('Sprint N°5'!$C$9:$R$9,BU$4-Resumen_Sprints!$E$10),0)</f>
        <v>0</v>
      </c>
      <c r="BV32" s="23">
        <f t="array" ref="BV32">IF(AND(BV$4&gt;Resumen_Sprints!$E$10,BV$4&lt;=Resumen_Sprints!$E$10+Resumen_Sprints!$D$10),INDEX('Sprint N°5'!$C$9:$R$9,BV$4-Resumen_Sprints!$E$10),0)</f>
        <v>0</v>
      </c>
      <c r="BW32" s="23">
        <f t="array" ref="BW32">IF(AND(BW$4&gt;Resumen_Sprints!$E$10,BW$4&lt;=Resumen_Sprints!$E$10+Resumen_Sprints!$D$10),INDEX('Sprint N°5'!$C$9:$R$9,BW$4-Resumen_Sprints!$E$10),0)</f>
        <v>0</v>
      </c>
      <c r="BX32" s="23">
        <f t="array" ref="BX32">IF(AND(BX$4&gt;Resumen_Sprints!$E$10,BX$4&lt;=Resumen_Sprints!$E$10+Resumen_Sprints!$D$10),INDEX('Sprint N°5'!$C$9:$R$9,BX$4-Resumen_Sprints!$E$10),0)</f>
        <v>0</v>
      </c>
      <c r="BY32" s="23">
        <f t="array" ref="BY32">IF(AND(BY$4&gt;Resumen_Sprints!$E$10,BY$4&lt;=Resumen_Sprints!$E$10+Resumen_Sprints!$D$10),INDEX('Sprint N°5'!$C$9:$R$9,BY$4-Resumen_Sprints!$E$10),0)</f>
        <v>0</v>
      </c>
      <c r="BZ32" s="23">
        <f t="array" ref="BZ32">IF(AND(BZ$4&gt;Resumen_Sprints!$E$10,BZ$4&lt;=Resumen_Sprints!$E$10+Resumen_Sprints!$D$10),INDEX('Sprint N°5'!$C$9:$R$9,BZ$4-Resumen_Sprints!$E$10),0)</f>
        <v>0</v>
      </c>
      <c r="CA32" s="23">
        <f t="array" ref="CA32">IF(AND(CA$4&gt;Resumen_Sprints!$E$10,CA$4&lt;=Resumen_Sprints!$E$10+Resumen_Sprints!$D$10),INDEX('Sprint N°5'!$C$9:$R$9,CA$4-Resumen_Sprints!$E$10),0)</f>
        <v>0</v>
      </c>
      <c r="CB32" s="23">
        <f t="array" ref="CB32">IF(AND(CB$4&gt;Resumen_Sprints!$E$10,CB$4&lt;=Resumen_Sprints!$E$10+Resumen_Sprints!$D$10),INDEX('Sprint N°5'!$C$9:$R$9,CB$4-Resumen_Sprints!$E$10),0)</f>
        <v>0</v>
      </c>
      <c r="CC32" s="23">
        <f t="array" ref="CC32">IF(AND(CC$4&gt;Resumen_Sprints!$E$10,CC$4&lt;=Resumen_Sprints!$E$10+Resumen_Sprints!$D$10),INDEX('Sprint N°5'!$C$9:$R$9,CC$4-Resumen_Sprints!$E$10),0)</f>
        <v>0</v>
      </c>
      <c r="CD32" s="23">
        <f t="array" ref="CD32">IF(AND(CD$4&gt;Resumen_Sprints!$E$10,CD$4&lt;=Resumen_Sprints!$E$10+Resumen_Sprints!$D$10),INDEX('Sprint N°5'!$C$9:$R$9,CD$4-Resumen_Sprints!$E$10),0)</f>
        <v>0</v>
      </c>
      <c r="CE32" s="23">
        <f t="array" ref="CE32">IF(AND(CE$4&gt;Resumen_Sprints!$E$10,CE$4&lt;=Resumen_Sprints!$E$10+Resumen_Sprints!$D$10),INDEX('Sprint N°5'!$C$9:$R$9,CE$4-Resumen_Sprints!$E$10),0)</f>
        <v>0</v>
      </c>
      <c r="CF32" s="23">
        <f t="array" ref="CF32">IF(AND(CF$4&gt;Resumen_Sprints!$E$10,CF$4&lt;=Resumen_Sprints!$E$10+Resumen_Sprints!$D$10),INDEX('Sprint N°5'!$C$9:$R$9,CF$4-Resumen_Sprints!$E$10),0)</f>
        <v>0</v>
      </c>
      <c r="CG32" s="23">
        <f t="array" ref="CG32">IF(AND(CG$4&gt;Resumen_Sprints!$E$10,CG$4&lt;=Resumen_Sprints!$E$10+Resumen_Sprints!$D$10),INDEX('Sprint N°5'!$C$9:$R$9,CG$4-Resumen_Sprints!$E$10),0)</f>
        <v>0</v>
      </c>
      <c r="CH32" s="23">
        <f t="array" ref="CH32">IF(AND(CH$4&gt;Resumen_Sprints!$E$10,CH$4&lt;=Resumen_Sprints!$E$10+Resumen_Sprints!$D$10),INDEX('Sprint N°5'!$C$9:$R$9,CH$4-Resumen_Sprints!$E$10),0)</f>
        <v>0</v>
      </c>
      <c r="CI32" s="23">
        <f t="array" ref="CI32">IF(AND(CI$4&gt;Resumen_Sprints!$E$10,CI$4&lt;=Resumen_Sprints!$E$10+Resumen_Sprints!$D$10),INDEX('Sprint N°5'!$C$9:$R$9,CI$4-Resumen_Sprints!$E$10),0)</f>
        <v>0</v>
      </c>
      <c r="CJ32" s="23">
        <f t="array" ref="CJ32">IF(AND(CJ$4&gt;Resumen_Sprints!$E$10,CJ$4&lt;=Resumen_Sprints!$E$10+Resumen_Sprints!$D$10),INDEX('Sprint N°5'!$C$9:$R$9,CJ$4-Resumen_Sprints!$E$10),0)</f>
        <v>0</v>
      </c>
      <c r="CK32" s="23">
        <f t="array" ref="CK32">IF(AND(CK$4&gt;Resumen_Sprints!$E$10,CK$4&lt;=Resumen_Sprints!$E$10+Resumen_Sprints!$D$10),INDEX('Sprint N°5'!$C$9:$R$9,CK$4-Resumen_Sprints!$E$10),0)</f>
        <v>0</v>
      </c>
      <c r="CL32" s="23">
        <f t="array" ref="CL32">IF(AND(CL$4&gt;Resumen_Sprints!$E$10,CL$4&lt;=Resumen_Sprints!$E$10+Resumen_Sprints!$D$10),INDEX('Sprint N°5'!$C$9:$R$9,CL$4-Resumen_Sprints!$E$10),0)</f>
        <v>0</v>
      </c>
      <c r="CM32" s="23">
        <f t="array" ref="CM32">IF(AND(CM$4&gt;Resumen_Sprints!$E$10,CM$4&lt;=Resumen_Sprints!$E$10+Resumen_Sprints!$D$10),INDEX('Sprint N°5'!$C$9:$R$9,CM$4-Resumen_Sprints!$E$10),0)</f>
        <v>0</v>
      </c>
      <c r="CN32" s="23">
        <f t="array" ref="CN32">IF(AND(CN$4&gt;Resumen_Sprints!$E$10,CN$4&lt;=Resumen_Sprints!$E$10+Resumen_Sprints!$D$10),INDEX('Sprint N°5'!$C$9:$R$9,CN$4-Resumen_Sprints!$E$10),0)</f>
        <v>0</v>
      </c>
      <c r="CO32" s="23">
        <f t="array" ref="CO32">IF(AND(CO$4&gt;Resumen_Sprints!$E$10,CO$4&lt;=Resumen_Sprints!$E$10+Resumen_Sprints!$D$10),INDEX('Sprint N°5'!$C$9:$R$9,CO$4-Resumen_Sprints!$E$10),0)</f>
        <v>0</v>
      </c>
      <c r="CP32" s="23">
        <f t="array" ref="CP32">IF(AND(CP$4&gt;Resumen_Sprints!$E$10,CP$4&lt;=Resumen_Sprints!$E$10+Resumen_Sprints!$D$10),INDEX('Sprint N°5'!$C$9:$R$9,CP$4-Resumen_Sprints!$E$10),0)</f>
        <v>0</v>
      </c>
      <c r="CQ32" s="23">
        <f t="array" ref="CQ32">IF(AND(CQ$4&gt;Resumen_Sprints!$E$10,CQ$4&lt;=Resumen_Sprints!$E$10+Resumen_Sprints!$D$10),INDEX('Sprint N°5'!$C$9:$R$9,CQ$4-Resumen_Sprints!$E$10),0)</f>
        <v>0</v>
      </c>
      <c r="CR32" s="23">
        <f t="array" ref="CR32">IF(AND(CR$4&gt;Resumen_Sprints!$E$10,CR$4&lt;=Resumen_Sprints!$E$10+Resumen_Sprints!$D$10),INDEX('Sprint N°5'!$C$9:$R$9,CR$4-Resumen_Sprints!$E$10),0)</f>
        <v>0</v>
      </c>
      <c r="CS32" s="23">
        <f t="array" ref="CS32">IF(AND(CS$4&gt;Resumen_Sprints!$E$10,CS$4&lt;=Resumen_Sprints!$E$10+Resumen_Sprints!$D$10),INDEX('Sprint N°5'!$C$9:$R$9,CS$4-Resumen_Sprints!$E$10),0)</f>
        <v>0</v>
      </c>
      <c r="CT32" s="23">
        <f t="array" ref="CT32">IF(AND(CT$4&gt;Resumen_Sprints!$E$10,CT$4&lt;=Resumen_Sprints!$E$10+Resumen_Sprints!$D$10),INDEX('Sprint N°5'!$C$9:$R$9,CT$4-Resumen_Sprints!$E$10),0)</f>
        <v>0</v>
      </c>
      <c r="CU32" s="25">
        <f t="shared" si="5"/>
        <v>24</v>
      </c>
    </row>
    <row r="33" ht="14.25" customHeight="1">
      <c r="A33" s="9" t="str">
        <f>"Sprint N°"&amp;Resumen_Sprints!A11&amp;" – "&amp;Resumen_Sprints!B11</f>
        <v>Sprint N°6 – Proyección Monetaria, Integración y Ceremonias Scrum</v>
      </c>
      <c r="B33" s="10">
        <f>SUM(B34:B38)</f>
        <v>135</v>
      </c>
      <c r="CU33" s="28"/>
    </row>
    <row r="34" ht="14.25" customHeight="1">
      <c r="A34" s="11" t="str">
        <f>'Sprint N°6'!A6</f>
        <v>Coordinación del componente</v>
      </c>
      <c r="B34" s="11">
        <f>'Sprint N°6'!B6</f>
        <v>2</v>
      </c>
      <c r="C34" s="23">
        <f t="array" ref="C34">IF(AND(C$4&gt;Resumen_Sprints!$E$11,C$4&lt;=Resumen_Sprints!$E$11+Resumen_Sprints!$D$11),INDEX('Sprint N°6'!$C$6:$N$6,C$4-Resumen_Sprints!$E$11),0)</f>
        <v>0</v>
      </c>
      <c r="D34" s="23">
        <f t="array" ref="D34">IF(AND(D$4&gt;Resumen_Sprints!$E$11,D$4&lt;=Resumen_Sprints!$E$11+Resumen_Sprints!$D$11),INDEX('Sprint N°6'!$C$6:$N$6,D$4-Resumen_Sprints!$E$11),0)</f>
        <v>0</v>
      </c>
      <c r="E34" s="23">
        <f t="array" ref="E34">IF(AND(E$4&gt;Resumen_Sprints!$E$11,E$4&lt;=Resumen_Sprints!$E$11+Resumen_Sprints!$D$11),INDEX('Sprint N°6'!$C$6:$N$6,E$4-Resumen_Sprints!$E$11),0)</f>
        <v>0</v>
      </c>
      <c r="F34" s="23">
        <f t="array" ref="F34">IF(AND(F$4&gt;Resumen_Sprints!$E$11,F$4&lt;=Resumen_Sprints!$E$11+Resumen_Sprints!$D$11),INDEX('Sprint N°6'!$C$6:$N$6,F$4-Resumen_Sprints!$E$11),0)</f>
        <v>0</v>
      </c>
      <c r="G34" s="23">
        <f t="array" ref="G34">IF(AND(G$4&gt;Resumen_Sprints!$E$11,G$4&lt;=Resumen_Sprints!$E$11+Resumen_Sprints!$D$11),INDEX('Sprint N°6'!$C$6:$N$6,G$4-Resumen_Sprints!$E$11),0)</f>
        <v>0</v>
      </c>
      <c r="H34" s="23">
        <f t="array" ref="H34">IF(AND(H$4&gt;Resumen_Sprints!$E$11,H$4&lt;=Resumen_Sprints!$E$11+Resumen_Sprints!$D$11),INDEX('Sprint N°6'!$C$6:$N$6,H$4-Resumen_Sprints!$E$11),0)</f>
        <v>0</v>
      </c>
      <c r="I34" s="23">
        <f t="array" ref="I34">IF(AND(I$4&gt;Resumen_Sprints!$E$11,I$4&lt;=Resumen_Sprints!$E$11+Resumen_Sprints!$D$11),INDEX('Sprint N°6'!$C$6:$N$6,I$4-Resumen_Sprints!$E$11),0)</f>
        <v>0</v>
      </c>
      <c r="J34" s="23">
        <f t="array" ref="J34">IF(AND(J$4&gt;Resumen_Sprints!$E$11,J$4&lt;=Resumen_Sprints!$E$11+Resumen_Sprints!$D$11),INDEX('Sprint N°6'!$C$6:$N$6,J$4-Resumen_Sprints!$E$11),0)</f>
        <v>0</v>
      </c>
      <c r="K34" s="23">
        <f t="array" ref="K34">IF(AND(K$4&gt;Resumen_Sprints!$E$11,K$4&lt;=Resumen_Sprints!$E$11+Resumen_Sprints!$D$11),INDEX('Sprint N°6'!$C$6:$N$6,K$4-Resumen_Sprints!$E$11),0)</f>
        <v>0</v>
      </c>
      <c r="L34" s="23">
        <f t="array" ref="L34">IF(AND(L$4&gt;Resumen_Sprints!$E$11,L$4&lt;=Resumen_Sprints!$E$11+Resumen_Sprints!$D$11),INDEX('Sprint N°6'!$C$6:$N$6,L$4-Resumen_Sprints!$E$11),0)</f>
        <v>0</v>
      </c>
      <c r="M34" s="23">
        <f t="array" ref="M34">IF(AND(M$4&gt;Resumen_Sprints!$E$11,M$4&lt;=Resumen_Sprints!$E$11+Resumen_Sprints!$D$11),INDEX('Sprint N°6'!$C$6:$N$6,M$4-Resumen_Sprints!$E$11),0)</f>
        <v>0</v>
      </c>
      <c r="N34" s="23">
        <f t="array" ref="N34">IF(AND(N$4&gt;Resumen_Sprints!$E$11,N$4&lt;=Resumen_Sprints!$E$11+Resumen_Sprints!$D$11),INDEX('Sprint N°6'!$C$6:$N$6,N$4-Resumen_Sprints!$E$11),0)</f>
        <v>0</v>
      </c>
      <c r="O34" s="23">
        <f t="array" ref="O34">IF(AND(O$4&gt;Resumen_Sprints!$E$11,O$4&lt;=Resumen_Sprints!$E$11+Resumen_Sprints!$D$11),INDEX('Sprint N°6'!$C$6:$N$6,O$4-Resumen_Sprints!$E$11),0)</f>
        <v>0</v>
      </c>
      <c r="P34" s="23">
        <f t="array" ref="P34">IF(AND(P$4&gt;Resumen_Sprints!$E$11,P$4&lt;=Resumen_Sprints!$E$11+Resumen_Sprints!$D$11),INDEX('Sprint N°6'!$C$6:$N$6,P$4-Resumen_Sprints!$E$11),0)</f>
        <v>0</v>
      </c>
      <c r="Q34" s="23">
        <f t="array" ref="Q34">IF(AND(Q$4&gt;Resumen_Sprints!$E$11,Q$4&lt;=Resumen_Sprints!$E$11+Resumen_Sprints!$D$11),INDEX('Sprint N°6'!$C$6:$N$6,Q$4-Resumen_Sprints!$E$11),0)</f>
        <v>0</v>
      </c>
      <c r="R34" s="23">
        <f t="array" ref="R34">IF(AND(R$4&gt;Resumen_Sprints!$E$11,R$4&lt;=Resumen_Sprints!$E$11+Resumen_Sprints!$D$11),INDEX('Sprint N°6'!$C$6:$N$6,R$4-Resumen_Sprints!$E$11),0)</f>
        <v>0</v>
      </c>
      <c r="S34" s="23">
        <f t="array" ref="S34">IF(AND(S$4&gt;Resumen_Sprints!$E$11,S$4&lt;=Resumen_Sprints!$E$11+Resumen_Sprints!$D$11),INDEX('Sprint N°6'!$C$6:$N$6,S$4-Resumen_Sprints!$E$11),0)</f>
        <v>0</v>
      </c>
      <c r="T34" s="23">
        <f t="array" ref="T34">IF(AND(T$4&gt;Resumen_Sprints!$E$11,T$4&lt;=Resumen_Sprints!$E$11+Resumen_Sprints!$D$11),INDEX('Sprint N°6'!$C$6:$N$6,T$4-Resumen_Sprints!$E$11),0)</f>
        <v>0</v>
      </c>
      <c r="U34" s="23">
        <f t="array" ref="U34">IF(AND(U$4&gt;Resumen_Sprints!$E$11,U$4&lt;=Resumen_Sprints!$E$11+Resumen_Sprints!$D$11),INDEX('Sprint N°6'!$C$6:$N$6,U$4-Resumen_Sprints!$E$11),0)</f>
        <v>0</v>
      </c>
      <c r="V34" s="23">
        <f t="array" ref="V34">IF(AND(V$4&gt;Resumen_Sprints!$E$11,V$4&lt;=Resumen_Sprints!$E$11+Resumen_Sprints!$D$11),INDEX('Sprint N°6'!$C$6:$N$6,V$4-Resumen_Sprints!$E$11),0)</f>
        <v>0</v>
      </c>
      <c r="W34" s="23">
        <f t="array" ref="W34">IF(AND(W$4&gt;Resumen_Sprints!$E$11,W$4&lt;=Resumen_Sprints!$E$11+Resumen_Sprints!$D$11),INDEX('Sprint N°6'!$C$6:$N$6,W$4-Resumen_Sprints!$E$11),0)</f>
        <v>0</v>
      </c>
      <c r="X34" s="23">
        <f t="array" ref="X34">IF(AND(X$4&gt;Resumen_Sprints!$E$11,X$4&lt;=Resumen_Sprints!$E$11+Resumen_Sprints!$D$11),INDEX('Sprint N°6'!$C$6:$N$6,X$4-Resumen_Sprints!$E$11),0)</f>
        <v>0</v>
      </c>
      <c r="Y34" s="23">
        <f t="array" ref="Y34">IF(AND(Y$4&gt;Resumen_Sprints!$E$11,Y$4&lt;=Resumen_Sprints!$E$11+Resumen_Sprints!$D$11),INDEX('Sprint N°6'!$C$6:$N$6,Y$4-Resumen_Sprints!$E$11),0)</f>
        <v>0</v>
      </c>
      <c r="Z34" s="23">
        <f t="array" ref="Z34">IF(AND(Z$4&gt;Resumen_Sprints!$E$11,Z$4&lt;=Resumen_Sprints!$E$11+Resumen_Sprints!$D$11),INDEX('Sprint N°6'!$C$6:$N$6,Z$4-Resumen_Sprints!$E$11),0)</f>
        <v>0</v>
      </c>
      <c r="AA34" s="23">
        <f t="array" ref="AA34">IF(AND(AA$4&gt;Resumen_Sprints!$E$11,AA$4&lt;=Resumen_Sprints!$E$11+Resumen_Sprints!$D$11),INDEX('Sprint N°6'!$C$6:$N$6,AA$4-Resumen_Sprints!$E$11),0)</f>
        <v>0</v>
      </c>
      <c r="AB34" s="23">
        <f t="array" ref="AB34">IF(AND(AB$4&gt;Resumen_Sprints!$E$11,AB$4&lt;=Resumen_Sprints!$E$11+Resumen_Sprints!$D$11),INDEX('Sprint N°6'!$C$6:$N$6,AB$4-Resumen_Sprints!$E$11),0)</f>
        <v>0</v>
      </c>
      <c r="AC34" s="23">
        <f t="array" ref="AC34">IF(AND(AC$4&gt;Resumen_Sprints!$E$11,AC$4&lt;=Resumen_Sprints!$E$11+Resumen_Sprints!$D$11),INDEX('Sprint N°6'!$C$6:$N$6,AC$4-Resumen_Sprints!$E$11),0)</f>
        <v>0</v>
      </c>
      <c r="AD34" s="23">
        <f t="array" ref="AD34">IF(AND(AD$4&gt;Resumen_Sprints!$E$11,AD$4&lt;=Resumen_Sprints!$E$11+Resumen_Sprints!$D$11),INDEX('Sprint N°6'!$C$6:$N$6,AD$4-Resumen_Sprints!$E$11),0)</f>
        <v>0</v>
      </c>
      <c r="AE34" s="23">
        <f t="array" ref="AE34">IF(AND(AE$4&gt;Resumen_Sprints!$E$11,AE$4&lt;=Resumen_Sprints!$E$11+Resumen_Sprints!$D$11),INDEX('Sprint N°6'!$C$6:$N$6,AE$4-Resumen_Sprints!$E$11),0)</f>
        <v>0</v>
      </c>
      <c r="AF34" s="23">
        <f t="array" ref="AF34">IF(AND(AF$4&gt;Resumen_Sprints!$E$11,AF$4&lt;=Resumen_Sprints!$E$11+Resumen_Sprints!$D$11),INDEX('Sprint N°6'!$C$6:$N$6,AF$4-Resumen_Sprints!$E$11),0)</f>
        <v>0</v>
      </c>
      <c r="AG34" s="23">
        <f t="array" ref="AG34">IF(AND(AG$4&gt;Resumen_Sprints!$E$11,AG$4&lt;=Resumen_Sprints!$E$11+Resumen_Sprints!$D$11),INDEX('Sprint N°6'!$C$6:$N$6,AG$4-Resumen_Sprints!$E$11),0)</f>
        <v>0</v>
      </c>
      <c r="AH34" s="23">
        <f t="array" ref="AH34">IF(AND(AH$4&gt;Resumen_Sprints!$E$11,AH$4&lt;=Resumen_Sprints!$E$11+Resumen_Sprints!$D$11),INDEX('Sprint N°6'!$C$6:$N$6,AH$4-Resumen_Sprints!$E$11),0)</f>
        <v>0</v>
      </c>
      <c r="AI34" s="23">
        <f t="array" ref="AI34">IF(AND(AI$4&gt;Resumen_Sprints!$E$11,AI$4&lt;=Resumen_Sprints!$E$11+Resumen_Sprints!$D$11),INDEX('Sprint N°6'!$C$6:$N$6,AI$4-Resumen_Sprints!$E$11),0)</f>
        <v>0</v>
      </c>
      <c r="AJ34" s="23">
        <f t="array" ref="AJ34">IF(AND(AJ$4&gt;Resumen_Sprints!$E$11,AJ$4&lt;=Resumen_Sprints!$E$11+Resumen_Sprints!$D$11),INDEX('Sprint N°6'!$C$6:$N$6,AJ$4-Resumen_Sprints!$E$11),0)</f>
        <v>0</v>
      </c>
      <c r="AK34" s="23">
        <f t="array" ref="AK34">IF(AND(AK$4&gt;Resumen_Sprints!$E$11,AK$4&lt;=Resumen_Sprints!$E$11+Resumen_Sprints!$D$11),INDEX('Sprint N°6'!$C$6:$N$6,AK$4-Resumen_Sprints!$E$11),0)</f>
        <v>0</v>
      </c>
      <c r="AL34" s="23">
        <f t="array" ref="AL34">IF(AND(AL$4&gt;Resumen_Sprints!$E$11,AL$4&lt;=Resumen_Sprints!$E$11+Resumen_Sprints!$D$11),INDEX('Sprint N°6'!$C$6:$N$6,AL$4-Resumen_Sprints!$E$11),0)</f>
        <v>0</v>
      </c>
      <c r="AM34" s="23">
        <f t="array" ref="AM34">IF(AND(AM$4&gt;Resumen_Sprints!$E$11,AM$4&lt;=Resumen_Sprints!$E$11+Resumen_Sprints!$D$11),INDEX('Sprint N°6'!$C$6:$N$6,AM$4-Resumen_Sprints!$E$11),0)</f>
        <v>0</v>
      </c>
      <c r="AN34" s="23">
        <f t="array" ref="AN34">IF(AND(AN$4&gt;Resumen_Sprints!$E$11,AN$4&lt;=Resumen_Sprints!$E$11+Resumen_Sprints!$D$11),INDEX('Sprint N°6'!$C$6:$N$6,AN$4-Resumen_Sprints!$E$11),0)</f>
        <v>0</v>
      </c>
      <c r="AO34" s="23">
        <f t="array" ref="AO34">IF(AND(AO$4&gt;Resumen_Sprints!$E$11,AO$4&lt;=Resumen_Sprints!$E$11+Resumen_Sprints!$D$11),INDEX('Sprint N°6'!$C$6:$N$6,AO$4-Resumen_Sprints!$E$11),0)</f>
        <v>0</v>
      </c>
      <c r="AP34" s="23">
        <f t="array" ref="AP34">IF(AND(AP$4&gt;Resumen_Sprints!$E$11,AP$4&lt;=Resumen_Sprints!$E$11+Resumen_Sprints!$D$11),INDEX('Sprint N°6'!$C$6:$N$6,AP$4-Resumen_Sprints!$E$11),0)</f>
        <v>0</v>
      </c>
      <c r="AQ34" s="23">
        <f t="array" ref="AQ34">IF(AND(AQ$4&gt;Resumen_Sprints!$E$11,AQ$4&lt;=Resumen_Sprints!$E$11+Resumen_Sprints!$D$11),INDEX('Sprint N°6'!$C$6:$N$6,AQ$4-Resumen_Sprints!$E$11),0)</f>
        <v>0</v>
      </c>
      <c r="AR34" s="23">
        <f t="array" ref="AR34">IF(AND(AR$4&gt;Resumen_Sprints!$E$11,AR$4&lt;=Resumen_Sprints!$E$11+Resumen_Sprints!$D$11),INDEX('Sprint N°6'!$C$6:$N$6,AR$4-Resumen_Sprints!$E$11),0)</f>
        <v>0</v>
      </c>
      <c r="AS34" s="23">
        <f t="array" ref="AS34">IF(AND(AS$4&gt;Resumen_Sprints!$E$11,AS$4&lt;=Resumen_Sprints!$E$11+Resumen_Sprints!$D$11),INDEX('Sprint N°6'!$C$6:$N$6,AS$4-Resumen_Sprints!$E$11),0)</f>
        <v>0</v>
      </c>
      <c r="AT34" s="23">
        <f t="array" ref="AT34">IF(AND(AT$4&gt;Resumen_Sprints!$E$11,AT$4&lt;=Resumen_Sprints!$E$11+Resumen_Sprints!$D$11),INDEX('Sprint N°6'!$C$6:$N$6,AT$4-Resumen_Sprints!$E$11),0)</f>
        <v>0</v>
      </c>
      <c r="AU34" s="23">
        <f t="array" ref="AU34">IF(AND(AU$4&gt;Resumen_Sprints!$E$11,AU$4&lt;=Resumen_Sprints!$E$11+Resumen_Sprints!$D$11),INDEX('Sprint N°6'!$C$6:$N$6,AU$4-Resumen_Sprints!$E$11),0)</f>
        <v>0</v>
      </c>
      <c r="AV34" s="23">
        <f t="array" ref="AV34">IF(AND(AV$4&gt;Resumen_Sprints!$E$11,AV$4&lt;=Resumen_Sprints!$E$11+Resumen_Sprints!$D$11),INDEX('Sprint N°6'!$C$6:$N$6,AV$4-Resumen_Sprints!$E$11),0)</f>
        <v>0</v>
      </c>
      <c r="AW34" s="23">
        <f t="array" ref="AW34">IF(AND(AW$4&gt;Resumen_Sprints!$E$11,AW$4&lt;=Resumen_Sprints!$E$11+Resumen_Sprints!$D$11),INDEX('Sprint N°6'!$C$6:$N$6,AW$4-Resumen_Sprints!$E$11),0)</f>
        <v>0</v>
      </c>
      <c r="AX34" s="23">
        <f t="array" ref="AX34">IF(AND(AX$4&gt;Resumen_Sprints!$E$11,AX$4&lt;=Resumen_Sprints!$E$11+Resumen_Sprints!$D$11),INDEX('Sprint N°6'!$C$6:$N$6,AX$4-Resumen_Sprints!$E$11),0)</f>
        <v>0</v>
      </c>
      <c r="AY34" s="23">
        <f t="array" ref="AY34">IF(AND(AY$4&gt;Resumen_Sprints!$E$11,AY$4&lt;=Resumen_Sprints!$E$11+Resumen_Sprints!$D$11),INDEX('Sprint N°6'!$C$6:$N$6,AY$4-Resumen_Sprints!$E$11),0)</f>
        <v>0</v>
      </c>
      <c r="AZ34" s="23">
        <f t="array" ref="AZ34">IF(AND(AZ$4&gt;Resumen_Sprints!$E$11,AZ$4&lt;=Resumen_Sprints!$E$11+Resumen_Sprints!$D$11),INDEX('Sprint N°6'!$C$6:$N$6,AZ$4-Resumen_Sprints!$E$11),0)</f>
        <v>0</v>
      </c>
      <c r="BA34" s="23">
        <f t="array" ref="BA34">IF(AND(BA$4&gt;Resumen_Sprints!$E$11,BA$4&lt;=Resumen_Sprints!$E$11+Resumen_Sprints!$D$11),INDEX('Sprint N°6'!$C$6:$N$6,BA$4-Resumen_Sprints!$E$11),0)</f>
        <v>0</v>
      </c>
      <c r="BB34" s="23">
        <f t="array" ref="BB34">IF(AND(BB$4&gt;Resumen_Sprints!$E$11,BB$4&lt;=Resumen_Sprints!$E$11+Resumen_Sprints!$D$11),INDEX('Sprint N°6'!$C$6:$N$6,BB$4-Resumen_Sprints!$E$11),0)</f>
        <v>0</v>
      </c>
      <c r="BC34" s="23">
        <f t="array" ref="BC34">IF(AND(BC$4&gt;Resumen_Sprints!$E$11,BC$4&lt;=Resumen_Sprints!$E$11+Resumen_Sprints!$D$11),INDEX('Sprint N°6'!$C$6:$N$6,BC$4-Resumen_Sprints!$E$11),0)</f>
        <v>0</v>
      </c>
      <c r="BD34" s="23">
        <f t="array" ref="BD34">IF(AND(BD$4&gt;Resumen_Sprints!$E$11,BD$4&lt;=Resumen_Sprints!$E$11+Resumen_Sprints!$D$11),INDEX('Sprint N°6'!$C$6:$N$6,BD$4-Resumen_Sprints!$E$11),0)</f>
        <v>0</v>
      </c>
      <c r="BE34" s="23">
        <f t="array" ref="BE34">IF(AND(BE$4&gt;Resumen_Sprints!$E$11,BE$4&lt;=Resumen_Sprints!$E$11+Resumen_Sprints!$D$11),INDEX('Sprint N°6'!$C$6:$N$6,BE$4-Resumen_Sprints!$E$11),0)</f>
        <v>0</v>
      </c>
      <c r="BF34" s="23">
        <f t="array" ref="BF34">IF(AND(BF$4&gt;Resumen_Sprints!$E$11,BF$4&lt;=Resumen_Sprints!$E$11+Resumen_Sprints!$D$11),INDEX('Sprint N°6'!$C$6:$N$6,BF$4-Resumen_Sprints!$E$11),0)</f>
        <v>0</v>
      </c>
      <c r="BG34" s="23">
        <f t="array" ref="BG34">IF(AND(BG$4&gt;Resumen_Sprints!$E$11,BG$4&lt;=Resumen_Sprints!$E$11+Resumen_Sprints!$D$11),INDEX('Sprint N°6'!$C$6:$N$6,BG$4-Resumen_Sprints!$E$11),0)</f>
        <v>0</v>
      </c>
      <c r="BH34" s="23">
        <f t="array" ref="BH34">IF(AND(BH$4&gt;Resumen_Sprints!$E$11,BH$4&lt;=Resumen_Sprints!$E$11+Resumen_Sprints!$D$11),INDEX('Sprint N°6'!$C$6:$N$6,BH$4-Resumen_Sprints!$E$11),0)</f>
        <v>1</v>
      </c>
      <c r="BI34" s="23" t="str">
        <f t="array" ref="BI34">IF(AND(BI$4&gt;Resumen_Sprints!$E$11,BI$4&lt;=Resumen_Sprints!$E$11+Resumen_Sprints!$D$11),INDEX('Sprint N°6'!$C$6:$N$6,BI$4-Resumen_Sprints!$E$11),0)</f>
        <v/>
      </c>
      <c r="BJ34" s="23" t="str">
        <f t="array" ref="BJ34">IF(AND(BJ$4&gt;Resumen_Sprints!$E$11,BJ$4&lt;=Resumen_Sprints!$E$11+Resumen_Sprints!$D$11),INDEX('Sprint N°6'!$C$6:$N$6,BJ$4-Resumen_Sprints!$E$11),0)</f>
        <v/>
      </c>
      <c r="BK34" s="23" t="str">
        <f t="array" ref="BK34">IF(AND(BK$4&gt;Resumen_Sprints!$E$11,BK$4&lt;=Resumen_Sprints!$E$11+Resumen_Sprints!$D$11),INDEX('Sprint N°6'!$C$6:$N$6,BK$4-Resumen_Sprints!$E$11),0)</f>
        <v/>
      </c>
      <c r="BL34" s="23" t="str">
        <f t="array" ref="BL34">IF(AND(BL$4&gt;Resumen_Sprints!$E$11,BL$4&lt;=Resumen_Sprints!$E$11+Resumen_Sprints!$D$11),INDEX('Sprint N°6'!$C$6:$N$6,BL$4-Resumen_Sprints!$E$11),0)</f>
        <v/>
      </c>
      <c r="BM34" s="23" t="str">
        <f t="array" ref="BM34">IF(AND(BM$4&gt;Resumen_Sprints!$E$11,BM$4&lt;=Resumen_Sprints!$E$11+Resumen_Sprints!$D$11),INDEX('Sprint N°6'!$C$6:$N$6,BM$4-Resumen_Sprints!$E$11),0)</f>
        <v/>
      </c>
      <c r="BN34" s="23" t="str">
        <f t="array" ref="BN34">IF(AND(BN$4&gt;Resumen_Sprints!$E$11,BN$4&lt;=Resumen_Sprints!$E$11+Resumen_Sprints!$D$11),INDEX('Sprint N°6'!$C$6:$N$6,BN$4-Resumen_Sprints!$E$11),0)</f>
        <v/>
      </c>
      <c r="BO34" s="23" t="str">
        <f t="array" ref="BO34">IF(AND(BO$4&gt;Resumen_Sprints!$E$11,BO$4&lt;=Resumen_Sprints!$E$11+Resumen_Sprints!$D$11),INDEX('Sprint N°6'!$C$6:$N$6,BO$4-Resumen_Sprints!$E$11),0)</f>
        <v/>
      </c>
      <c r="BP34" s="23" t="str">
        <f t="array" ref="BP34">IF(AND(BP$4&gt;Resumen_Sprints!$E$11,BP$4&lt;=Resumen_Sprints!$E$11+Resumen_Sprints!$D$11),INDEX('Sprint N°6'!$C$6:$N$6,BP$4-Resumen_Sprints!$E$11),0)</f>
        <v/>
      </c>
      <c r="BQ34" s="23" t="str">
        <f t="array" ref="BQ34">IF(AND(BQ$4&gt;Resumen_Sprints!$E$11,BQ$4&lt;=Resumen_Sprints!$E$11+Resumen_Sprints!$D$11),INDEX('Sprint N°6'!$C$6:$N$6,BQ$4-Resumen_Sprints!$E$11),0)</f>
        <v/>
      </c>
      <c r="BR34" s="23" t="str">
        <f t="array" ref="BR34">IF(AND(BR$4&gt;Resumen_Sprints!$E$11,BR$4&lt;=Resumen_Sprints!$E$11+Resumen_Sprints!$D$11),INDEX('Sprint N°6'!$C$6:$N$6,BR$4-Resumen_Sprints!$E$11),0)</f>
        <v/>
      </c>
      <c r="BS34" s="23" t="str">
        <f t="array" ref="BS34">IF(AND(BS$4&gt;Resumen_Sprints!$E$11,BS$4&lt;=Resumen_Sprints!$E$11+Resumen_Sprints!$D$11),INDEX('Sprint N°6'!$C$6:$N$6,BS$4-Resumen_Sprints!$E$11),0)</f>
        <v/>
      </c>
      <c r="BT34" s="23">
        <f t="array" ref="BT34">IF(AND(BT$4&gt;Resumen_Sprints!$E$11,BT$4&lt;=Resumen_Sprints!$E$11+Resumen_Sprints!$D$11),INDEX('Sprint N°6'!$C$6:$N$6,BT$4-Resumen_Sprints!$E$11),0)</f>
        <v>0</v>
      </c>
      <c r="BU34" s="23">
        <f t="array" ref="BU34">IF(AND(BU$4&gt;Resumen_Sprints!$E$11,BU$4&lt;=Resumen_Sprints!$E$11+Resumen_Sprints!$D$11),INDEX('Sprint N°6'!$C$6:$N$6,BU$4-Resumen_Sprints!$E$11),0)</f>
        <v>0</v>
      </c>
      <c r="BV34" s="23">
        <f t="array" ref="BV34">IF(AND(BV$4&gt;Resumen_Sprints!$E$11,BV$4&lt;=Resumen_Sprints!$E$11+Resumen_Sprints!$D$11),INDEX('Sprint N°6'!$C$6:$N$6,BV$4-Resumen_Sprints!$E$11),0)</f>
        <v>0</v>
      </c>
      <c r="BW34" s="23">
        <f t="array" ref="BW34">IF(AND(BW$4&gt;Resumen_Sprints!$E$11,BW$4&lt;=Resumen_Sprints!$E$11+Resumen_Sprints!$D$11),INDEX('Sprint N°6'!$C$6:$N$6,BW$4-Resumen_Sprints!$E$11),0)</f>
        <v>0</v>
      </c>
      <c r="BX34" s="23">
        <f t="array" ref="BX34">IF(AND(BX$4&gt;Resumen_Sprints!$E$11,BX$4&lt;=Resumen_Sprints!$E$11+Resumen_Sprints!$D$11),INDEX('Sprint N°6'!$C$6:$N$6,BX$4-Resumen_Sprints!$E$11),0)</f>
        <v>0</v>
      </c>
      <c r="BY34" s="23">
        <f t="array" ref="BY34">IF(AND(BY$4&gt;Resumen_Sprints!$E$11,BY$4&lt;=Resumen_Sprints!$E$11+Resumen_Sprints!$D$11),INDEX('Sprint N°6'!$C$6:$N$6,BY$4-Resumen_Sprints!$E$11),0)</f>
        <v>0</v>
      </c>
      <c r="BZ34" s="23">
        <f t="array" ref="BZ34">IF(AND(BZ$4&gt;Resumen_Sprints!$E$11,BZ$4&lt;=Resumen_Sprints!$E$11+Resumen_Sprints!$D$11),INDEX('Sprint N°6'!$C$6:$N$6,BZ$4-Resumen_Sprints!$E$11),0)</f>
        <v>0</v>
      </c>
      <c r="CA34" s="23">
        <f t="array" ref="CA34">IF(AND(CA$4&gt;Resumen_Sprints!$E$11,CA$4&lt;=Resumen_Sprints!$E$11+Resumen_Sprints!$D$11),INDEX('Sprint N°6'!$C$6:$N$6,CA$4-Resumen_Sprints!$E$11),0)</f>
        <v>0</v>
      </c>
      <c r="CB34" s="23">
        <f t="array" ref="CB34">IF(AND(CB$4&gt;Resumen_Sprints!$E$11,CB$4&lt;=Resumen_Sprints!$E$11+Resumen_Sprints!$D$11),INDEX('Sprint N°6'!$C$6:$N$6,CB$4-Resumen_Sprints!$E$11),0)</f>
        <v>0</v>
      </c>
      <c r="CC34" s="23">
        <f t="array" ref="CC34">IF(AND(CC$4&gt;Resumen_Sprints!$E$11,CC$4&lt;=Resumen_Sprints!$E$11+Resumen_Sprints!$D$11),INDEX('Sprint N°6'!$C$6:$N$6,CC$4-Resumen_Sprints!$E$11),0)</f>
        <v>0</v>
      </c>
      <c r="CD34" s="23">
        <f t="array" ref="CD34">IF(AND(CD$4&gt;Resumen_Sprints!$E$11,CD$4&lt;=Resumen_Sprints!$E$11+Resumen_Sprints!$D$11),INDEX('Sprint N°6'!$C$6:$N$6,CD$4-Resumen_Sprints!$E$11),0)</f>
        <v>0</v>
      </c>
      <c r="CE34" s="23">
        <f t="array" ref="CE34">IF(AND(CE$4&gt;Resumen_Sprints!$E$11,CE$4&lt;=Resumen_Sprints!$E$11+Resumen_Sprints!$D$11),INDEX('Sprint N°6'!$C$6:$N$6,CE$4-Resumen_Sprints!$E$11),0)</f>
        <v>0</v>
      </c>
      <c r="CF34" s="23">
        <f t="array" ref="CF34">IF(AND(CF$4&gt;Resumen_Sprints!$E$11,CF$4&lt;=Resumen_Sprints!$E$11+Resumen_Sprints!$D$11),INDEX('Sprint N°6'!$C$6:$N$6,CF$4-Resumen_Sprints!$E$11),0)</f>
        <v>0</v>
      </c>
      <c r="CG34" s="23">
        <f t="array" ref="CG34">IF(AND(CG$4&gt;Resumen_Sprints!$E$11,CG$4&lt;=Resumen_Sprints!$E$11+Resumen_Sprints!$D$11),INDEX('Sprint N°6'!$C$6:$N$6,CG$4-Resumen_Sprints!$E$11),0)</f>
        <v>0</v>
      </c>
      <c r="CH34" s="23">
        <f t="array" ref="CH34">IF(AND(CH$4&gt;Resumen_Sprints!$E$11,CH$4&lt;=Resumen_Sprints!$E$11+Resumen_Sprints!$D$11),INDEX('Sprint N°6'!$C$6:$N$6,CH$4-Resumen_Sprints!$E$11),0)</f>
        <v>0</v>
      </c>
      <c r="CI34" s="23">
        <f t="array" ref="CI34">IF(AND(CI$4&gt;Resumen_Sprints!$E$11,CI$4&lt;=Resumen_Sprints!$E$11+Resumen_Sprints!$D$11),INDEX('Sprint N°6'!$C$6:$N$6,CI$4-Resumen_Sprints!$E$11),0)</f>
        <v>0</v>
      </c>
      <c r="CJ34" s="23">
        <f t="array" ref="CJ34">IF(AND(CJ$4&gt;Resumen_Sprints!$E$11,CJ$4&lt;=Resumen_Sprints!$E$11+Resumen_Sprints!$D$11),INDEX('Sprint N°6'!$C$6:$N$6,CJ$4-Resumen_Sprints!$E$11),0)</f>
        <v>0</v>
      </c>
      <c r="CK34" s="23">
        <f t="array" ref="CK34">IF(AND(CK$4&gt;Resumen_Sprints!$E$11,CK$4&lt;=Resumen_Sprints!$E$11+Resumen_Sprints!$D$11),INDEX('Sprint N°6'!$C$6:$N$6,CK$4-Resumen_Sprints!$E$11),0)</f>
        <v>0</v>
      </c>
      <c r="CL34" s="23">
        <f t="array" ref="CL34">IF(AND(CL$4&gt;Resumen_Sprints!$E$11,CL$4&lt;=Resumen_Sprints!$E$11+Resumen_Sprints!$D$11),INDEX('Sprint N°6'!$C$6:$N$6,CL$4-Resumen_Sprints!$E$11),0)</f>
        <v>0</v>
      </c>
      <c r="CM34" s="23">
        <f t="array" ref="CM34">IF(AND(CM$4&gt;Resumen_Sprints!$E$11,CM$4&lt;=Resumen_Sprints!$E$11+Resumen_Sprints!$D$11),INDEX('Sprint N°6'!$C$6:$N$6,CM$4-Resumen_Sprints!$E$11),0)</f>
        <v>0</v>
      </c>
      <c r="CN34" s="23">
        <f t="array" ref="CN34">IF(AND(CN$4&gt;Resumen_Sprints!$E$11,CN$4&lt;=Resumen_Sprints!$E$11+Resumen_Sprints!$D$11),INDEX('Sprint N°6'!$C$6:$N$6,CN$4-Resumen_Sprints!$E$11),0)</f>
        <v>0</v>
      </c>
      <c r="CO34" s="23">
        <f t="array" ref="CO34">IF(AND(CO$4&gt;Resumen_Sprints!$E$11,CO$4&lt;=Resumen_Sprints!$E$11+Resumen_Sprints!$D$11),INDEX('Sprint N°6'!$C$6:$N$6,CO$4-Resumen_Sprints!$E$11),0)</f>
        <v>0</v>
      </c>
      <c r="CP34" s="23">
        <f t="array" ref="CP34">IF(AND(CP$4&gt;Resumen_Sprints!$E$11,CP$4&lt;=Resumen_Sprints!$E$11+Resumen_Sprints!$D$11),INDEX('Sprint N°6'!$C$6:$N$6,CP$4-Resumen_Sprints!$E$11),0)</f>
        <v>0</v>
      </c>
      <c r="CQ34" s="23">
        <f t="array" ref="CQ34">IF(AND(CQ$4&gt;Resumen_Sprints!$E$11,CQ$4&lt;=Resumen_Sprints!$E$11+Resumen_Sprints!$D$11),INDEX('Sprint N°6'!$C$6:$N$6,CQ$4-Resumen_Sprints!$E$11),0)</f>
        <v>0</v>
      </c>
      <c r="CR34" s="23">
        <f t="array" ref="CR34">IF(AND(CR$4&gt;Resumen_Sprints!$E$11,CR$4&lt;=Resumen_Sprints!$E$11+Resumen_Sprints!$D$11),INDEX('Sprint N°6'!$C$6:$N$6,CR$4-Resumen_Sprints!$E$11),0)</f>
        <v>0</v>
      </c>
      <c r="CS34" s="23">
        <f t="array" ref="CS34">IF(AND(CS$4&gt;Resumen_Sprints!$E$11,CS$4&lt;=Resumen_Sprints!$E$11+Resumen_Sprints!$D$11),INDEX('Sprint N°6'!$C$6:$N$6,CS$4-Resumen_Sprints!$E$11),0)</f>
        <v>0</v>
      </c>
      <c r="CT34" s="23">
        <f t="array" ref="CT34">IF(AND(CT$4&gt;Resumen_Sprints!$E$11,CT$4&lt;=Resumen_Sprints!$E$11+Resumen_Sprints!$D$11),INDEX('Sprint N°6'!$C$6:$N$6,CT$4-Resumen_Sprints!$E$11),0)</f>
        <v>0</v>
      </c>
      <c r="CU34" s="25">
        <f t="shared" ref="CU34:CU38" si="6">SUM(C34:CT34)</f>
        <v>1</v>
      </c>
    </row>
    <row r="35" ht="14.25" customHeight="1">
      <c r="A35" s="11" t="str">
        <f>'Sprint N°6'!A7</f>
        <v>Generación de Proyección Monetaria del Hogar</v>
      </c>
      <c r="B35" s="11">
        <f>'Sprint N°6'!B7</f>
        <v>27</v>
      </c>
      <c r="C35" s="23">
        <f t="array" ref="C35">IF(AND(C$4&gt;Resumen_Sprints!$E$11,C$4&lt;=Resumen_Sprints!$E$11+Resumen_Sprints!$D$11),INDEX('Sprint N°6'!$C$7:$N$7,C$4-Resumen_Sprints!$E$11),0)</f>
        <v>0</v>
      </c>
      <c r="D35" s="23">
        <f t="array" ref="D35">IF(AND(D$4&gt;Resumen_Sprints!$E$11,D$4&lt;=Resumen_Sprints!$E$11+Resumen_Sprints!$D$11),INDEX('Sprint N°6'!$C$7:$N$7,D$4-Resumen_Sprints!$E$11),0)</f>
        <v>0</v>
      </c>
      <c r="E35" s="23">
        <f t="array" ref="E35">IF(AND(E$4&gt;Resumen_Sprints!$E$11,E$4&lt;=Resumen_Sprints!$E$11+Resumen_Sprints!$D$11),INDEX('Sprint N°6'!$C$7:$N$7,E$4-Resumen_Sprints!$E$11),0)</f>
        <v>0</v>
      </c>
      <c r="F35" s="23">
        <f t="array" ref="F35">IF(AND(F$4&gt;Resumen_Sprints!$E$11,F$4&lt;=Resumen_Sprints!$E$11+Resumen_Sprints!$D$11),INDEX('Sprint N°6'!$C$7:$N$7,F$4-Resumen_Sprints!$E$11),0)</f>
        <v>0</v>
      </c>
      <c r="G35" s="23">
        <f t="array" ref="G35">IF(AND(G$4&gt;Resumen_Sprints!$E$11,G$4&lt;=Resumen_Sprints!$E$11+Resumen_Sprints!$D$11),INDEX('Sprint N°6'!$C$7:$N$7,G$4-Resumen_Sprints!$E$11),0)</f>
        <v>0</v>
      </c>
      <c r="H35" s="23">
        <f t="array" ref="H35">IF(AND(H$4&gt;Resumen_Sprints!$E$11,H$4&lt;=Resumen_Sprints!$E$11+Resumen_Sprints!$D$11),INDEX('Sprint N°6'!$C$7:$N$7,H$4-Resumen_Sprints!$E$11),0)</f>
        <v>0</v>
      </c>
      <c r="I35" s="23">
        <f t="array" ref="I35">IF(AND(I$4&gt;Resumen_Sprints!$E$11,I$4&lt;=Resumen_Sprints!$E$11+Resumen_Sprints!$D$11),INDEX('Sprint N°6'!$C$7:$N$7,I$4-Resumen_Sprints!$E$11),0)</f>
        <v>0</v>
      </c>
      <c r="J35" s="23">
        <f t="array" ref="J35">IF(AND(J$4&gt;Resumen_Sprints!$E$11,J$4&lt;=Resumen_Sprints!$E$11+Resumen_Sprints!$D$11),INDEX('Sprint N°6'!$C$7:$N$7,J$4-Resumen_Sprints!$E$11),0)</f>
        <v>0</v>
      </c>
      <c r="K35" s="23">
        <f t="array" ref="K35">IF(AND(K$4&gt;Resumen_Sprints!$E$11,K$4&lt;=Resumen_Sprints!$E$11+Resumen_Sprints!$D$11),INDEX('Sprint N°6'!$C$7:$N$7,K$4-Resumen_Sprints!$E$11),0)</f>
        <v>0</v>
      </c>
      <c r="L35" s="23">
        <f t="array" ref="L35">IF(AND(L$4&gt;Resumen_Sprints!$E$11,L$4&lt;=Resumen_Sprints!$E$11+Resumen_Sprints!$D$11),INDEX('Sprint N°6'!$C$7:$N$7,L$4-Resumen_Sprints!$E$11),0)</f>
        <v>0</v>
      </c>
      <c r="M35" s="23">
        <f t="array" ref="M35">IF(AND(M$4&gt;Resumen_Sprints!$E$11,M$4&lt;=Resumen_Sprints!$E$11+Resumen_Sprints!$D$11),INDEX('Sprint N°6'!$C$7:$N$7,M$4-Resumen_Sprints!$E$11),0)</f>
        <v>0</v>
      </c>
      <c r="N35" s="23">
        <f t="array" ref="N35">IF(AND(N$4&gt;Resumen_Sprints!$E$11,N$4&lt;=Resumen_Sprints!$E$11+Resumen_Sprints!$D$11),INDEX('Sprint N°6'!$C$7:$N$7,N$4-Resumen_Sprints!$E$11),0)</f>
        <v>0</v>
      </c>
      <c r="O35" s="23">
        <f t="array" ref="O35">IF(AND(O$4&gt;Resumen_Sprints!$E$11,O$4&lt;=Resumen_Sprints!$E$11+Resumen_Sprints!$D$11),INDEX('Sprint N°6'!$C$7:$N$7,O$4-Resumen_Sprints!$E$11),0)</f>
        <v>0</v>
      </c>
      <c r="P35" s="23">
        <f t="array" ref="P35">IF(AND(P$4&gt;Resumen_Sprints!$E$11,P$4&lt;=Resumen_Sprints!$E$11+Resumen_Sprints!$D$11),INDEX('Sprint N°6'!$C$7:$N$7,P$4-Resumen_Sprints!$E$11),0)</f>
        <v>0</v>
      </c>
      <c r="Q35" s="23">
        <f t="array" ref="Q35">IF(AND(Q$4&gt;Resumen_Sprints!$E$11,Q$4&lt;=Resumen_Sprints!$E$11+Resumen_Sprints!$D$11),INDEX('Sprint N°6'!$C$7:$N$7,Q$4-Resumen_Sprints!$E$11),0)</f>
        <v>0</v>
      </c>
      <c r="R35" s="23">
        <f t="array" ref="R35">IF(AND(R$4&gt;Resumen_Sprints!$E$11,R$4&lt;=Resumen_Sprints!$E$11+Resumen_Sprints!$D$11),INDEX('Sprint N°6'!$C$7:$N$7,R$4-Resumen_Sprints!$E$11),0)</f>
        <v>0</v>
      </c>
      <c r="S35" s="23">
        <f t="array" ref="S35">IF(AND(S$4&gt;Resumen_Sprints!$E$11,S$4&lt;=Resumen_Sprints!$E$11+Resumen_Sprints!$D$11),INDEX('Sprint N°6'!$C$7:$N$7,S$4-Resumen_Sprints!$E$11),0)</f>
        <v>0</v>
      </c>
      <c r="T35" s="23">
        <f t="array" ref="T35">IF(AND(T$4&gt;Resumen_Sprints!$E$11,T$4&lt;=Resumen_Sprints!$E$11+Resumen_Sprints!$D$11),INDEX('Sprint N°6'!$C$7:$N$7,T$4-Resumen_Sprints!$E$11),0)</f>
        <v>0</v>
      </c>
      <c r="U35" s="23">
        <f t="array" ref="U35">IF(AND(U$4&gt;Resumen_Sprints!$E$11,U$4&lt;=Resumen_Sprints!$E$11+Resumen_Sprints!$D$11),INDEX('Sprint N°6'!$C$7:$N$7,U$4-Resumen_Sprints!$E$11),0)</f>
        <v>0</v>
      </c>
      <c r="V35" s="23">
        <f t="array" ref="V35">IF(AND(V$4&gt;Resumen_Sprints!$E$11,V$4&lt;=Resumen_Sprints!$E$11+Resumen_Sprints!$D$11),INDEX('Sprint N°6'!$C$7:$N$7,V$4-Resumen_Sprints!$E$11),0)</f>
        <v>0</v>
      </c>
      <c r="W35" s="23">
        <f t="array" ref="W35">IF(AND(W$4&gt;Resumen_Sprints!$E$11,W$4&lt;=Resumen_Sprints!$E$11+Resumen_Sprints!$D$11),INDEX('Sprint N°6'!$C$7:$N$7,W$4-Resumen_Sprints!$E$11),0)</f>
        <v>0</v>
      </c>
      <c r="X35" s="23">
        <f t="array" ref="X35">IF(AND(X$4&gt;Resumen_Sprints!$E$11,X$4&lt;=Resumen_Sprints!$E$11+Resumen_Sprints!$D$11),INDEX('Sprint N°6'!$C$7:$N$7,X$4-Resumen_Sprints!$E$11),0)</f>
        <v>0</v>
      </c>
      <c r="Y35" s="23">
        <f t="array" ref="Y35">IF(AND(Y$4&gt;Resumen_Sprints!$E$11,Y$4&lt;=Resumen_Sprints!$E$11+Resumen_Sprints!$D$11),INDEX('Sprint N°6'!$C$7:$N$7,Y$4-Resumen_Sprints!$E$11),0)</f>
        <v>0</v>
      </c>
      <c r="Z35" s="23">
        <f t="array" ref="Z35">IF(AND(Z$4&gt;Resumen_Sprints!$E$11,Z$4&lt;=Resumen_Sprints!$E$11+Resumen_Sprints!$D$11),INDEX('Sprint N°6'!$C$7:$N$7,Z$4-Resumen_Sprints!$E$11),0)</f>
        <v>0</v>
      </c>
      <c r="AA35" s="23">
        <f t="array" ref="AA35">IF(AND(AA$4&gt;Resumen_Sprints!$E$11,AA$4&lt;=Resumen_Sprints!$E$11+Resumen_Sprints!$D$11),INDEX('Sprint N°6'!$C$7:$N$7,AA$4-Resumen_Sprints!$E$11),0)</f>
        <v>0</v>
      </c>
      <c r="AB35" s="23">
        <f t="array" ref="AB35">IF(AND(AB$4&gt;Resumen_Sprints!$E$11,AB$4&lt;=Resumen_Sprints!$E$11+Resumen_Sprints!$D$11),INDEX('Sprint N°6'!$C$7:$N$7,AB$4-Resumen_Sprints!$E$11),0)</f>
        <v>0</v>
      </c>
      <c r="AC35" s="23">
        <f t="array" ref="AC35">IF(AND(AC$4&gt;Resumen_Sprints!$E$11,AC$4&lt;=Resumen_Sprints!$E$11+Resumen_Sprints!$D$11),INDEX('Sprint N°6'!$C$7:$N$7,AC$4-Resumen_Sprints!$E$11),0)</f>
        <v>0</v>
      </c>
      <c r="AD35" s="23">
        <f t="array" ref="AD35">IF(AND(AD$4&gt;Resumen_Sprints!$E$11,AD$4&lt;=Resumen_Sprints!$E$11+Resumen_Sprints!$D$11),INDEX('Sprint N°6'!$C$7:$N$7,AD$4-Resumen_Sprints!$E$11),0)</f>
        <v>0</v>
      </c>
      <c r="AE35" s="23">
        <f t="array" ref="AE35">IF(AND(AE$4&gt;Resumen_Sprints!$E$11,AE$4&lt;=Resumen_Sprints!$E$11+Resumen_Sprints!$D$11),INDEX('Sprint N°6'!$C$7:$N$7,AE$4-Resumen_Sprints!$E$11),0)</f>
        <v>0</v>
      </c>
      <c r="AF35" s="23">
        <f t="array" ref="AF35">IF(AND(AF$4&gt;Resumen_Sprints!$E$11,AF$4&lt;=Resumen_Sprints!$E$11+Resumen_Sprints!$D$11),INDEX('Sprint N°6'!$C$7:$N$7,AF$4-Resumen_Sprints!$E$11),0)</f>
        <v>0</v>
      </c>
      <c r="AG35" s="23">
        <f t="array" ref="AG35">IF(AND(AG$4&gt;Resumen_Sprints!$E$11,AG$4&lt;=Resumen_Sprints!$E$11+Resumen_Sprints!$D$11),INDEX('Sprint N°6'!$C$7:$N$7,AG$4-Resumen_Sprints!$E$11),0)</f>
        <v>0</v>
      </c>
      <c r="AH35" s="23">
        <f t="array" ref="AH35">IF(AND(AH$4&gt;Resumen_Sprints!$E$11,AH$4&lt;=Resumen_Sprints!$E$11+Resumen_Sprints!$D$11),INDEX('Sprint N°6'!$C$7:$N$7,AH$4-Resumen_Sprints!$E$11),0)</f>
        <v>0</v>
      </c>
      <c r="AI35" s="23">
        <f t="array" ref="AI35">IF(AND(AI$4&gt;Resumen_Sprints!$E$11,AI$4&lt;=Resumen_Sprints!$E$11+Resumen_Sprints!$D$11),INDEX('Sprint N°6'!$C$7:$N$7,AI$4-Resumen_Sprints!$E$11),0)</f>
        <v>0</v>
      </c>
      <c r="AJ35" s="23">
        <f t="array" ref="AJ35">IF(AND(AJ$4&gt;Resumen_Sprints!$E$11,AJ$4&lt;=Resumen_Sprints!$E$11+Resumen_Sprints!$D$11),INDEX('Sprint N°6'!$C$7:$N$7,AJ$4-Resumen_Sprints!$E$11),0)</f>
        <v>0</v>
      </c>
      <c r="AK35" s="23">
        <f t="array" ref="AK35">IF(AND(AK$4&gt;Resumen_Sprints!$E$11,AK$4&lt;=Resumen_Sprints!$E$11+Resumen_Sprints!$D$11),INDEX('Sprint N°6'!$C$7:$N$7,AK$4-Resumen_Sprints!$E$11),0)</f>
        <v>0</v>
      </c>
      <c r="AL35" s="23">
        <f t="array" ref="AL35">IF(AND(AL$4&gt;Resumen_Sprints!$E$11,AL$4&lt;=Resumen_Sprints!$E$11+Resumen_Sprints!$D$11),INDEX('Sprint N°6'!$C$7:$N$7,AL$4-Resumen_Sprints!$E$11),0)</f>
        <v>0</v>
      </c>
      <c r="AM35" s="23">
        <f t="array" ref="AM35">IF(AND(AM$4&gt;Resumen_Sprints!$E$11,AM$4&lt;=Resumen_Sprints!$E$11+Resumen_Sprints!$D$11),INDEX('Sprint N°6'!$C$7:$N$7,AM$4-Resumen_Sprints!$E$11),0)</f>
        <v>0</v>
      </c>
      <c r="AN35" s="23">
        <f t="array" ref="AN35">IF(AND(AN$4&gt;Resumen_Sprints!$E$11,AN$4&lt;=Resumen_Sprints!$E$11+Resumen_Sprints!$D$11),INDEX('Sprint N°6'!$C$7:$N$7,AN$4-Resumen_Sprints!$E$11),0)</f>
        <v>0</v>
      </c>
      <c r="AO35" s="23">
        <f t="array" ref="AO35">IF(AND(AO$4&gt;Resumen_Sprints!$E$11,AO$4&lt;=Resumen_Sprints!$E$11+Resumen_Sprints!$D$11),INDEX('Sprint N°6'!$C$7:$N$7,AO$4-Resumen_Sprints!$E$11),0)</f>
        <v>0</v>
      </c>
      <c r="AP35" s="23">
        <f t="array" ref="AP35">IF(AND(AP$4&gt;Resumen_Sprints!$E$11,AP$4&lt;=Resumen_Sprints!$E$11+Resumen_Sprints!$D$11),INDEX('Sprint N°6'!$C$7:$N$7,AP$4-Resumen_Sprints!$E$11),0)</f>
        <v>0</v>
      </c>
      <c r="AQ35" s="23">
        <f t="array" ref="AQ35">IF(AND(AQ$4&gt;Resumen_Sprints!$E$11,AQ$4&lt;=Resumen_Sprints!$E$11+Resumen_Sprints!$D$11),INDEX('Sprint N°6'!$C$7:$N$7,AQ$4-Resumen_Sprints!$E$11),0)</f>
        <v>0</v>
      </c>
      <c r="AR35" s="23">
        <f t="array" ref="AR35">IF(AND(AR$4&gt;Resumen_Sprints!$E$11,AR$4&lt;=Resumen_Sprints!$E$11+Resumen_Sprints!$D$11),INDEX('Sprint N°6'!$C$7:$N$7,AR$4-Resumen_Sprints!$E$11),0)</f>
        <v>0</v>
      </c>
      <c r="AS35" s="23">
        <f t="array" ref="AS35">IF(AND(AS$4&gt;Resumen_Sprints!$E$11,AS$4&lt;=Resumen_Sprints!$E$11+Resumen_Sprints!$D$11),INDEX('Sprint N°6'!$C$7:$N$7,AS$4-Resumen_Sprints!$E$11),0)</f>
        <v>0</v>
      </c>
      <c r="AT35" s="23">
        <f t="array" ref="AT35">IF(AND(AT$4&gt;Resumen_Sprints!$E$11,AT$4&lt;=Resumen_Sprints!$E$11+Resumen_Sprints!$D$11),INDEX('Sprint N°6'!$C$7:$N$7,AT$4-Resumen_Sprints!$E$11),0)</f>
        <v>0</v>
      </c>
      <c r="AU35" s="23">
        <f t="array" ref="AU35">IF(AND(AU$4&gt;Resumen_Sprints!$E$11,AU$4&lt;=Resumen_Sprints!$E$11+Resumen_Sprints!$D$11),INDEX('Sprint N°6'!$C$7:$N$7,AU$4-Resumen_Sprints!$E$11),0)</f>
        <v>0</v>
      </c>
      <c r="AV35" s="23">
        <f t="array" ref="AV35">IF(AND(AV$4&gt;Resumen_Sprints!$E$11,AV$4&lt;=Resumen_Sprints!$E$11+Resumen_Sprints!$D$11),INDEX('Sprint N°6'!$C$7:$N$7,AV$4-Resumen_Sprints!$E$11),0)</f>
        <v>0</v>
      </c>
      <c r="AW35" s="23">
        <f t="array" ref="AW35">IF(AND(AW$4&gt;Resumen_Sprints!$E$11,AW$4&lt;=Resumen_Sprints!$E$11+Resumen_Sprints!$D$11),INDEX('Sprint N°6'!$C$7:$N$7,AW$4-Resumen_Sprints!$E$11),0)</f>
        <v>0</v>
      </c>
      <c r="AX35" s="23">
        <f t="array" ref="AX35">IF(AND(AX$4&gt;Resumen_Sprints!$E$11,AX$4&lt;=Resumen_Sprints!$E$11+Resumen_Sprints!$D$11),INDEX('Sprint N°6'!$C$7:$N$7,AX$4-Resumen_Sprints!$E$11),0)</f>
        <v>0</v>
      </c>
      <c r="AY35" s="23">
        <f t="array" ref="AY35">IF(AND(AY$4&gt;Resumen_Sprints!$E$11,AY$4&lt;=Resumen_Sprints!$E$11+Resumen_Sprints!$D$11),INDEX('Sprint N°6'!$C$7:$N$7,AY$4-Resumen_Sprints!$E$11),0)</f>
        <v>0</v>
      </c>
      <c r="AZ35" s="23">
        <f t="array" ref="AZ35">IF(AND(AZ$4&gt;Resumen_Sprints!$E$11,AZ$4&lt;=Resumen_Sprints!$E$11+Resumen_Sprints!$D$11),INDEX('Sprint N°6'!$C$7:$N$7,AZ$4-Resumen_Sprints!$E$11),0)</f>
        <v>0</v>
      </c>
      <c r="BA35" s="23">
        <f t="array" ref="BA35">IF(AND(BA$4&gt;Resumen_Sprints!$E$11,BA$4&lt;=Resumen_Sprints!$E$11+Resumen_Sprints!$D$11),INDEX('Sprint N°6'!$C$7:$N$7,BA$4-Resumen_Sprints!$E$11),0)</f>
        <v>0</v>
      </c>
      <c r="BB35" s="23">
        <f t="array" ref="BB35">IF(AND(BB$4&gt;Resumen_Sprints!$E$11,BB$4&lt;=Resumen_Sprints!$E$11+Resumen_Sprints!$D$11),INDEX('Sprint N°6'!$C$7:$N$7,BB$4-Resumen_Sprints!$E$11),0)</f>
        <v>0</v>
      </c>
      <c r="BC35" s="23">
        <f t="array" ref="BC35">IF(AND(BC$4&gt;Resumen_Sprints!$E$11,BC$4&lt;=Resumen_Sprints!$E$11+Resumen_Sprints!$D$11),INDEX('Sprint N°6'!$C$7:$N$7,BC$4-Resumen_Sprints!$E$11),0)</f>
        <v>0</v>
      </c>
      <c r="BD35" s="23">
        <f t="array" ref="BD35">IF(AND(BD$4&gt;Resumen_Sprints!$E$11,BD$4&lt;=Resumen_Sprints!$E$11+Resumen_Sprints!$D$11),INDEX('Sprint N°6'!$C$7:$N$7,BD$4-Resumen_Sprints!$E$11),0)</f>
        <v>0</v>
      </c>
      <c r="BE35" s="23">
        <f t="array" ref="BE35">IF(AND(BE$4&gt;Resumen_Sprints!$E$11,BE$4&lt;=Resumen_Sprints!$E$11+Resumen_Sprints!$D$11),INDEX('Sprint N°6'!$C$7:$N$7,BE$4-Resumen_Sprints!$E$11),0)</f>
        <v>0</v>
      </c>
      <c r="BF35" s="23">
        <f t="array" ref="BF35">IF(AND(BF$4&gt;Resumen_Sprints!$E$11,BF$4&lt;=Resumen_Sprints!$E$11+Resumen_Sprints!$D$11),INDEX('Sprint N°6'!$C$7:$N$7,BF$4-Resumen_Sprints!$E$11),0)</f>
        <v>0</v>
      </c>
      <c r="BG35" s="23">
        <f t="array" ref="BG35">IF(AND(BG$4&gt;Resumen_Sprints!$E$11,BG$4&lt;=Resumen_Sprints!$E$11+Resumen_Sprints!$D$11),INDEX('Sprint N°6'!$C$7:$N$7,BG$4-Resumen_Sprints!$E$11),0)</f>
        <v>0</v>
      </c>
      <c r="BH35" s="23">
        <f t="array" ref="BH35">IF(AND(BH$4&gt;Resumen_Sprints!$E$11,BH$4&lt;=Resumen_Sprints!$E$11+Resumen_Sprints!$D$11),INDEX('Sprint N°6'!$C$7:$N$7,BH$4-Resumen_Sprints!$E$11),0)</f>
        <v>9</v>
      </c>
      <c r="BI35" s="23">
        <f t="array" ref="BI35">IF(AND(BI$4&gt;Resumen_Sprints!$E$11,BI$4&lt;=Resumen_Sprints!$E$11+Resumen_Sprints!$D$11),INDEX('Sprint N°6'!$C$7:$N$7,BI$4-Resumen_Sprints!$E$11),0)</f>
        <v>13</v>
      </c>
      <c r="BJ35" s="23">
        <f t="array" ref="BJ35">IF(AND(BJ$4&gt;Resumen_Sprints!$E$11,BJ$4&lt;=Resumen_Sprints!$E$11+Resumen_Sprints!$D$11),INDEX('Sprint N°6'!$C$7:$N$7,BJ$4-Resumen_Sprints!$E$11),0)</f>
        <v>1</v>
      </c>
      <c r="BK35" s="23" t="str">
        <f t="array" ref="BK35">IF(AND(BK$4&gt;Resumen_Sprints!$E$11,BK$4&lt;=Resumen_Sprints!$E$11+Resumen_Sprints!$D$11),INDEX('Sprint N°6'!$C$7:$N$7,BK$4-Resumen_Sprints!$E$11),0)</f>
        <v/>
      </c>
      <c r="BL35" s="23" t="str">
        <f t="array" ref="BL35">IF(AND(BL$4&gt;Resumen_Sprints!$E$11,BL$4&lt;=Resumen_Sprints!$E$11+Resumen_Sprints!$D$11),INDEX('Sprint N°6'!$C$7:$N$7,BL$4-Resumen_Sprints!$E$11),0)</f>
        <v/>
      </c>
      <c r="BM35" s="23" t="str">
        <f t="array" ref="BM35">IF(AND(BM$4&gt;Resumen_Sprints!$E$11,BM$4&lt;=Resumen_Sprints!$E$11+Resumen_Sprints!$D$11),INDEX('Sprint N°6'!$C$7:$N$7,BM$4-Resumen_Sprints!$E$11),0)</f>
        <v/>
      </c>
      <c r="BN35" s="23" t="str">
        <f t="array" ref="BN35">IF(AND(BN$4&gt;Resumen_Sprints!$E$11,BN$4&lt;=Resumen_Sprints!$E$11+Resumen_Sprints!$D$11),INDEX('Sprint N°6'!$C$7:$N$7,BN$4-Resumen_Sprints!$E$11),0)</f>
        <v/>
      </c>
      <c r="BO35" s="23" t="str">
        <f t="array" ref="BO35">IF(AND(BO$4&gt;Resumen_Sprints!$E$11,BO$4&lt;=Resumen_Sprints!$E$11+Resumen_Sprints!$D$11),INDEX('Sprint N°6'!$C$7:$N$7,BO$4-Resumen_Sprints!$E$11),0)</f>
        <v/>
      </c>
      <c r="BP35" s="23" t="str">
        <f t="array" ref="BP35">IF(AND(BP$4&gt;Resumen_Sprints!$E$11,BP$4&lt;=Resumen_Sprints!$E$11+Resumen_Sprints!$D$11),INDEX('Sprint N°6'!$C$7:$N$7,BP$4-Resumen_Sprints!$E$11),0)</f>
        <v/>
      </c>
      <c r="BQ35" s="23" t="str">
        <f t="array" ref="BQ35">IF(AND(BQ$4&gt;Resumen_Sprints!$E$11,BQ$4&lt;=Resumen_Sprints!$E$11+Resumen_Sprints!$D$11),INDEX('Sprint N°6'!$C$7:$N$7,BQ$4-Resumen_Sprints!$E$11),0)</f>
        <v/>
      </c>
      <c r="BR35" s="23" t="str">
        <f t="array" ref="BR35">IF(AND(BR$4&gt;Resumen_Sprints!$E$11,BR$4&lt;=Resumen_Sprints!$E$11+Resumen_Sprints!$D$11),INDEX('Sprint N°6'!$C$7:$N$7,BR$4-Resumen_Sprints!$E$11),0)</f>
        <v/>
      </c>
      <c r="BS35" s="23" t="str">
        <f t="array" ref="BS35">IF(AND(BS$4&gt;Resumen_Sprints!$E$11,BS$4&lt;=Resumen_Sprints!$E$11+Resumen_Sprints!$D$11),INDEX('Sprint N°6'!$C$7:$N$7,BS$4-Resumen_Sprints!$E$11),0)</f>
        <v/>
      </c>
      <c r="BT35" s="23">
        <f t="array" ref="BT35">IF(AND(BT$4&gt;Resumen_Sprints!$E$11,BT$4&lt;=Resumen_Sprints!$E$11+Resumen_Sprints!$D$11),INDEX('Sprint N°6'!$C$7:$N$7,BT$4-Resumen_Sprints!$E$11),0)</f>
        <v>0</v>
      </c>
      <c r="BU35" s="23">
        <f t="array" ref="BU35">IF(AND(BU$4&gt;Resumen_Sprints!$E$11,BU$4&lt;=Resumen_Sprints!$E$11+Resumen_Sprints!$D$11),INDEX('Sprint N°6'!$C$7:$N$7,BU$4-Resumen_Sprints!$E$11),0)</f>
        <v>0</v>
      </c>
      <c r="BV35" s="23">
        <f t="array" ref="BV35">IF(AND(BV$4&gt;Resumen_Sprints!$E$11,BV$4&lt;=Resumen_Sprints!$E$11+Resumen_Sprints!$D$11),INDEX('Sprint N°6'!$C$7:$N$7,BV$4-Resumen_Sprints!$E$11),0)</f>
        <v>0</v>
      </c>
      <c r="BW35" s="23">
        <f t="array" ref="BW35">IF(AND(BW$4&gt;Resumen_Sprints!$E$11,BW$4&lt;=Resumen_Sprints!$E$11+Resumen_Sprints!$D$11),INDEX('Sprint N°6'!$C$7:$N$7,BW$4-Resumen_Sprints!$E$11),0)</f>
        <v>0</v>
      </c>
      <c r="BX35" s="23">
        <f t="array" ref="BX35">IF(AND(BX$4&gt;Resumen_Sprints!$E$11,BX$4&lt;=Resumen_Sprints!$E$11+Resumen_Sprints!$D$11),INDEX('Sprint N°6'!$C$7:$N$7,BX$4-Resumen_Sprints!$E$11),0)</f>
        <v>0</v>
      </c>
      <c r="BY35" s="23">
        <f t="array" ref="BY35">IF(AND(BY$4&gt;Resumen_Sprints!$E$11,BY$4&lt;=Resumen_Sprints!$E$11+Resumen_Sprints!$D$11),INDEX('Sprint N°6'!$C$7:$N$7,BY$4-Resumen_Sprints!$E$11),0)</f>
        <v>0</v>
      </c>
      <c r="BZ35" s="23">
        <f t="array" ref="BZ35">IF(AND(BZ$4&gt;Resumen_Sprints!$E$11,BZ$4&lt;=Resumen_Sprints!$E$11+Resumen_Sprints!$D$11),INDEX('Sprint N°6'!$C$7:$N$7,BZ$4-Resumen_Sprints!$E$11),0)</f>
        <v>0</v>
      </c>
      <c r="CA35" s="23">
        <f t="array" ref="CA35">IF(AND(CA$4&gt;Resumen_Sprints!$E$11,CA$4&lt;=Resumen_Sprints!$E$11+Resumen_Sprints!$D$11),INDEX('Sprint N°6'!$C$7:$N$7,CA$4-Resumen_Sprints!$E$11),0)</f>
        <v>0</v>
      </c>
      <c r="CB35" s="23">
        <f t="array" ref="CB35">IF(AND(CB$4&gt;Resumen_Sprints!$E$11,CB$4&lt;=Resumen_Sprints!$E$11+Resumen_Sprints!$D$11),INDEX('Sprint N°6'!$C$7:$N$7,CB$4-Resumen_Sprints!$E$11),0)</f>
        <v>0</v>
      </c>
      <c r="CC35" s="23">
        <f t="array" ref="CC35">IF(AND(CC$4&gt;Resumen_Sprints!$E$11,CC$4&lt;=Resumen_Sprints!$E$11+Resumen_Sprints!$D$11),INDEX('Sprint N°6'!$C$7:$N$7,CC$4-Resumen_Sprints!$E$11),0)</f>
        <v>0</v>
      </c>
      <c r="CD35" s="23">
        <f t="array" ref="CD35">IF(AND(CD$4&gt;Resumen_Sprints!$E$11,CD$4&lt;=Resumen_Sprints!$E$11+Resumen_Sprints!$D$11),INDEX('Sprint N°6'!$C$7:$N$7,CD$4-Resumen_Sprints!$E$11),0)</f>
        <v>0</v>
      </c>
      <c r="CE35" s="23">
        <f t="array" ref="CE35">IF(AND(CE$4&gt;Resumen_Sprints!$E$11,CE$4&lt;=Resumen_Sprints!$E$11+Resumen_Sprints!$D$11),INDEX('Sprint N°6'!$C$7:$N$7,CE$4-Resumen_Sprints!$E$11),0)</f>
        <v>0</v>
      </c>
      <c r="CF35" s="23">
        <f t="array" ref="CF35">IF(AND(CF$4&gt;Resumen_Sprints!$E$11,CF$4&lt;=Resumen_Sprints!$E$11+Resumen_Sprints!$D$11),INDEX('Sprint N°6'!$C$7:$N$7,CF$4-Resumen_Sprints!$E$11),0)</f>
        <v>0</v>
      </c>
      <c r="CG35" s="23">
        <f t="array" ref="CG35">IF(AND(CG$4&gt;Resumen_Sprints!$E$11,CG$4&lt;=Resumen_Sprints!$E$11+Resumen_Sprints!$D$11),INDEX('Sprint N°6'!$C$7:$N$7,CG$4-Resumen_Sprints!$E$11),0)</f>
        <v>0</v>
      </c>
      <c r="CH35" s="23">
        <f t="array" ref="CH35">IF(AND(CH$4&gt;Resumen_Sprints!$E$11,CH$4&lt;=Resumen_Sprints!$E$11+Resumen_Sprints!$D$11),INDEX('Sprint N°6'!$C$7:$N$7,CH$4-Resumen_Sprints!$E$11),0)</f>
        <v>0</v>
      </c>
      <c r="CI35" s="23">
        <f t="array" ref="CI35">IF(AND(CI$4&gt;Resumen_Sprints!$E$11,CI$4&lt;=Resumen_Sprints!$E$11+Resumen_Sprints!$D$11),INDEX('Sprint N°6'!$C$7:$N$7,CI$4-Resumen_Sprints!$E$11),0)</f>
        <v>0</v>
      </c>
      <c r="CJ35" s="23">
        <f t="array" ref="CJ35">IF(AND(CJ$4&gt;Resumen_Sprints!$E$11,CJ$4&lt;=Resumen_Sprints!$E$11+Resumen_Sprints!$D$11),INDEX('Sprint N°6'!$C$7:$N$7,CJ$4-Resumen_Sprints!$E$11),0)</f>
        <v>0</v>
      </c>
      <c r="CK35" s="23">
        <f t="array" ref="CK35">IF(AND(CK$4&gt;Resumen_Sprints!$E$11,CK$4&lt;=Resumen_Sprints!$E$11+Resumen_Sprints!$D$11),INDEX('Sprint N°6'!$C$7:$N$7,CK$4-Resumen_Sprints!$E$11),0)</f>
        <v>0</v>
      </c>
      <c r="CL35" s="23">
        <f t="array" ref="CL35">IF(AND(CL$4&gt;Resumen_Sprints!$E$11,CL$4&lt;=Resumen_Sprints!$E$11+Resumen_Sprints!$D$11),INDEX('Sprint N°6'!$C$7:$N$7,CL$4-Resumen_Sprints!$E$11),0)</f>
        <v>0</v>
      </c>
      <c r="CM35" s="23">
        <f t="array" ref="CM35">IF(AND(CM$4&gt;Resumen_Sprints!$E$11,CM$4&lt;=Resumen_Sprints!$E$11+Resumen_Sprints!$D$11),INDEX('Sprint N°6'!$C$7:$N$7,CM$4-Resumen_Sprints!$E$11),0)</f>
        <v>0</v>
      </c>
      <c r="CN35" s="23">
        <f t="array" ref="CN35">IF(AND(CN$4&gt;Resumen_Sprints!$E$11,CN$4&lt;=Resumen_Sprints!$E$11+Resumen_Sprints!$D$11),INDEX('Sprint N°6'!$C$7:$N$7,CN$4-Resumen_Sprints!$E$11),0)</f>
        <v>0</v>
      </c>
      <c r="CO35" s="23">
        <f t="array" ref="CO35">IF(AND(CO$4&gt;Resumen_Sprints!$E$11,CO$4&lt;=Resumen_Sprints!$E$11+Resumen_Sprints!$D$11),INDEX('Sprint N°6'!$C$7:$N$7,CO$4-Resumen_Sprints!$E$11),0)</f>
        <v>0</v>
      </c>
      <c r="CP35" s="23">
        <f t="array" ref="CP35">IF(AND(CP$4&gt;Resumen_Sprints!$E$11,CP$4&lt;=Resumen_Sprints!$E$11+Resumen_Sprints!$D$11),INDEX('Sprint N°6'!$C$7:$N$7,CP$4-Resumen_Sprints!$E$11),0)</f>
        <v>0</v>
      </c>
      <c r="CQ35" s="23">
        <f t="array" ref="CQ35">IF(AND(CQ$4&gt;Resumen_Sprints!$E$11,CQ$4&lt;=Resumen_Sprints!$E$11+Resumen_Sprints!$D$11),INDEX('Sprint N°6'!$C$7:$N$7,CQ$4-Resumen_Sprints!$E$11),0)</f>
        <v>0</v>
      </c>
      <c r="CR35" s="23">
        <f t="array" ref="CR35">IF(AND(CR$4&gt;Resumen_Sprints!$E$11,CR$4&lt;=Resumen_Sprints!$E$11+Resumen_Sprints!$D$11),INDEX('Sprint N°6'!$C$7:$N$7,CR$4-Resumen_Sprints!$E$11),0)</f>
        <v>0</v>
      </c>
      <c r="CS35" s="23">
        <f t="array" ref="CS35">IF(AND(CS$4&gt;Resumen_Sprints!$E$11,CS$4&lt;=Resumen_Sprints!$E$11+Resumen_Sprints!$D$11),INDEX('Sprint N°6'!$C$7:$N$7,CS$4-Resumen_Sprints!$E$11),0)</f>
        <v>0</v>
      </c>
      <c r="CT35" s="23">
        <f t="array" ref="CT35">IF(AND(CT$4&gt;Resumen_Sprints!$E$11,CT$4&lt;=Resumen_Sprints!$E$11+Resumen_Sprints!$D$11),INDEX('Sprint N°6'!$C$7:$N$7,CT$4-Resumen_Sprints!$E$11),0)</f>
        <v>0</v>
      </c>
      <c r="CU35" s="25">
        <f t="shared" si="6"/>
        <v>23</v>
      </c>
    </row>
    <row r="36" ht="14.25" customHeight="1">
      <c r="A36" s="11" t="str">
        <f>'Sprint N°6'!A8</f>
        <v>Resumen y Exportación de Cotización</v>
      </c>
      <c r="B36" s="11">
        <f>'Sprint N°6'!B8</f>
        <v>15</v>
      </c>
      <c r="C36" s="23">
        <f t="array" ref="C36">IF(AND(C$4&gt;Resumen_Sprints!$E$11,C$4&lt;=Resumen_Sprints!$E$11+Resumen_Sprints!$D$11),INDEX('Sprint N°6'!$C$8:$N$8,C$4-Resumen_Sprints!$E$11),0)</f>
        <v>0</v>
      </c>
      <c r="D36" s="23">
        <f t="array" ref="D36">IF(AND(D$4&gt;Resumen_Sprints!$E$11,D$4&lt;=Resumen_Sprints!$E$11+Resumen_Sprints!$D$11),INDEX('Sprint N°6'!$C$8:$N$8,D$4-Resumen_Sprints!$E$11),0)</f>
        <v>0</v>
      </c>
      <c r="E36" s="23">
        <f t="array" ref="E36">IF(AND(E$4&gt;Resumen_Sprints!$E$11,E$4&lt;=Resumen_Sprints!$E$11+Resumen_Sprints!$D$11),INDEX('Sprint N°6'!$C$8:$N$8,E$4-Resumen_Sprints!$E$11),0)</f>
        <v>0</v>
      </c>
      <c r="F36" s="23">
        <f t="array" ref="F36">IF(AND(F$4&gt;Resumen_Sprints!$E$11,F$4&lt;=Resumen_Sprints!$E$11+Resumen_Sprints!$D$11),INDEX('Sprint N°6'!$C$8:$N$8,F$4-Resumen_Sprints!$E$11),0)</f>
        <v>0</v>
      </c>
      <c r="G36" s="23">
        <f t="array" ref="G36">IF(AND(G$4&gt;Resumen_Sprints!$E$11,G$4&lt;=Resumen_Sprints!$E$11+Resumen_Sprints!$D$11),INDEX('Sprint N°6'!$C$8:$N$8,G$4-Resumen_Sprints!$E$11),0)</f>
        <v>0</v>
      </c>
      <c r="H36" s="23">
        <f t="array" ref="H36">IF(AND(H$4&gt;Resumen_Sprints!$E$11,H$4&lt;=Resumen_Sprints!$E$11+Resumen_Sprints!$D$11),INDEX('Sprint N°6'!$C$8:$N$8,H$4-Resumen_Sprints!$E$11),0)</f>
        <v>0</v>
      </c>
      <c r="I36" s="23">
        <f t="array" ref="I36">IF(AND(I$4&gt;Resumen_Sprints!$E$11,I$4&lt;=Resumen_Sprints!$E$11+Resumen_Sprints!$D$11),INDEX('Sprint N°6'!$C$8:$N$8,I$4-Resumen_Sprints!$E$11),0)</f>
        <v>0</v>
      </c>
      <c r="J36" s="23">
        <f t="array" ref="J36">IF(AND(J$4&gt;Resumen_Sprints!$E$11,J$4&lt;=Resumen_Sprints!$E$11+Resumen_Sprints!$D$11),INDEX('Sprint N°6'!$C$8:$N$8,J$4-Resumen_Sprints!$E$11),0)</f>
        <v>0</v>
      </c>
      <c r="K36" s="23">
        <f t="array" ref="K36">IF(AND(K$4&gt;Resumen_Sprints!$E$11,K$4&lt;=Resumen_Sprints!$E$11+Resumen_Sprints!$D$11),INDEX('Sprint N°6'!$C$8:$N$8,K$4-Resumen_Sprints!$E$11),0)</f>
        <v>0</v>
      </c>
      <c r="L36" s="23">
        <f t="array" ref="L36">IF(AND(L$4&gt;Resumen_Sprints!$E$11,L$4&lt;=Resumen_Sprints!$E$11+Resumen_Sprints!$D$11),INDEX('Sprint N°6'!$C$8:$N$8,L$4-Resumen_Sprints!$E$11),0)</f>
        <v>0</v>
      </c>
      <c r="M36" s="23">
        <f t="array" ref="M36">IF(AND(M$4&gt;Resumen_Sprints!$E$11,M$4&lt;=Resumen_Sprints!$E$11+Resumen_Sprints!$D$11),INDEX('Sprint N°6'!$C$8:$N$8,M$4-Resumen_Sprints!$E$11),0)</f>
        <v>0</v>
      </c>
      <c r="N36" s="23">
        <f t="array" ref="N36">IF(AND(N$4&gt;Resumen_Sprints!$E$11,N$4&lt;=Resumen_Sprints!$E$11+Resumen_Sprints!$D$11),INDEX('Sprint N°6'!$C$8:$N$8,N$4-Resumen_Sprints!$E$11),0)</f>
        <v>0</v>
      </c>
      <c r="O36" s="23">
        <f t="array" ref="O36">IF(AND(O$4&gt;Resumen_Sprints!$E$11,O$4&lt;=Resumen_Sprints!$E$11+Resumen_Sprints!$D$11),INDEX('Sprint N°6'!$C$8:$N$8,O$4-Resumen_Sprints!$E$11),0)</f>
        <v>0</v>
      </c>
      <c r="P36" s="23">
        <f t="array" ref="P36">IF(AND(P$4&gt;Resumen_Sprints!$E$11,P$4&lt;=Resumen_Sprints!$E$11+Resumen_Sprints!$D$11),INDEX('Sprint N°6'!$C$8:$N$8,P$4-Resumen_Sprints!$E$11),0)</f>
        <v>0</v>
      </c>
      <c r="Q36" s="23">
        <f t="array" ref="Q36">IF(AND(Q$4&gt;Resumen_Sprints!$E$11,Q$4&lt;=Resumen_Sprints!$E$11+Resumen_Sprints!$D$11),INDEX('Sprint N°6'!$C$8:$N$8,Q$4-Resumen_Sprints!$E$11),0)</f>
        <v>0</v>
      </c>
      <c r="R36" s="23">
        <f t="array" ref="R36">IF(AND(R$4&gt;Resumen_Sprints!$E$11,R$4&lt;=Resumen_Sprints!$E$11+Resumen_Sprints!$D$11),INDEX('Sprint N°6'!$C$8:$N$8,R$4-Resumen_Sprints!$E$11),0)</f>
        <v>0</v>
      </c>
      <c r="S36" s="23">
        <f t="array" ref="S36">IF(AND(S$4&gt;Resumen_Sprints!$E$11,S$4&lt;=Resumen_Sprints!$E$11+Resumen_Sprints!$D$11),INDEX('Sprint N°6'!$C$8:$N$8,S$4-Resumen_Sprints!$E$11),0)</f>
        <v>0</v>
      </c>
      <c r="T36" s="23">
        <f t="array" ref="T36">IF(AND(T$4&gt;Resumen_Sprints!$E$11,T$4&lt;=Resumen_Sprints!$E$11+Resumen_Sprints!$D$11),INDEX('Sprint N°6'!$C$8:$N$8,T$4-Resumen_Sprints!$E$11),0)</f>
        <v>0</v>
      </c>
      <c r="U36" s="23">
        <f t="array" ref="U36">IF(AND(U$4&gt;Resumen_Sprints!$E$11,U$4&lt;=Resumen_Sprints!$E$11+Resumen_Sprints!$D$11),INDEX('Sprint N°6'!$C$8:$N$8,U$4-Resumen_Sprints!$E$11),0)</f>
        <v>0</v>
      </c>
      <c r="V36" s="23">
        <f t="array" ref="V36">IF(AND(V$4&gt;Resumen_Sprints!$E$11,V$4&lt;=Resumen_Sprints!$E$11+Resumen_Sprints!$D$11),INDEX('Sprint N°6'!$C$8:$N$8,V$4-Resumen_Sprints!$E$11),0)</f>
        <v>0</v>
      </c>
      <c r="W36" s="23">
        <f t="array" ref="W36">IF(AND(W$4&gt;Resumen_Sprints!$E$11,W$4&lt;=Resumen_Sprints!$E$11+Resumen_Sprints!$D$11),INDEX('Sprint N°6'!$C$8:$N$8,W$4-Resumen_Sprints!$E$11),0)</f>
        <v>0</v>
      </c>
      <c r="X36" s="23">
        <f t="array" ref="X36">IF(AND(X$4&gt;Resumen_Sprints!$E$11,X$4&lt;=Resumen_Sprints!$E$11+Resumen_Sprints!$D$11),INDEX('Sprint N°6'!$C$8:$N$8,X$4-Resumen_Sprints!$E$11),0)</f>
        <v>0</v>
      </c>
      <c r="Y36" s="23">
        <f t="array" ref="Y36">IF(AND(Y$4&gt;Resumen_Sprints!$E$11,Y$4&lt;=Resumen_Sprints!$E$11+Resumen_Sprints!$D$11),INDEX('Sprint N°6'!$C$8:$N$8,Y$4-Resumen_Sprints!$E$11),0)</f>
        <v>0</v>
      </c>
      <c r="Z36" s="23">
        <f t="array" ref="Z36">IF(AND(Z$4&gt;Resumen_Sprints!$E$11,Z$4&lt;=Resumen_Sprints!$E$11+Resumen_Sprints!$D$11),INDEX('Sprint N°6'!$C$8:$N$8,Z$4-Resumen_Sprints!$E$11),0)</f>
        <v>0</v>
      </c>
      <c r="AA36" s="23">
        <f t="array" ref="AA36">IF(AND(AA$4&gt;Resumen_Sprints!$E$11,AA$4&lt;=Resumen_Sprints!$E$11+Resumen_Sprints!$D$11),INDEX('Sprint N°6'!$C$8:$N$8,AA$4-Resumen_Sprints!$E$11),0)</f>
        <v>0</v>
      </c>
      <c r="AB36" s="23">
        <f t="array" ref="AB36">IF(AND(AB$4&gt;Resumen_Sprints!$E$11,AB$4&lt;=Resumen_Sprints!$E$11+Resumen_Sprints!$D$11),INDEX('Sprint N°6'!$C$8:$N$8,AB$4-Resumen_Sprints!$E$11),0)</f>
        <v>0</v>
      </c>
      <c r="AC36" s="23">
        <f t="array" ref="AC36">IF(AND(AC$4&gt;Resumen_Sprints!$E$11,AC$4&lt;=Resumen_Sprints!$E$11+Resumen_Sprints!$D$11),INDEX('Sprint N°6'!$C$8:$N$8,AC$4-Resumen_Sprints!$E$11),0)</f>
        <v>0</v>
      </c>
      <c r="AD36" s="23">
        <f t="array" ref="AD36">IF(AND(AD$4&gt;Resumen_Sprints!$E$11,AD$4&lt;=Resumen_Sprints!$E$11+Resumen_Sprints!$D$11),INDEX('Sprint N°6'!$C$8:$N$8,AD$4-Resumen_Sprints!$E$11),0)</f>
        <v>0</v>
      </c>
      <c r="AE36" s="23">
        <f t="array" ref="AE36">IF(AND(AE$4&gt;Resumen_Sprints!$E$11,AE$4&lt;=Resumen_Sprints!$E$11+Resumen_Sprints!$D$11),INDEX('Sprint N°6'!$C$8:$N$8,AE$4-Resumen_Sprints!$E$11),0)</f>
        <v>0</v>
      </c>
      <c r="AF36" s="23">
        <f t="array" ref="AF36">IF(AND(AF$4&gt;Resumen_Sprints!$E$11,AF$4&lt;=Resumen_Sprints!$E$11+Resumen_Sprints!$D$11),INDEX('Sprint N°6'!$C$8:$N$8,AF$4-Resumen_Sprints!$E$11),0)</f>
        <v>0</v>
      </c>
      <c r="AG36" s="23">
        <f t="array" ref="AG36">IF(AND(AG$4&gt;Resumen_Sprints!$E$11,AG$4&lt;=Resumen_Sprints!$E$11+Resumen_Sprints!$D$11),INDEX('Sprint N°6'!$C$8:$N$8,AG$4-Resumen_Sprints!$E$11),0)</f>
        <v>0</v>
      </c>
      <c r="AH36" s="23">
        <f t="array" ref="AH36">IF(AND(AH$4&gt;Resumen_Sprints!$E$11,AH$4&lt;=Resumen_Sprints!$E$11+Resumen_Sprints!$D$11),INDEX('Sprint N°6'!$C$8:$N$8,AH$4-Resumen_Sprints!$E$11),0)</f>
        <v>0</v>
      </c>
      <c r="AI36" s="23">
        <f t="array" ref="AI36">IF(AND(AI$4&gt;Resumen_Sprints!$E$11,AI$4&lt;=Resumen_Sprints!$E$11+Resumen_Sprints!$D$11),INDEX('Sprint N°6'!$C$8:$N$8,AI$4-Resumen_Sprints!$E$11),0)</f>
        <v>0</v>
      </c>
      <c r="AJ36" s="23">
        <f t="array" ref="AJ36">IF(AND(AJ$4&gt;Resumen_Sprints!$E$11,AJ$4&lt;=Resumen_Sprints!$E$11+Resumen_Sprints!$D$11),INDEX('Sprint N°6'!$C$8:$N$8,AJ$4-Resumen_Sprints!$E$11),0)</f>
        <v>0</v>
      </c>
      <c r="AK36" s="23">
        <f t="array" ref="AK36">IF(AND(AK$4&gt;Resumen_Sprints!$E$11,AK$4&lt;=Resumen_Sprints!$E$11+Resumen_Sprints!$D$11),INDEX('Sprint N°6'!$C$8:$N$8,AK$4-Resumen_Sprints!$E$11),0)</f>
        <v>0</v>
      </c>
      <c r="AL36" s="23">
        <f t="array" ref="AL36">IF(AND(AL$4&gt;Resumen_Sprints!$E$11,AL$4&lt;=Resumen_Sprints!$E$11+Resumen_Sprints!$D$11),INDEX('Sprint N°6'!$C$8:$N$8,AL$4-Resumen_Sprints!$E$11),0)</f>
        <v>0</v>
      </c>
      <c r="AM36" s="23">
        <f t="array" ref="AM36">IF(AND(AM$4&gt;Resumen_Sprints!$E$11,AM$4&lt;=Resumen_Sprints!$E$11+Resumen_Sprints!$D$11),INDEX('Sprint N°6'!$C$8:$N$8,AM$4-Resumen_Sprints!$E$11),0)</f>
        <v>0</v>
      </c>
      <c r="AN36" s="23">
        <f t="array" ref="AN36">IF(AND(AN$4&gt;Resumen_Sprints!$E$11,AN$4&lt;=Resumen_Sprints!$E$11+Resumen_Sprints!$D$11),INDEX('Sprint N°6'!$C$8:$N$8,AN$4-Resumen_Sprints!$E$11),0)</f>
        <v>0</v>
      </c>
      <c r="AO36" s="23">
        <f t="array" ref="AO36">IF(AND(AO$4&gt;Resumen_Sprints!$E$11,AO$4&lt;=Resumen_Sprints!$E$11+Resumen_Sprints!$D$11),INDEX('Sprint N°6'!$C$8:$N$8,AO$4-Resumen_Sprints!$E$11),0)</f>
        <v>0</v>
      </c>
      <c r="AP36" s="23">
        <f t="array" ref="AP36">IF(AND(AP$4&gt;Resumen_Sprints!$E$11,AP$4&lt;=Resumen_Sprints!$E$11+Resumen_Sprints!$D$11),INDEX('Sprint N°6'!$C$8:$N$8,AP$4-Resumen_Sprints!$E$11),0)</f>
        <v>0</v>
      </c>
      <c r="AQ36" s="23">
        <f t="array" ref="AQ36">IF(AND(AQ$4&gt;Resumen_Sprints!$E$11,AQ$4&lt;=Resumen_Sprints!$E$11+Resumen_Sprints!$D$11),INDEX('Sprint N°6'!$C$8:$N$8,AQ$4-Resumen_Sprints!$E$11),0)</f>
        <v>0</v>
      </c>
      <c r="AR36" s="23">
        <f t="array" ref="AR36">IF(AND(AR$4&gt;Resumen_Sprints!$E$11,AR$4&lt;=Resumen_Sprints!$E$11+Resumen_Sprints!$D$11),INDEX('Sprint N°6'!$C$8:$N$8,AR$4-Resumen_Sprints!$E$11),0)</f>
        <v>0</v>
      </c>
      <c r="AS36" s="23">
        <f t="array" ref="AS36">IF(AND(AS$4&gt;Resumen_Sprints!$E$11,AS$4&lt;=Resumen_Sprints!$E$11+Resumen_Sprints!$D$11),INDEX('Sprint N°6'!$C$8:$N$8,AS$4-Resumen_Sprints!$E$11),0)</f>
        <v>0</v>
      </c>
      <c r="AT36" s="23">
        <f t="array" ref="AT36">IF(AND(AT$4&gt;Resumen_Sprints!$E$11,AT$4&lt;=Resumen_Sprints!$E$11+Resumen_Sprints!$D$11),INDEX('Sprint N°6'!$C$8:$N$8,AT$4-Resumen_Sprints!$E$11),0)</f>
        <v>0</v>
      </c>
      <c r="AU36" s="23">
        <f t="array" ref="AU36">IF(AND(AU$4&gt;Resumen_Sprints!$E$11,AU$4&lt;=Resumen_Sprints!$E$11+Resumen_Sprints!$D$11),INDEX('Sprint N°6'!$C$8:$N$8,AU$4-Resumen_Sprints!$E$11),0)</f>
        <v>0</v>
      </c>
      <c r="AV36" s="23">
        <f t="array" ref="AV36">IF(AND(AV$4&gt;Resumen_Sprints!$E$11,AV$4&lt;=Resumen_Sprints!$E$11+Resumen_Sprints!$D$11),INDEX('Sprint N°6'!$C$8:$N$8,AV$4-Resumen_Sprints!$E$11),0)</f>
        <v>0</v>
      </c>
      <c r="AW36" s="23">
        <f t="array" ref="AW36">IF(AND(AW$4&gt;Resumen_Sprints!$E$11,AW$4&lt;=Resumen_Sprints!$E$11+Resumen_Sprints!$D$11),INDEX('Sprint N°6'!$C$8:$N$8,AW$4-Resumen_Sprints!$E$11),0)</f>
        <v>0</v>
      </c>
      <c r="AX36" s="23">
        <f t="array" ref="AX36">IF(AND(AX$4&gt;Resumen_Sprints!$E$11,AX$4&lt;=Resumen_Sprints!$E$11+Resumen_Sprints!$D$11),INDEX('Sprint N°6'!$C$8:$N$8,AX$4-Resumen_Sprints!$E$11),0)</f>
        <v>0</v>
      </c>
      <c r="AY36" s="23">
        <f t="array" ref="AY36">IF(AND(AY$4&gt;Resumen_Sprints!$E$11,AY$4&lt;=Resumen_Sprints!$E$11+Resumen_Sprints!$D$11),INDEX('Sprint N°6'!$C$8:$N$8,AY$4-Resumen_Sprints!$E$11),0)</f>
        <v>0</v>
      </c>
      <c r="AZ36" s="23">
        <f t="array" ref="AZ36">IF(AND(AZ$4&gt;Resumen_Sprints!$E$11,AZ$4&lt;=Resumen_Sprints!$E$11+Resumen_Sprints!$D$11),INDEX('Sprint N°6'!$C$8:$N$8,AZ$4-Resumen_Sprints!$E$11),0)</f>
        <v>0</v>
      </c>
      <c r="BA36" s="23">
        <f t="array" ref="BA36">IF(AND(BA$4&gt;Resumen_Sprints!$E$11,BA$4&lt;=Resumen_Sprints!$E$11+Resumen_Sprints!$D$11),INDEX('Sprint N°6'!$C$8:$N$8,BA$4-Resumen_Sprints!$E$11),0)</f>
        <v>0</v>
      </c>
      <c r="BB36" s="23">
        <f t="array" ref="BB36">IF(AND(BB$4&gt;Resumen_Sprints!$E$11,BB$4&lt;=Resumen_Sprints!$E$11+Resumen_Sprints!$D$11),INDEX('Sprint N°6'!$C$8:$N$8,BB$4-Resumen_Sprints!$E$11),0)</f>
        <v>0</v>
      </c>
      <c r="BC36" s="23">
        <f t="array" ref="BC36">IF(AND(BC$4&gt;Resumen_Sprints!$E$11,BC$4&lt;=Resumen_Sprints!$E$11+Resumen_Sprints!$D$11),INDEX('Sprint N°6'!$C$8:$N$8,BC$4-Resumen_Sprints!$E$11),0)</f>
        <v>0</v>
      </c>
      <c r="BD36" s="23">
        <f t="array" ref="BD36">IF(AND(BD$4&gt;Resumen_Sprints!$E$11,BD$4&lt;=Resumen_Sprints!$E$11+Resumen_Sprints!$D$11),INDEX('Sprint N°6'!$C$8:$N$8,BD$4-Resumen_Sprints!$E$11),0)</f>
        <v>0</v>
      </c>
      <c r="BE36" s="23">
        <f t="array" ref="BE36">IF(AND(BE$4&gt;Resumen_Sprints!$E$11,BE$4&lt;=Resumen_Sprints!$E$11+Resumen_Sprints!$D$11),INDEX('Sprint N°6'!$C$8:$N$8,BE$4-Resumen_Sprints!$E$11),0)</f>
        <v>0</v>
      </c>
      <c r="BF36" s="23">
        <f t="array" ref="BF36">IF(AND(BF$4&gt;Resumen_Sprints!$E$11,BF$4&lt;=Resumen_Sprints!$E$11+Resumen_Sprints!$D$11),INDEX('Sprint N°6'!$C$8:$N$8,BF$4-Resumen_Sprints!$E$11),0)</f>
        <v>0</v>
      </c>
      <c r="BG36" s="23">
        <f t="array" ref="BG36">IF(AND(BG$4&gt;Resumen_Sprints!$E$11,BG$4&lt;=Resumen_Sprints!$E$11+Resumen_Sprints!$D$11),INDEX('Sprint N°6'!$C$8:$N$8,BG$4-Resumen_Sprints!$E$11),0)</f>
        <v>0</v>
      </c>
      <c r="BH36" s="23" t="str">
        <f t="array" ref="BH36">IF(AND(BH$4&gt;Resumen_Sprints!$E$11,BH$4&lt;=Resumen_Sprints!$E$11+Resumen_Sprints!$D$11),INDEX('Sprint N°6'!$C$8:$N$8,BH$4-Resumen_Sprints!$E$11),0)</f>
        <v/>
      </c>
      <c r="BI36" s="23" t="str">
        <f t="array" ref="BI36">IF(AND(BI$4&gt;Resumen_Sprints!$E$11,BI$4&lt;=Resumen_Sprints!$E$11+Resumen_Sprints!$D$11),INDEX('Sprint N°6'!$C$8:$N$8,BI$4-Resumen_Sprints!$E$11),0)</f>
        <v/>
      </c>
      <c r="BJ36" s="23">
        <f t="array" ref="BJ36">IF(AND(BJ$4&gt;Resumen_Sprints!$E$11,BJ$4&lt;=Resumen_Sprints!$E$11+Resumen_Sprints!$D$11),INDEX('Sprint N°6'!$C$8:$N$8,BJ$4-Resumen_Sprints!$E$11),0)</f>
        <v>12</v>
      </c>
      <c r="BK36" s="23">
        <f t="array" ref="BK36">IF(AND(BK$4&gt;Resumen_Sprints!$E$11,BK$4&lt;=Resumen_Sprints!$E$11+Resumen_Sprints!$D$11),INDEX('Sprint N°6'!$C$8:$N$8,BK$4-Resumen_Sprints!$E$11),0)</f>
        <v>1</v>
      </c>
      <c r="BL36" s="23" t="str">
        <f t="array" ref="BL36">IF(AND(BL$4&gt;Resumen_Sprints!$E$11,BL$4&lt;=Resumen_Sprints!$E$11+Resumen_Sprints!$D$11),INDEX('Sprint N°6'!$C$8:$N$8,BL$4-Resumen_Sprints!$E$11),0)</f>
        <v/>
      </c>
      <c r="BM36" s="23" t="str">
        <f t="array" ref="BM36">IF(AND(BM$4&gt;Resumen_Sprints!$E$11,BM$4&lt;=Resumen_Sprints!$E$11+Resumen_Sprints!$D$11),INDEX('Sprint N°6'!$C$8:$N$8,BM$4-Resumen_Sprints!$E$11),0)</f>
        <v/>
      </c>
      <c r="BN36" s="23" t="str">
        <f t="array" ref="BN36">IF(AND(BN$4&gt;Resumen_Sprints!$E$11,BN$4&lt;=Resumen_Sprints!$E$11+Resumen_Sprints!$D$11),INDEX('Sprint N°6'!$C$8:$N$8,BN$4-Resumen_Sprints!$E$11),0)</f>
        <v/>
      </c>
      <c r="BO36" s="23" t="str">
        <f t="array" ref="BO36">IF(AND(BO$4&gt;Resumen_Sprints!$E$11,BO$4&lt;=Resumen_Sprints!$E$11+Resumen_Sprints!$D$11),INDEX('Sprint N°6'!$C$8:$N$8,BO$4-Resumen_Sprints!$E$11),0)</f>
        <v/>
      </c>
      <c r="BP36" s="23" t="str">
        <f t="array" ref="BP36">IF(AND(BP$4&gt;Resumen_Sprints!$E$11,BP$4&lt;=Resumen_Sprints!$E$11+Resumen_Sprints!$D$11),INDEX('Sprint N°6'!$C$8:$N$8,BP$4-Resumen_Sprints!$E$11),0)</f>
        <v/>
      </c>
      <c r="BQ36" s="23" t="str">
        <f t="array" ref="BQ36">IF(AND(BQ$4&gt;Resumen_Sprints!$E$11,BQ$4&lt;=Resumen_Sprints!$E$11+Resumen_Sprints!$D$11),INDEX('Sprint N°6'!$C$8:$N$8,BQ$4-Resumen_Sprints!$E$11),0)</f>
        <v/>
      </c>
      <c r="BR36" s="23" t="str">
        <f t="array" ref="BR36">IF(AND(BR$4&gt;Resumen_Sprints!$E$11,BR$4&lt;=Resumen_Sprints!$E$11+Resumen_Sprints!$D$11),INDEX('Sprint N°6'!$C$8:$N$8,BR$4-Resumen_Sprints!$E$11),0)</f>
        <v/>
      </c>
      <c r="BS36" s="23" t="str">
        <f t="array" ref="BS36">IF(AND(BS$4&gt;Resumen_Sprints!$E$11,BS$4&lt;=Resumen_Sprints!$E$11+Resumen_Sprints!$D$11),INDEX('Sprint N°6'!$C$8:$N$8,BS$4-Resumen_Sprints!$E$11),0)</f>
        <v/>
      </c>
      <c r="BT36" s="23">
        <f t="array" ref="BT36">IF(AND(BT$4&gt;Resumen_Sprints!$E$11,BT$4&lt;=Resumen_Sprints!$E$11+Resumen_Sprints!$D$11),INDEX('Sprint N°6'!$C$8:$N$8,BT$4-Resumen_Sprints!$E$11),0)</f>
        <v>0</v>
      </c>
      <c r="BU36" s="23">
        <f t="array" ref="BU36">IF(AND(BU$4&gt;Resumen_Sprints!$E$11,BU$4&lt;=Resumen_Sprints!$E$11+Resumen_Sprints!$D$11),INDEX('Sprint N°6'!$C$8:$N$8,BU$4-Resumen_Sprints!$E$11),0)</f>
        <v>0</v>
      </c>
      <c r="BV36" s="23">
        <f t="array" ref="BV36">IF(AND(BV$4&gt;Resumen_Sprints!$E$11,BV$4&lt;=Resumen_Sprints!$E$11+Resumen_Sprints!$D$11),INDEX('Sprint N°6'!$C$8:$N$8,BV$4-Resumen_Sprints!$E$11),0)</f>
        <v>0</v>
      </c>
      <c r="BW36" s="23">
        <f t="array" ref="BW36">IF(AND(BW$4&gt;Resumen_Sprints!$E$11,BW$4&lt;=Resumen_Sprints!$E$11+Resumen_Sprints!$D$11),INDEX('Sprint N°6'!$C$8:$N$8,BW$4-Resumen_Sprints!$E$11),0)</f>
        <v>0</v>
      </c>
      <c r="BX36" s="23">
        <f t="array" ref="BX36">IF(AND(BX$4&gt;Resumen_Sprints!$E$11,BX$4&lt;=Resumen_Sprints!$E$11+Resumen_Sprints!$D$11),INDEX('Sprint N°6'!$C$8:$N$8,BX$4-Resumen_Sprints!$E$11),0)</f>
        <v>0</v>
      </c>
      <c r="BY36" s="23">
        <f t="array" ref="BY36">IF(AND(BY$4&gt;Resumen_Sprints!$E$11,BY$4&lt;=Resumen_Sprints!$E$11+Resumen_Sprints!$D$11),INDEX('Sprint N°6'!$C$8:$N$8,BY$4-Resumen_Sprints!$E$11),0)</f>
        <v>0</v>
      </c>
      <c r="BZ36" s="23">
        <f t="array" ref="BZ36">IF(AND(BZ$4&gt;Resumen_Sprints!$E$11,BZ$4&lt;=Resumen_Sprints!$E$11+Resumen_Sprints!$D$11),INDEX('Sprint N°6'!$C$8:$N$8,BZ$4-Resumen_Sprints!$E$11),0)</f>
        <v>0</v>
      </c>
      <c r="CA36" s="23">
        <f t="array" ref="CA36">IF(AND(CA$4&gt;Resumen_Sprints!$E$11,CA$4&lt;=Resumen_Sprints!$E$11+Resumen_Sprints!$D$11),INDEX('Sprint N°6'!$C$8:$N$8,CA$4-Resumen_Sprints!$E$11),0)</f>
        <v>0</v>
      </c>
      <c r="CB36" s="23">
        <f t="array" ref="CB36">IF(AND(CB$4&gt;Resumen_Sprints!$E$11,CB$4&lt;=Resumen_Sprints!$E$11+Resumen_Sprints!$D$11),INDEX('Sprint N°6'!$C$8:$N$8,CB$4-Resumen_Sprints!$E$11),0)</f>
        <v>0</v>
      </c>
      <c r="CC36" s="23">
        <f t="array" ref="CC36">IF(AND(CC$4&gt;Resumen_Sprints!$E$11,CC$4&lt;=Resumen_Sprints!$E$11+Resumen_Sprints!$D$11),INDEX('Sprint N°6'!$C$8:$N$8,CC$4-Resumen_Sprints!$E$11),0)</f>
        <v>0</v>
      </c>
      <c r="CD36" s="23">
        <f t="array" ref="CD36">IF(AND(CD$4&gt;Resumen_Sprints!$E$11,CD$4&lt;=Resumen_Sprints!$E$11+Resumen_Sprints!$D$11),INDEX('Sprint N°6'!$C$8:$N$8,CD$4-Resumen_Sprints!$E$11),0)</f>
        <v>0</v>
      </c>
      <c r="CE36" s="23">
        <f t="array" ref="CE36">IF(AND(CE$4&gt;Resumen_Sprints!$E$11,CE$4&lt;=Resumen_Sprints!$E$11+Resumen_Sprints!$D$11),INDEX('Sprint N°6'!$C$8:$N$8,CE$4-Resumen_Sprints!$E$11),0)</f>
        <v>0</v>
      </c>
      <c r="CF36" s="23">
        <f t="array" ref="CF36">IF(AND(CF$4&gt;Resumen_Sprints!$E$11,CF$4&lt;=Resumen_Sprints!$E$11+Resumen_Sprints!$D$11),INDEX('Sprint N°6'!$C$8:$N$8,CF$4-Resumen_Sprints!$E$11),0)</f>
        <v>0</v>
      </c>
      <c r="CG36" s="23">
        <f t="array" ref="CG36">IF(AND(CG$4&gt;Resumen_Sprints!$E$11,CG$4&lt;=Resumen_Sprints!$E$11+Resumen_Sprints!$D$11),INDEX('Sprint N°6'!$C$8:$N$8,CG$4-Resumen_Sprints!$E$11),0)</f>
        <v>0</v>
      </c>
      <c r="CH36" s="23">
        <f t="array" ref="CH36">IF(AND(CH$4&gt;Resumen_Sprints!$E$11,CH$4&lt;=Resumen_Sprints!$E$11+Resumen_Sprints!$D$11),INDEX('Sprint N°6'!$C$8:$N$8,CH$4-Resumen_Sprints!$E$11),0)</f>
        <v>0</v>
      </c>
      <c r="CI36" s="23">
        <f t="array" ref="CI36">IF(AND(CI$4&gt;Resumen_Sprints!$E$11,CI$4&lt;=Resumen_Sprints!$E$11+Resumen_Sprints!$D$11),INDEX('Sprint N°6'!$C$8:$N$8,CI$4-Resumen_Sprints!$E$11),0)</f>
        <v>0</v>
      </c>
      <c r="CJ36" s="23">
        <f t="array" ref="CJ36">IF(AND(CJ$4&gt;Resumen_Sprints!$E$11,CJ$4&lt;=Resumen_Sprints!$E$11+Resumen_Sprints!$D$11),INDEX('Sprint N°6'!$C$8:$N$8,CJ$4-Resumen_Sprints!$E$11),0)</f>
        <v>0</v>
      </c>
      <c r="CK36" s="23">
        <f t="array" ref="CK36">IF(AND(CK$4&gt;Resumen_Sprints!$E$11,CK$4&lt;=Resumen_Sprints!$E$11+Resumen_Sprints!$D$11),INDEX('Sprint N°6'!$C$8:$N$8,CK$4-Resumen_Sprints!$E$11),0)</f>
        <v>0</v>
      </c>
      <c r="CL36" s="23">
        <f t="array" ref="CL36">IF(AND(CL$4&gt;Resumen_Sprints!$E$11,CL$4&lt;=Resumen_Sprints!$E$11+Resumen_Sprints!$D$11),INDEX('Sprint N°6'!$C$8:$N$8,CL$4-Resumen_Sprints!$E$11),0)</f>
        <v>0</v>
      </c>
      <c r="CM36" s="23">
        <f t="array" ref="CM36">IF(AND(CM$4&gt;Resumen_Sprints!$E$11,CM$4&lt;=Resumen_Sprints!$E$11+Resumen_Sprints!$D$11),INDEX('Sprint N°6'!$C$8:$N$8,CM$4-Resumen_Sprints!$E$11),0)</f>
        <v>0</v>
      </c>
      <c r="CN36" s="23">
        <f t="array" ref="CN36">IF(AND(CN$4&gt;Resumen_Sprints!$E$11,CN$4&lt;=Resumen_Sprints!$E$11+Resumen_Sprints!$D$11),INDEX('Sprint N°6'!$C$8:$N$8,CN$4-Resumen_Sprints!$E$11),0)</f>
        <v>0</v>
      </c>
      <c r="CO36" s="23">
        <f t="array" ref="CO36">IF(AND(CO$4&gt;Resumen_Sprints!$E$11,CO$4&lt;=Resumen_Sprints!$E$11+Resumen_Sprints!$D$11),INDEX('Sprint N°6'!$C$8:$N$8,CO$4-Resumen_Sprints!$E$11),0)</f>
        <v>0</v>
      </c>
      <c r="CP36" s="23">
        <f t="array" ref="CP36">IF(AND(CP$4&gt;Resumen_Sprints!$E$11,CP$4&lt;=Resumen_Sprints!$E$11+Resumen_Sprints!$D$11),INDEX('Sprint N°6'!$C$8:$N$8,CP$4-Resumen_Sprints!$E$11),0)</f>
        <v>0</v>
      </c>
      <c r="CQ36" s="23">
        <f t="array" ref="CQ36">IF(AND(CQ$4&gt;Resumen_Sprints!$E$11,CQ$4&lt;=Resumen_Sprints!$E$11+Resumen_Sprints!$D$11),INDEX('Sprint N°6'!$C$8:$N$8,CQ$4-Resumen_Sprints!$E$11),0)</f>
        <v>0</v>
      </c>
      <c r="CR36" s="23">
        <f t="array" ref="CR36">IF(AND(CR$4&gt;Resumen_Sprints!$E$11,CR$4&lt;=Resumen_Sprints!$E$11+Resumen_Sprints!$D$11),INDEX('Sprint N°6'!$C$8:$N$8,CR$4-Resumen_Sprints!$E$11),0)</f>
        <v>0</v>
      </c>
      <c r="CS36" s="23">
        <f t="array" ref="CS36">IF(AND(CS$4&gt;Resumen_Sprints!$E$11,CS$4&lt;=Resumen_Sprints!$E$11+Resumen_Sprints!$D$11),INDEX('Sprint N°6'!$C$8:$N$8,CS$4-Resumen_Sprints!$E$11),0)</f>
        <v>0</v>
      </c>
      <c r="CT36" s="23">
        <f t="array" ref="CT36">IF(AND(CT$4&gt;Resumen_Sprints!$E$11,CT$4&lt;=Resumen_Sprints!$E$11+Resumen_Sprints!$D$11),INDEX('Sprint N°6'!$C$8:$N$8,CT$4-Resumen_Sprints!$E$11),0)</f>
        <v>0</v>
      </c>
      <c r="CU36" s="25">
        <f t="shared" si="6"/>
        <v>13</v>
      </c>
    </row>
    <row r="37" ht="14.25" customHeight="1">
      <c r="A37" s="11" t="str">
        <f>'Sprint N°6'!A9</f>
        <v>Integración del Sistema</v>
      </c>
      <c r="B37" s="11">
        <f>'Sprint N°6'!B9</f>
        <v>30</v>
      </c>
      <c r="C37" s="23">
        <f t="array" ref="C37">IF(AND(C$4&gt;Resumen_Sprints!$E$11,C$4&lt;=Resumen_Sprints!$E$11+Resumen_Sprints!$D$11),INDEX('Sprint N°6'!$C$9:$N$9,C$4-Resumen_Sprints!$E$11),0)</f>
        <v>0</v>
      </c>
      <c r="D37" s="23">
        <f t="array" ref="D37">IF(AND(D$4&gt;Resumen_Sprints!$E$11,D$4&lt;=Resumen_Sprints!$E$11+Resumen_Sprints!$D$11),INDEX('Sprint N°6'!$C$9:$N$9,D$4-Resumen_Sprints!$E$11),0)</f>
        <v>0</v>
      </c>
      <c r="E37" s="23">
        <f t="array" ref="E37">IF(AND(E$4&gt;Resumen_Sprints!$E$11,E$4&lt;=Resumen_Sprints!$E$11+Resumen_Sprints!$D$11),INDEX('Sprint N°6'!$C$9:$N$9,E$4-Resumen_Sprints!$E$11),0)</f>
        <v>0</v>
      </c>
      <c r="F37" s="23">
        <f t="array" ref="F37">IF(AND(F$4&gt;Resumen_Sprints!$E$11,F$4&lt;=Resumen_Sprints!$E$11+Resumen_Sprints!$D$11),INDEX('Sprint N°6'!$C$9:$N$9,F$4-Resumen_Sprints!$E$11),0)</f>
        <v>0</v>
      </c>
      <c r="G37" s="23">
        <f t="array" ref="G37">IF(AND(G$4&gt;Resumen_Sprints!$E$11,G$4&lt;=Resumen_Sprints!$E$11+Resumen_Sprints!$D$11),INDEX('Sprint N°6'!$C$9:$N$9,G$4-Resumen_Sprints!$E$11),0)</f>
        <v>0</v>
      </c>
      <c r="H37" s="23">
        <f t="array" ref="H37">IF(AND(H$4&gt;Resumen_Sprints!$E$11,H$4&lt;=Resumen_Sprints!$E$11+Resumen_Sprints!$D$11),INDEX('Sprint N°6'!$C$9:$N$9,H$4-Resumen_Sprints!$E$11),0)</f>
        <v>0</v>
      </c>
      <c r="I37" s="23">
        <f t="array" ref="I37">IF(AND(I$4&gt;Resumen_Sprints!$E$11,I$4&lt;=Resumen_Sprints!$E$11+Resumen_Sprints!$D$11),INDEX('Sprint N°6'!$C$9:$N$9,I$4-Resumen_Sprints!$E$11),0)</f>
        <v>0</v>
      </c>
      <c r="J37" s="23">
        <f t="array" ref="J37">IF(AND(J$4&gt;Resumen_Sprints!$E$11,J$4&lt;=Resumen_Sprints!$E$11+Resumen_Sprints!$D$11),INDEX('Sprint N°6'!$C$9:$N$9,J$4-Resumen_Sprints!$E$11),0)</f>
        <v>0</v>
      </c>
      <c r="K37" s="23">
        <f t="array" ref="K37">IF(AND(K$4&gt;Resumen_Sprints!$E$11,K$4&lt;=Resumen_Sprints!$E$11+Resumen_Sprints!$D$11),INDEX('Sprint N°6'!$C$9:$N$9,K$4-Resumen_Sprints!$E$11),0)</f>
        <v>0</v>
      </c>
      <c r="L37" s="23">
        <f t="array" ref="L37">IF(AND(L$4&gt;Resumen_Sprints!$E$11,L$4&lt;=Resumen_Sprints!$E$11+Resumen_Sprints!$D$11),INDEX('Sprint N°6'!$C$9:$N$9,L$4-Resumen_Sprints!$E$11),0)</f>
        <v>0</v>
      </c>
      <c r="M37" s="23">
        <f t="array" ref="M37">IF(AND(M$4&gt;Resumen_Sprints!$E$11,M$4&lt;=Resumen_Sprints!$E$11+Resumen_Sprints!$D$11),INDEX('Sprint N°6'!$C$9:$N$9,M$4-Resumen_Sprints!$E$11),0)</f>
        <v>0</v>
      </c>
      <c r="N37" s="23">
        <f t="array" ref="N37">IF(AND(N$4&gt;Resumen_Sprints!$E$11,N$4&lt;=Resumen_Sprints!$E$11+Resumen_Sprints!$D$11),INDEX('Sprint N°6'!$C$9:$N$9,N$4-Resumen_Sprints!$E$11),0)</f>
        <v>0</v>
      </c>
      <c r="O37" s="23">
        <f t="array" ref="O37">IF(AND(O$4&gt;Resumen_Sprints!$E$11,O$4&lt;=Resumen_Sprints!$E$11+Resumen_Sprints!$D$11),INDEX('Sprint N°6'!$C$9:$N$9,O$4-Resumen_Sprints!$E$11),0)</f>
        <v>0</v>
      </c>
      <c r="P37" s="23">
        <f t="array" ref="P37">IF(AND(P$4&gt;Resumen_Sprints!$E$11,P$4&lt;=Resumen_Sprints!$E$11+Resumen_Sprints!$D$11),INDEX('Sprint N°6'!$C$9:$N$9,P$4-Resumen_Sprints!$E$11),0)</f>
        <v>0</v>
      </c>
      <c r="Q37" s="23">
        <f t="array" ref="Q37">IF(AND(Q$4&gt;Resumen_Sprints!$E$11,Q$4&lt;=Resumen_Sprints!$E$11+Resumen_Sprints!$D$11),INDEX('Sprint N°6'!$C$9:$N$9,Q$4-Resumen_Sprints!$E$11),0)</f>
        <v>0</v>
      </c>
      <c r="R37" s="23">
        <f t="array" ref="R37">IF(AND(R$4&gt;Resumen_Sprints!$E$11,R$4&lt;=Resumen_Sprints!$E$11+Resumen_Sprints!$D$11),INDEX('Sprint N°6'!$C$9:$N$9,R$4-Resumen_Sprints!$E$11),0)</f>
        <v>0</v>
      </c>
      <c r="S37" s="23">
        <f t="array" ref="S37">IF(AND(S$4&gt;Resumen_Sprints!$E$11,S$4&lt;=Resumen_Sprints!$E$11+Resumen_Sprints!$D$11),INDEX('Sprint N°6'!$C$9:$N$9,S$4-Resumen_Sprints!$E$11),0)</f>
        <v>0</v>
      </c>
      <c r="T37" s="23">
        <f t="array" ref="T37">IF(AND(T$4&gt;Resumen_Sprints!$E$11,T$4&lt;=Resumen_Sprints!$E$11+Resumen_Sprints!$D$11),INDEX('Sprint N°6'!$C$9:$N$9,T$4-Resumen_Sprints!$E$11),0)</f>
        <v>0</v>
      </c>
      <c r="U37" s="23">
        <f t="array" ref="U37">IF(AND(U$4&gt;Resumen_Sprints!$E$11,U$4&lt;=Resumen_Sprints!$E$11+Resumen_Sprints!$D$11),INDEX('Sprint N°6'!$C$9:$N$9,U$4-Resumen_Sprints!$E$11),0)</f>
        <v>0</v>
      </c>
      <c r="V37" s="23">
        <f t="array" ref="V37">IF(AND(V$4&gt;Resumen_Sprints!$E$11,V$4&lt;=Resumen_Sprints!$E$11+Resumen_Sprints!$D$11),INDEX('Sprint N°6'!$C$9:$N$9,V$4-Resumen_Sprints!$E$11),0)</f>
        <v>0</v>
      </c>
      <c r="W37" s="23">
        <f t="array" ref="W37">IF(AND(W$4&gt;Resumen_Sprints!$E$11,W$4&lt;=Resumen_Sprints!$E$11+Resumen_Sprints!$D$11),INDEX('Sprint N°6'!$C$9:$N$9,W$4-Resumen_Sprints!$E$11),0)</f>
        <v>0</v>
      </c>
      <c r="X37" s="23">
        <f t="array" ref="X37">IF(AND(X$4&gt;Resumen_Sprints!$E$11,X$4&lt;=Resumen_Sprints!$E$11+Resumen_Sprints!$D$11),INDEX('Sprint N°6'!$C$9:$N$9,X$4-Resumen_Sprints!$E$11),0)</f>
        <v>0</v>
      </c>
      <c r="Y37" s="23">
        <f t="array" ref="Y37">IF(AND(Y$4&gt;Resumen_Sprints!$E$11,Y$4&lt;=Resumen_Sprints!$E$11+Resumen_Sprints!$D$11),INDEX('Sprint N°6'!$C$9:$N$9,Y$4-Resumen_Sprints!$E$11),0)</f>
        <v>0</v>
      </c>
      <c r="Z37" s="23">
        <f t="array" ref="Z37">IF(AND(Z$4&gt;Resumen_Sprints!$E$11,Z$4&lt;=Resumen_Sprints!$E$11+Resumen_Sprints!$D$11),INDEX('Sprint N°6'!$C$9:$N$9,Z$4-Resumen_Sprints!$E$11),0)</f>
        <v>0</v>
      </c>
      <c r="AA37" s="23">
        <f t="array" ref="AA37">IF(AND(AA$4&gt;Resumen_Sprints!$E$11,AA$4&lt;=Resumen_Sprints!$E$11+Resumen_Sprints!$D$11),INDEX('Sprint N°6'!$C$9:$N$9,AA$4-Resumen_Sprints!$E$11),0)</f>
        <v>0</v>
      </c>
      <c r="AB37" s="23">
        <f t="array" ref="AB37">IF(AND(AB$4&gt;Resumen_Sprints!$E$11,AB$4&lt;=Resumen_Sprints!$E$11+Resumen_Sprints!$D$11),INDEX('Sprint N°6'!$C$9:$N$9,AB$4-Resumen_Sprints!$E$11),0)</f>
        <v>0</v>
      </c>
      <c r="AC37" s="23">
        <f t="array" ref="AC37">IF(AND(AC$4&gt;Resumen_Sprints!$E$11,AC$4&lt;=Resumen_Sprints!$E$11+Resumen_Sprints!$D$11),INDEX('Sprint N°6'!$C$9:$N$9,AC$4-Resumen_Sprints!$E$11),0)</f>
        <v>0</v>
      </c>
      <c r="AD37" s="23">
        <f t="array" ref="AD37">IF(AND(AD$4&gt;Resumen_Sprints!$E$11,AD$4&lt;=Resumen_Sprints!$E$11+Resumen_Sprints!$D$11),INDEX('Sprint N°6'!$C$9:$N$9,AD$4-Resumen_Sprints!$E$11),0)</f>
        <v>0</v>
      </c>
      <c r="AE37" s="23">
        <f t="array" ref="AE37">IF(AND(AE$4&gt;Resumen_Sprints!$E$11,AE$4&lt;=Resumen_Sprints!$E$11+Resumen_Sprints!$D$11),INDEX('Sprint N°6'!$C$9:$N$9,AE$4-Resumen_Sprints!$E$11),0)</f>
        <v>0</v>
      </c>
      <c r="AF37" s="23">
        <f t="array" ref="AF37">IF(AND(AF$4&gt;Resumen_Sprints!$E$11,AF$4&lt;=Resumen_Sprints!$E$11+Resumen_Sprints!$D$11),INDEX('Sprint N°6'!$C$9:$N$9,AF$4-Resumen_Sprints!$E$11),0)</f>
        <v>0</v>
      </c>
      <c r="AG37" s="23">
        <f t="array" ref="AG37">IF(AND(AG$4&gt;Resumen_Sprints!$E$11,AG$4&lt;=Resumen_Sprints!$E$11+Resumen_Sprints!$D$11),INDEX('Sprint N°6'!$C$9:$N$9,AG$4-Resumen_Sprints!$E$11),0)</f>
        <v>0</v>
      </c>
      <c r="AH37" s="23">
        <f t="array" ref="AH37">IF(AND(AH$4&gt;Resumen_Sprints!$E$11,AH$4&lt;=Resumen_Sprints!$E$11+Resumen_Sprints!$D$11),INDEX('Sprint N°6'!$C$9:$N$9,AH$4-Resumen_Sprints!$E$11),0)</f>
        <v>0</v>
      </c>
      <c r="AI37" s="23">
        <f t="array" ref="AI37">IF(AND(AI$4&gt;Resumen_Sprints!$E$11,AI$4&lt;=Resumen_Sprints!$E$11+Resumen_Sprints!$D$11),INDEX('Sprint N°6'!$C$9:$N$9,AI$4-Resumen_Sprints!$E$11),0)</f>
        <v>0</v>
      </c>
      <c r="AJ37" s="23">
        <f t="array" ref="AJ37">IF(AND(AJ$4&gt;Resumen_Sprints!$E$11,AJ$4&lt;=Resumen_Sprints!$E$11+Resumen_Sprints!$D$11),INDEX('Sprint N°6'!$C$9:$N$9,AJ$4-Resumen_Sprints!$E$11),0)</f>
        <v>0</v>
      </c>
      <c r="AK37" s="23">
        <f t="array" ref="AK37">IF(AND(AK$4&gt;Resumen_Sprints!$E$11,AK$4&lt;=Resumen_Sprints!$E$11+Resumen_Sprints!$D$11),INDEX('Sprint N°6'!$C$9:$N$9,AK$4-Resumen_Sprints!$E$11),0)</f>
        <v>0</v>
      </c>
      <c r="AL37" s="23">
        <f t="array" ref="AL37">IF(AND(AL$4&gt;Resumen_Sprints!$E$11,AL$4&lt;=Resumen_Sprints!$E$11+Resumen_Sprints!$D$11),INDEX('Sprint N°6'!$C$9:$N$9,AL$4-Resumen_Sprints!$E$11),0)</f>
        <v>0</v>
      </c>
      <c r="AM37" s="23">
        <f t="array" ref="AM37">IF(AND(AM$4&gt;Resumen_Sprints!$E$11,AM$4&lt;=Resumen_Sprints!$E$11+Resumen_Sprints!$D$11),INDEX('Sprint N°6'!$C$9:$N$9,AM$4-Resumen_Sprints!$E$11),0)</f>
        <v>0</v>
      </c>
      <c r="AN37" s="23">
        <f t="array" ref="AN37">IF(AND(AN$4&gt;Resumen_Sprints!$E$11,AN$4&lt;=Resumen_Sprints!$E$11+Resumen_Sprints!$D$11),INDEX('Sprint N°6'!$C$9:$N$9,AN$4-Resumen_Sprints!$E$11),0)</f>
        <v>0</v>
      </c>
      <c r="AO37" s="23">
        <f t="array" ref="AO37">IF(AND(AO$4&gt;Resumen_Sprints!$E$11,AO$4&lt;=Resumen_Sprints!$E$11+Resumen_Sprints!$D$11),INDEX('Sprint N°6'!$C$9:$N$9,AO$4-Resumen_Sprints!$E$11),0)</f>
        <v>0</v>
      </c>
      <c r="AP37" s="23">
        <f t="array" ref="AP37">IF(AND(AP$4&gt;Resumen_Sprints!$E$11,AP$4&lt;=Resumen_Sprints!$E$11+Resumen_Sprints!$D$11),INDEX('Sprint N°6'!$C$9:$N$9,AP$4-Resumen_Sprints!$E$11),0)</f>
        <v>0</v>
      </c>
      <c r="AQ37" s="23">
        <f t="array" ref="AQ37">IF(AND(AQ$4&gt;Resumen_Sprints!$E$11,AQ$4&lt;=Resumen_Sprints!$E$11+Resumen_Sprints!$D$11),INDEX('Sprint N°6'!$C$9:$N$9,AQ$4-Resumen_Sprints!$E$11),0)</f>
        <v>0</v>
      </c>
      <c r="AR37" s="23">
        <f t="array" ref="AR37">IF(AND(AR$4&gt;Resumen_Sprints!$E$11,AR$4&lt;=Resumen_Sprints!$E$11+Resumen_Sprints!$D$11),INDEX('Sprint N°6'!$C$9:$N$9,AR$4-Resumen_Sprints!$E$11),0)</f>
        <v>0</v>
      </c>
      <c r="AS37" s="23">
        <f t="array" ref="AS37">IF(AND(AS$4&gt;Resumen_Sprints!$E$11,AS$4&lt;=Resumen_Sprints!$E$11+Resumen_Sprints!$D$11),INDEX('Sprint N°6'!$C$9:$N$9,AS$4-Resumen_Sprints!$E$11),0)</f>
        <v>0</v>
      </c>
      <c r="AT37" s="23">
        <f t="array" ref="AT37">IF(AND(AT$4&gt;Resumen_Sprints!$E$11,AT$4&lt;=Resumen_Sprints!$E$11+Resumen_Sprints!$D$11),INDEX('Sprint N°6'!$C$9:$N$9,AT$4-Resumen_Sprints!$E$11),0)</f>
        <v>0</v>
      </c>
      <c r="AU37" s="23">
        <f t="array" ref="AU37">IF(AND(AU$4&gt;Resumen_Sprints!$E$11,AU$4&lt;=Resumen_Sprints!$E$11+Resumen_Sprints!$D$11),INDEX('Sprint N°6'!$C$9:$N$9,AU$4-Resumen_Sprints!$E$11),0)</f>
        <v>0</v>
      </c>
      <c r="AV37" s="23">
        <f t="array" ref="AV37">IF(AND(AV$4&gt;Resumen_Sprints!$E$11,AV$4&lt;=Resumen_Sprints!$E$11+Resumen_Sprints!$D$11),INDEX('Sprint N°6'!$C$9:$N$9,AV$4-Resumen_Sprints!$E$11),0)</f>
        <v>0</v>
      </c>
      <c r="AW37" s="23">
        <f t="array" ref="AW37">IF(AND(AW$4&gt;Resumen_Sprints!$E$11,AW$4&lt;=Resumen_Sprints!$E$11+Resumen_Sprints!$D$11),INDEX('Sprint N°6'!$C$9:$N$9,AW$4-Resumen_Sprints!$E$11),0)</f>
        <v>0</v>
      </c>
      <c r="AX37" s="23">
        <f t="array" ref="AX37">IF(AND(AX$4&gt;Resumen_Sprints!$E$11,AX$4&lt;=Resumen_Sprints!$E$11+Resumen_Sprints!$D$11),INDEX('Sprint N°6'!$C$9:$N$9,AX$4-Resumen_Sprints!$E$11),0)</f>
        <v>0</v>
      </c>
      <c r="AY37" s="23">
        <f t="array" ref="AY37">IF(AND(AY$4&gt;Resumen_Sprints!$E$11,AY$4&lt;=Resumen_Sprints!$E$11+Resumen_Sprints!$D$11),INDEX('Sprint N°6'!$C$9:$N$9,AY$4-Resumen_Sprints!$E$11),0)</f>
        <v>0</v>
      </c>
      <c r="AZ37" s="23">
        <f t="array" ref="AZ37">IF(AND(AZ$4&gt;Resumen_Sprints!$E$11,AZ$4&lt;=Resumen_Sprints!$E$11+Resumen_Sprints!$D$11),INDEX('Sprint N°6'!$C$9:$N$9,AZ$4-Resumen_Sprints!$E$11),0)</f>
        <v>0</v>
      </c>
      <c r="BA37" s="23">
        <f t="array" ref="BA37">IF(AND(BA$4&gt;Resumen_Sprints!$E$11,BA$4&lt;=Resumen_Sprints!$E$11+Resumen_Sprints!$D$11),INDEX('Sprint N°6'!$C$9:$N$9,BA$4-Resumen_Sprints!$E$11),0)</f>
        <v>0</v>
      </c>
      <c r="BB37" s="23">
        <f t="array" ref="BB37">IF(AND(BB$4&gt;Resumen_Sprints!$E$11,BB$4&lt;=Resumen_Sprints!$E$11+Resumen_Sprints!$D$11),INDEX('Sprint N°6'!$C$9:$N$9,BB$4-Resumen_Sprints!$E$11),0)</f>
        <v>0</v>
      </c>
      <c r="BC37" s="23">
        <f t="array" ref="BC37">IF(AND(BC$4&gt;Resumen_Sprints!$E$11,BC$4&lt;=Resumen_Sprints!$E$11+Resumen_Sprints!$D$11),INDEX('Sprint N°6'!$C$9:$N$9,BC$4-Resumen_Sprints!$E$11),0)</f>
        <v>0</v>
      </c>
      <c r="BD37" s="23">
        <f t="array" ref="BD37">IF(AND(BD$4&gt;Resumen_Sprints!$E$11,BD$4&lt;=Resumen_Sprints!$E$11+Resumen_Sprints!$D$11),INDEX('Sprint N°6'!$C$9:$N$9,BD$4-Resumen_Sprints!$E$11),0)</f>
        <v>0</v>
      </c>
      <c r="BE37" s="23">
        <f t="array" ref="BE37">IF(AND(BE$4&gt;Resumen_Sprints!$E$11,BE$4&lt;=Resumen_Sprints!$E$11+Resumen_Sprints!$D$11),INDEX('Sprint N°6'!$C$9:$N$9,BE$4-Resumen_Sprints!$E$11),0)</f>
        <v>0</v>
      </c>
      <c r="BF37" s="23">
        <f t="array" ref="BF37">IF(AND(BF$4&gt;Resumen_Sprints!$E$11,BF$4&lt;=Resumen_Sprints!$E$11+Resumen_Sprints!$D$11),INDEX('Sprint N°6'!$C$9:$N$9,BF$4-Resumen_Sprints!$E$11),0)</f>
        <v>0</v>
      </c>
      <c r="BG37" s="23">
        <f t="array" ref="BG37">IF(AND(BG$4&gt;Resumen_Sprints!$E$11,BG$4&lt;=Resumen_Sprints!$E$11+Resumen_Sprints!$D$11),INDEX('Sprint N°6'!$C$9:$N$9,BG$4-Resumen_Sprints!$E$11),0)</f>
        <v>0</v>
      </c>
      <c r="BH37" s="23" t="str">
        <f t="array" ref="BH37">IF(AND(BH$4&gt;Resumen_Sprints!$E$11,BH$4&lt;=Resumen_Sprints!$E$11+Resumen_Sprints!$D$11),INDEX('Sprint N°6'!$C$9:$N$9,BH$4-Resumen_Sprints!$E$11),0)</f>
        <v/>
      </c>
      <c r="BI37" s="23" t="str">
        <f t="array" ref="BI37">IF(AND(BI$4&gt;Resumen_Sprints!$E$11,BI$4&lt;=Resumen_Sprints!$E$11+Resumen_Sprints!$D$11),INDEX('Sprint N°6'!$C$9:$N$9,BI$4-Resumen_Sprints!$E$11),0)</f>
        <v/>
      </c>
      <c r="BJ37" s="23" t="str">
        <f t="array" ref="BJ37">IF(AND(BJ$4&gt;Resumen_Sprints!$E$11,BJ$4&lt;=Resumen_Sprints!$E$11+Resumen_Sprints!$D$11),INDEX('Sprint N°6'!$C$9:$N$9,BJ$4-Resumen_Sprints!$E$11),0)</f>
        <v/>
      </c>
      <c r="BK37" s="23">
        <f t="array" ref="BK37">IF(AND(BK$4&gt;Resumen_Sprints!$E$11,BK$4&lt;=Resumen_Sprints!$E$11+Resumen_Sprints!$D$11),INDEX('Sprint N°6'!$C$9:$N$9,BK$4-Resumen_Sprints!$E$11),0)</f>
        <v>10</v>
      </c>
      <c r="BL37" s="23">
        <f t="array" ref="BL37">IF(AND(BL$4&gt;Resumen_Sprints!$E$11,BL$4&lt;=Resumen_Sprints!$E$11+Resumen_Sprints!$D$11),INDEX('Sprint N°6'!$C$9:$N$9,BL$4-Resumen_Sprints!$E$11),0)</f>
        <v>12</v>
      </c>
      <c r="BM37" s="23">
        <f t="array" ref="BM37">IF(AND(BM$4&gt;Resumen_Sprints!$E$11,BM$4&lt;=Resumen_Sprints!$E$11+Resumen_Sprints!$D$11),INDEX('Sprint N°6'!$C$9:$N$9,BM$4-Resumen_Sprints!$E$11),0)</f>
        <v>6</v>
      </c>
      <c r="BN37" s="23">
        <f t="array" ref="BN37">IF(AND(BN$4&gt;Resumen_Sprints!$E$11,BN$4&lt;=Resumen_Sprints!$E$11+Resumen_Sprints!$D$11),INDEX('Sprint N°6'!$C$9:$N$9,BN$4-Resumen_Sprints!$E$11),0)</f>
        <v>10</v>
      </c>
      <c r="BO37" s="23" t="str">
        <f t="array" ref="BO37">IF(AND(BO$4&gt;Resumen_Sprints!$E$11,BO$4&lt;=Resumen_Sprints!$E$11+Resumen_Sprints!$D$11),INDEX('Sprint N°6'!$C$9:$N$9,BO$4-Resumen_Sprints!$E$11),0)</f>
        <v/>
      </c>
      <c r="BP37" s="23" t="str">
        <f t="array" ref="BP37">IF(AND(BP$4&gt;Resumen_Sprints!$E$11,BP$4&lt;=Resumen_Sprints!$E$11+Resumen_Sprints!$D$11),INDEX('Sprint N°6'!$C$9:$N$9,BP$4-Resumen_Sprints!$E$11),0)</f>
        <v/>
      </c>
      <c r="BQ37" s="23" t="str">
        <f t="array" ref="BQ37">IF(AND(BQ$4&gt;Resumen_Sprints!$E$11,BQ$4&lt;=Resumen_Sprints!$E$11+Resumen_Sprints!$D$11),INDEX('Sprint N°6'!$C$9:$N$9,BQ$4-Resumen_Sprints!$E$11),0)</f>
        <v/>
      </c>
      <c r="BR37" s="23" t="str">
        <f t="array" ref="BR37">IF(AND(BR$4&gt;Resumen_Sprints!$E$11,BR$4&lt;=Resumen_Sprints!$E$11+Resumen_Sprints!$D$11),INDEX('Sprint N°6'!$C$9:$N$9,BR$4-Resumen_Sprints!$E$11),0)</f>
        <v/>
      </c>
      <c r="BS37" s="23" t="str">
        <f t="array" ref="BS37">IF(AND(BS$4&gt;Resumen_Sprints!$E$11,BS$4&lt;=Resumen_Sprints!$E$11+Resumen_Sprints!$D$11),INDEX('Sprint N°6'!$C$9:$N$9,BS$4-Resumen_Sprints!$E$11),0)</f>
        <v/>
      </c>
      <c r="BT37" s="23">
        <f t="array" ref="BT37">IF(AND(BT$4&gt;Resumen_Sprints!$E$11,BT$4&lt;=Resumen_Sprints!$E$11+Resumen_Sprints!$D$11),INDEX('Sprint N°6'!$C$9:$N$9,BT$4-Resumen_Sprints!$E$11),0)</f>
        <v>0</v>
      </c>
      <c r="BU37" s="23">
        <f t="array" ref="BU37">IF(AND(BU$4&gt;Resumen_Sprints!$E$11,BU$4&lt;=Resumen_Sprints!$E$11+Resumen_Sprints!$D$11),INDEX('Sprint N°6'!$C$9:$N$9,BU$4-Resumen_Sprints!$E$11),0)</f>
        <v>0</v>
      </c>
      <c r="BV37" s="23">
        <f t="array" ref="BV37">IF(AND(BV$4&gt;Resumen_Sprints!$E$11,BV$4&lt;=Resumen_Sprints!$E$11+Resumen_Sprints!$D$11),INDEX('Sprint N°6'!$C$9:$N$9,BV$4-Resumen_Sprints!$E$11),0)</f>
        <v>0</v>
      </c>
      <c r="BW37" s="23">
        <f t="array" ref="BW37">IF(AND(BW$4&gt;Resumen_Sprints!$E$11,BW$4&lt;=Resumen_Sprints!$E$11+Resumen_Sprints!$D$11),INDEX('Sprint N°6'!$C$9:$N$9,BW$4-Resumen_Sprints!$E$11),0)</f>
        <v>0</v>
      </c>
      <c r="BX37" s="23">
        <f t="array" ref="BX37">IF(AND(BX$4&gt;Resumen_Sprints!$E$11,BX$4&lt;=Resumen_Sprints!$E$11+Resumen_Sprints!$D$11),INDEX('Sprint N°6'!$C$9:$N$9,BX$4-Resumen_Sprints!$E$11),0)</f>
        <v>0</v>
      </c>
      <c r="BY37" s="23">
        <f t="array" ref="BY37">IF(AND(BY$4&gt;Resumen_Sprints!$E$11,BY$4&lt;=Resumen_Sprints!$E$11+Resumen_Sprints!$D$11),INDEX('Sprint N°6'!$C$9:$N$9,BY$4-Resumen_Sprints!$E$11),0)</f>
        <v>0</v>
      </c>
      <c r="BZ37" s="23">
        <f t="array" ref="BZ37">IF(AND(BZ$4&gt;Resumen_Sprints!$E$11,BZ$4&lt;=Resumen_Sprints!$E$11+Resumen_Sprints!$D$11),INDEX('Sprint N°6'!$C$9:$N$9,BZ$4-Resumen_Sprints!$E$11),0)</f>
        <v>0</v>
      </c>
      <c r="CA37" s="23">
        <f t="array" ref="CA37">IF(AND(CA$4&gt;Resumen_Sprints!$E$11,CA$4&lt;=Resumen_Sprints!$E$11+Resumen_Sprints!$D$11),INDEX('Sprint N°6'!$C$9:$N$9,CA$4-Resumen_Sprints!$E$11),0)</f>
        <v>0</v>
      </c>
      <c r="CB37" s="23">
        <f t="array" ref="CB37">IF(AND(CB$4&gt;Resumen_Sprints!$E$11,CB$4&lt;=Resumen_Sprints!$E$11+Resumen_Sprints!$D$11),INDEX('Sprint N°6'!$C$9:$N$9,CB$4-Resumen_Sprints!$E$11),0)</f>
        <v>0</v>
      </c>
      <c r="CC37" s="23">
        <f t="array" ref="CC37">IF(AND(CC$4&gt;Resumen_Sprints!$E$11,CC$4&lt;=Resumen_Sprints!$E$11+Resumen_Sprints!$D$11),INDEX('Sprint N°6'!$C$9:$N$9,CC$4-Resumen_Sprints!$E$11),0)</f>
        <v>0</v>
      </c>
      <c r="CD37" s="23">
        <f t="array" ref="CD37">IF(AND(CD$4&gt;Resumen_Sprints!$E$11,CD$4&lt;=Resumen_Sprints!$E$11+Resumen_Sprints!$D$11),INDEX('Sprint N°6'!$C$9:$N$9,CD$4-Resumen_Sprints!$E$11),0)</f>
        <v>0</v>
      </c>
      <c r="CE37" s="23">
        <f t="array" ref="CE37">IF(AND(CE$4&gt;Resumen_Sprints!$E$11,CE$4&lt;=Resumen_Sprints!$E$11+Resumen_Sprints!$D$11),INDEX('Sprint N°6'!$C$9:$N$9,CE$4-Resumen_Sprints!$E$11),0)</f>
        <v>0</v>
      </c>
      <c r="CF37" s="23">
        <f t="array" ref="CF37">IF(AND(CF$4&gt;Resumen_Sprints!$E$11,CF$4&lt;=Resumen_Sprints!$E$11+Resumen_Sprints!$D$11),INDEX('Sprint N°6'!$C$9:$N$9,CF$4-Resumen_Sprints!$E$11),0)</f>
        <v>0</v>
      </c>
      <c r="CG37" s="23">
        <f t="array" ref="CG37">IF(AND(CG$4&gt;Resumen_Sprints!$E$11,CG$4&lt;=Resumen_Sprints!$E$11+Resumen_Sprints!$D$11),INDEX('Sprint N°6'!$C$9:$N$9,CG$4-Resumen_Sprints!$E$11),0)</f>
        <v>0</v>
      </c>
      <c r="CH37" s="23">
        <f t="array" ref="CH37">IF(AND(CH$4&gt;Resumen_Sprints!$E$11,CH$4&lt;=Resumen_Sprints!$E$11+Resumen_Sprints!$D$11),INDEX('Sprint N°6'!$C$9:$N$9,CH$4-Resumen_Sprints!$E$11),0)</f>
        <v>0</v>
      </c>
      <c r="CI37" s="23">
        <f t="array" ref="CI37">IF(AND(CI$4&gt;Resumen_Sprints!$E$11,CI$4&lt;=Resumen_Sprints!$E$11+Resumen_Sprints!$D$11),INDEX('Sprint N°6'!$C$9:$N$9,CI$4-Resumen_Sprints!$E$11),0)</f>
        <v>0</v>
      </c>
      <c r="CJ37" s="23">
        <f t="array" ref="CJ37">IF(AND(CJ$4&gt;Resumen_Sprints!$E$11,CJ$4&lt;=Resumen_Sprints!$E$11+Resumen_Sprints!$D$11),INDEX('Sprint N°6'!$C$9:$N$9,CJ$4-Resumen_Sprints!$E$11),0)</f>
        <v>0</v>
      </c>
      <c r="CK37" s="23">
        <f t="array" ref="CK37">IF(AND(CK$4&gt;Resumen_Sprints!$E$11,CK$4&lt;=Resumen_Sprints!$E$11+Resumen_Sprints!$D$11),INDEX('Sprint N°6'!$C$9:$N$9,CK$4-Resumen_Sprints!$E$11),0)</f>
        <v>0</v>
      </c>
      <c r="CL37" s="23">
        <f t="array" ref="CL37">IF(AND(CL$4&gt;Resumen_Sprints!$E$11,CL$4&lt;=Resumen_Sprints!$E$11+Resumen_Sprints!$D$11),INDEX('Sprint N°6'!$C$9:$N$9,CL$4-Resumen_Sprints!$E$11),0)</f>
        <v>0</v>
      </c>
      <c r="CM37" s="23">
        <f t="array" ref="CM37">IF(AND(CM$4&gt;Resumen_Sprints!$E$11,CM$4&lt;=Resumen_Sprints!$E$11+Resumen_Sprints!$D$11),INDEX('Sprint N°6'!$C$9:$N$9,CM$4-Resumen_Sprints!$E$11),0)</f>
        <v>0</v>
      </c>
      <c r="CN37" s="23">
        <f t="array" ref="CN37">IF(AND(CN$4&gt;Resumen_Sprints!$E$11,CN$4&lt;=Resumen_Sprints!$E$11+Resumen_Sprints!$D$11),INDEX('Sprint N°6'!$C$9:$N$9,CN$4-Resumen_Sprints!$E$11),0)</f>
        <v>0</v>
      </c>
      <c r="CO37" s="23">
        <f t="array" ref="CO37">IF(AND(CO$4&gt;Resumen_Sprints!$E$11,CO$4&lt;=Resumen_Sprints!$E$11+Resumen_Sprints!$D$11),INDEX('Sprint N°6'!$C$9:$N$9,CO$4-Resumen_Sprints!$E$11),0)</f>
        <v>0</v>
      </c>
      <c r="CP37" s="23">
        <f t="array" ref="CP37">IF(AND(CP$4&gt;Resumen_Sprints!$E$11,CP$4&lt;=Resumen_Sprints!$E$11+Resumen_Sprints!$D$11),INDEX('Sprint N°6'!$C$9:$N$9,CP$4-Resumen_Sprints!$E$11),0)</f>
        <v>0</v>
      </c>
      <c r="CQ37" s="23">
        <f t="array" ref="CQ37">IF(AND(CQ$4&gt;Resumen_Sprints!$E$11,CQ$4&lt;=Resumen_Sprints!$E$11+Resumen_Sprints!$D$11),INDEX('Sprint N°6'!$C$9:$N$9,CQ$4-Resumen_Sprints!$E$11),0)</f>
        <v>0</v>
      </c>
      <c r="CR37" s="23">
        <f t="array" ref="CR37">IF(AND(CR$4&gt;Resumen_Sprints!$E$11,CR$4&lt;=Resumen_Sprints!$E$11+Resumen_Sprints!$D$11),INDEX('Sprint N°6'!$C$9:$N$9,CR$4-Resumen_Sprints!$E$11),0)</f>
        <v>0</v>
      </c>
      <c r="CS37" s="23">
        <f t="array" ref="CS37">IF(AND(CS$4&gt;Resumen_Sprints!$E$11,CS$4&lt;=Resumen_Sprints!$E$11+Resumen_Sprints!$D$11),INDEX('Sprint N°6'!$C$9:$N$9,CS$4-Resumen_Sprints!$E$11),0)</f>
        <v>0</v>
      </c>
      <c r="CT37" s="23">
        <f t="array" ref="CT37">IF(AND(CT$4&gt;Resumen_Sprints!$E$11,CT$4&lt;=Resumen_Sprints!$E$11+Resumen_Sprints!$D$11),INDEX('Sprint N°6'!$C$9:$N$9,CT$4-Resumen_Sprints!$E$11),0)</f>
        <v>0</v>
      </c>
      <c r="CU37" s="25">
        <f t="shared" si="6"/>
        <v>38</v>
      </c>
    </row>
    <row r="38" ht="14.25" customHeight="1">
      <c r="A38" s="11" t="str">
        <f>'Sprint N°6'!A10</f>
        <v>Ceremonias Scrum (Planning, Review, Retrospectiva; en paralelo)</v>
      </c>
      <c r="B38" s="11">
        <f>'Sprint N°6'!B10</f>
        <v>61</v>
      </c>
      <c r="C38" s="23">
        <f t="array" ref="C38">IF(AND(C$4&gt;Resumen_Sprints!$E$11,C$4&lt;=Resumen_Sprints!$E$11+Resumen_Sprints!$D$11),INDEX('Sprint N°6'!$C$10:$N$10,C$4-Resumen_Sprints!$E$11),0)</f>
        <v>0</v>
      </c>
      <c r="D38" s="23">
        <f t="array" ref="D38">IF(AND(D$4&gt;Resumen_Sprints!$E$11,D$4&lt;=Resumen_Sprints!$E$11+Resumen_Sprints!$D$11),INDEX('Sprint N°6'!$C$10:$N$10,D$4-Resumen_Sprints!$E$11),0)</f>
        <v>0</v>
      </c>
      <c r="E38" s="23">
        <f t="array" ref="E38">IF(AND(E$4&gt;Resumen_Sprints!$E$11,E$4&lt;=Resumen_Sprints!$E$11+Resumen_Sprints!$D$11),INDEX('Sprint N°6'!$C$10:$N$10,E$4-Resumen_Sprints!$E$11),0)</f>
        <v>0</v>
      </c>
      <c r="F38" s="23">
        <f t="array" ref="F38">IF(AND(F$4&gt;Resumen_Sprints!$E$11,F$4&lt;=Resumen_Sprints!$E$11+Resumen_Sprints!$D$11),INDEX('Sprint N°6'!$C$10:$N$10,F$4-Resumen_Sprints!$E$11),0)</f>
        <v>0</v>
      </c>
      <c r="G38" s="23">
        <f t="array" ref="G38">IF(AND(G$4&gt;Resumen_Sprints!$E$11,G$4&lt;=Resumen_Sprints!$E$11+Resumen_Sprints!$D$11),INDEX('Sprint N°6'!$C$10:$N$10,G$4-Resumen_Sprints!$E$11),0)</f>
        <v>0</v>
      </c>
      <c r="H38" s="23">
        <f t="array" ref="H38">IF(AND(H$4&gt;Resumen_Sprints!$E$11,H$4&lt;=Resumen_Sprints!$E$11+Resumen_Sprints!$D$11),INDEX('Sprint N°6'!$C$10:$N$10,H$4-Resumen_Sprints!$E$11),0)</f>
        <v>0</v>
      </c>
      <c r="I38" s="23">
        <f t="array" ref="I38">IF(AND(I$4&gt;Resumen_Sprints!$E$11,I$4&lt;=Resumen_Sprints!$E$11+Resumen_Sprints!$D$11),INDEX('Sprint N°6'!$C$10:$N$10,I$4-Resumen_Sprints!$E$11),0)</f>
        <v>0</v>
      </c>
      <c r="J38" s="23">
        <f t="array" ref="J38">IF(AND(J$4&gt;Resumen_Sprints!$E$11,J$4&lt;=Resumen_Sprints!$E$11+Resumen_Sprints!$D$11),INDEX('Sprint N°6'!$C$10:$N$10,J$4-Resumen_Sprints!$E$11),0)</f>
        <v>0</v>
      </c>
      <c r="K38" s="23">
        <f t="array" ref="K38">IF(AND(K$4&gt;Resumen_Sprints!$E$11,K$4&lt;=Resumen_Sprints!$E$11+Resumen_Sprints!$D$11),INDEX('Sprint N°6'!$C$10:$N$10,K$4-Resumen_Sprints!$E$11),0)</f>
        <v>0</v>
      </c>
      <c r="L38" s="23">
        <f t="array" ref="L38">IF(AND(L$4&gt;Resumen_Sprints!$E$11,L$4&lt;=Resumen_Sprints!$E$11+Resumen_Sprints!$D$11),INDEX('Sprint N°6'!$C$10:$N$10,L$4-Resumen_Sprints!$E$11),0)</f>
        <v>0</v>
      </c>
      <c r="M38" s="23">
        <f t="array" ref="M38">IF(AND(M$4&gt;Resumen_Sprints!$E$11,M$4&lt;=Resumen_Sprints!$E$11+Resumen_Sprints!$D$11),INDEX('Sprint N°6'!$C$10:$N$10,M$4-Resumen_Sprints!$E$11),0)</f>
        <v>0</v>
      </c>
      <c r="N38" s="23">
        <f t="array" ref="N38">IF(AND(N$4&gt;Resumen_Sprints!$E$11,N$4&lt;=Resumen_Sprints!$E$11+Resumen_Sprints!$D$11),INDEX('Sprint N°6'!$C$10:$N$10,N$4-Resumen_Sprints!$E$11),0)</f>
        <v>0</v>
      </c>
      <c r="O38" s="23">
        <f t="array" ref="O38">IF(AND(O$4&gt;Resumen_Sprints!$E$11,O$4&lt;=Resumen_Sprints!$E$11+Resumen_Sprints!$D$11),INDEX('Sprint N°6'!$C$10:$N$10,O$4-Resumen_Sprints!$E$11),0)</f>
        <v>0</v>
      </c>
      <c r="P38" s="23">
        <f t="array" ref="P38">IF(AND(P$4&gt;Resumen_Sprints!$E$11,P$4&lt;=Resumen_Sprints!$E$11+Resumen_Sprints!$D$11),INDEX('Sprint N°6'!$C$10:$N$10,P$4-Resumen_Sprints!$E$11),0)</f>
        <v>0</v>
      </c>
      <c r="Q38" s="23">
        <f t="array" ref="Q38">IF(AND(Q$4&gt;Resumen_Sprints!$E$11,Q$4&lt;=Resumen_Sprints!$E$11+Resumen_Sprints!$D$11),INDEX('Sprint N°6'!$C$10:$N$10,Q$4-Resumen_Sprints!$E$11),0)</f>
        <v>0</v>
      </c>
      <c r="R38" s="23">
        <f t="array" ref="R38">IF(AND(R$4&gt;Resumen_Sprints!$E$11,R$4&lt;=Resumen_Sprints!$E$11+Resumen_Sprints!$D$11),INDEX('Sprint N°6'!$C$10:$N$10,R$4-Resumen_Sprints!$E$11),0)</f>
        <v>0</v>
      </c>
      <c r="S38" s="23">
        <f t="array" ref="S38">IF(AND(S$4&gt;Resumen_Sprints!$E$11,S$4&lt;=Resumen_Sprints!$E$11+Resumen_Sprints!$D$11),INDEX('Sprint N°6'!$C$10:$N$10,S$4-Resumen_Sprints!$E$11),0)</f>
        <v>0</v>
      </c>
      <c r="T38" s="23">
        <f t="array" ref="T38">IF(AND(T$4&gt;Resumen_Sprints!$E$11,T$4&lt;=Resumen_Sprints!$E$11+Resumen_Sprints!$D$11),INDEX('Sprint N°6'!$C$10:$N$10,T$4-Resumen_Sprints!$E$11),0)</f>
        <v>0</v>
      </c>
      <c r="U38" s="23">
        <f t="array" ref="U38">IF(AND(U$4&gt;Resumen_Sprints!$E$11,U$4&lt;=Resumen_Sprints!$E$11+Resumen_Sprints!$D$11),INDEX('Sprint N°6'!$C$10:$N$10,U$4-Resumen_Sprints!$E$11),0)</f>
        <v>0</v>
      </c>
      <c r="V38" s="23">
        <f t="array" ref="V38">IF(AND(V$4&gt;Resumen_Sprints!$E$11,V$4&lt;=Resumen_Sprints!$E$11+Resumen_Sprints!$D$11),INDEX('Sprint N°6'!$C$10:$N$10,V$4-Resumen_Sprints!$E$11),0)</f>
        <v>0</v>
      </c>
      <c r="W38" s="23">
        <f t="array" ref="W38">IF(AND(W$4&gt;Resumen_Sprints!$E$11,W$4&lt;=Resumen_Sprints!$E$11+Resumen_Sprints!$D$11),INDEX('Sprint N°6'!$C$10:$N$10,W$4-Resumen_Sprints!$E$11),0)</f>
        <v>0</v>
      </c>
      <c r="X38" s="23">
        <f t="array" ref="X38">IF(AND(X$4&gt;Resumen_Sprints!$E$11,X$4&lt;=Resumen_Sprints!$E$11+Resumen_Sprints!$D$11),INDEX('Sprint N°6'!$C$10:$N$10,X$4-Resumen_Sprints!$E$11),0)</f>
        <v>0</v>
      </c>
      <c r="Y38" s="23">
        <f t="array" ref="Y38">IF(AND(Y$4&gt;Resumen_Sprints!$E$11,Y$4&lt;=Resumen_Sprints!$E$11+Resumen_Sprints!$D$11),INDEX('Sprint N°6'!$C$10:$N$10,Y$4-Resumen_Sprints!$E$11),0)</f>
        <v>0</v>
      </c>
      <c r="Z38" s="23">
        <f t="array" ref="Z38">IF(AND(Z$4&gt;Resumen_Sprints!$E$11,Z$4&lt;=Resumen_Sprints!$E$11+Resumen_Sprints!$D$11),INDEX('Sprint N°6'!$C$10:$N$10,Z$4-Resumen_Sprints!$E$11),0)</f>
        <v>0</v>
      </c>
      <c r="AA38" s="23">
        <f t="array" ref="AA38">IF(AND(AA$4&gt;Resumen_Sprints!$E$11,AA$4&lt;=Resumen_Sprints!$E$11+Resumen_Sprints!$D$11),INDEX('Sprint N°6'!$C$10:$N$10,AA$4-Resumen_Sprints!$E$11),0)</f>
        <v>0</v>
      </c>
      <c r="AB38" s="23">
        <f t="array" ref="AB38">IF(AND(AB$4&gt;Resumen_Sprints!$E$11,AB$4&lt;=Resumen_Sprints!$E$11+Resumen_Sprints!$D$11),INDEX('Sprint N°6'!$C$10:$N$10,AB$4-Resumen_Sprints!$E$11),0)</f>
        <v>0</v>
      </c>
      <c r="AC38" s="23">
        <f t="array" ref="AC38">IF(AND(AC$4&gt;Resumen_Sprints!$E$11,AC$4&lt;=Resumen_Sprints!$E$11+Resumen_Sprints!$D$11),INDEX('Sprint N°6'!$C$10:$N$10,AC$4-Resumen_Sprints!$E$11),0)</f>
        <v>0</v>
      </c>
      <c r="AD38" s="23">
        <f t="array" ref="AD38">IF(AND(AD$4&gt;Resumen_Sprints!$E$11,AD$4&lt;=Resumen_Sprints!$E$11+Resumen_Sprints!$D$11),INDEX('Sprint N°6'!$C$10:$N$10,AD$4-Resumen_Sprints!$E$11),0)</f>
        <v>0</v>
      </c>
      <c r="AE38" s="23">
        <f t="array" ref="AE38">IF(AND(AE$4&gt;Resumen_Sprints!$E$11,AE$4&lt;=Resumen_Sprints!$E$11+Resumen_Sprints!$D$11),INDEX('Sprint N°6'!$C$10:$N$10,AE$4-Resumen_Sprints!$E$11),0)</f>
        <v>0</v>
      </c>
      <c r="AF38" s="23">
        <f t="array" ref="AF38">IF(AND(AF$4&gt;Resumen_Sprints!$E$11,AF$4&lt;=Resumen_Sprints!$E$11+Resumen_Sprints!$D$11),INDEX('Sprint N°6'!$C$10:$N$10,AF$4-Resumen_Sprints!$E$11),0)</f>
        <v>0</v>
      </c>
      <c r="AG38" s="23">
        <f t="array" ref="AG38">IF(AND(AG$4&gt;Resumen_Sprints!$E$11,AG$4&lt;=Resumen_Sprints!$E$11+Resumen_Sprints!$D$11),INDEX('Sprint N°6'!$C$10:$N$10,AG$4-Resumen_Sprints!$E$11),0)</f>
        <v>0</v>
      </c>
      <c r="AH38" s="23">
        <f t="array" ref="AH38">IF(AND(AH$4&gt;Resumen_Sprints!$E$11,AH$4&lt;=Resumen_Sprints!$E$11+Resumen_Sprints!$D$11),INDEX('Sprint N°6'!$C$10:$N$10,AH$4-Resumen_Sprints!$E$11),0)</f>
        <v>0</v>
      </c>
      <c r="AI38" s="23">
        <f t="array" ref="AI38">IF(AND(AI$4&gt;Resumen_Sprints!$E$11,AI$4&lt;=Resumen_Sprints!$E$11+Resumen_Sprints!$D$11),INDEX('Sprint N°6'!$C$10:$N$10,AI$4-Resumen_Sprints!$E$11),0)</f>
        <v>0</v>
      </c>
      <c r="AJ38" s="23">
        <f t="array" ref="AJ38">IF(AND(AJ$4&gt;Resumen_Sprints!$E$11,AJ$4&lt;=Resumen_Sprints!$E$11+Resumen_Sprints!$D$11),INDEX('Sprint N°6'!$C$10:$N$10,AJ$4-Resumen_Sprints!$E$11),0)</f>
        <v>0</v>
      </c>
      <c r="AK38" s="23">
        <f t="array" ref="AK38">IF(AND(AK$4&gt;Resumen_Sprints!$E$11,AK$4&lt;=Resumen_Sprints!$E$11+Resumen_Sprints!$D$11),INDEX('Sprint N°6'!$C$10:$N$10,AK$4-Resumen_Sprints!$E$11),0)</f>
        <v>0</v>
      </c>
      <c r="AL38" s="23">
        <f t="array" ref="AL38">IF(AND(AL$4&gt;Resumen_Sprints!$E$11,AL$4&lt;=Resumen_Sprints!$E$11+Resumen_Sprints!$D$11),INDEX('Sprint N°6'!$C$10:$N$10,AL$4-Resumen_Sprints!$E$11),0)</f>
        <v>0</v>
      </c>
      <c r="AM38" s="23">
        <f t="array" ref="AM38">IF(AND(AM$4&gt;Resumen_Sprints!$E$11,AM$4&lt;=Resumen_Sprints!$E$11+Resumen_Sprints!$D$11),INDEX('Sprint N°6'!$C$10:$N$10,AM$4-Resumen_Sprints!$E$11),0)</f>
        <v>0</v>
      </c>
      <c r="AN38" s="23">
        <f t="array" ref="AN38">IF(AND(AN$4&gt;Resumen_Sprints!$E$11,AN$4&lt;=Resumen_Sprints!$E$11+Resumen_Sprints!$D$11),INDEX('Sprint N°6'!$C$10:$N$10,AN$4-Resumen_Sprints!$E$11),0)</f>
        <v>0</v>
      </c>
      <c r="AO38" s="23">
        <f t="array" ref="AO38">IF(AND(AO$4&gt;Resumen_Sprints!$E$11,AO$4&lt;=Resumen_Sprints!$E$11+Resumen_Sprints!$D$11),INDEX('Sprint N°6'!$C$10:$N$10,AO$4-Resumen_Sprints!$E$11),0)</f>
        <v>0</v>
      </c>
      <c r="AP38" s="23">
        <f t="array" ref="AP38">IF(AND(AP$4&gt;Resumen_Sprints!$E$11,AP$4&lt;=Resumen_Sprints!$E$11+Resumen_Sprints!$D$11),INDEX('Sprint N°6'!$C$10:$N$10,AP$4-Resumen_Sprints!$E$11),0)</f>
        <v>0</v>
      </c>
      <c r="AQ38" s="23">
        <f t="array" ref="AQ38">IF(AND(AQ$4&gt;Resumen_Sprints!$E$11,AQ$4&lt;=Resumen_Sprints!$E$11+Resumen_Sprints!$D$11),INDEX('Sprint N°6'!$C$10:$N$10,AQ$4-Resumen_Sprints!$E$11),0)</f>
        <v>0</v>
      </c>
      <c r="AR38" s="23">
        <f t="array" ref="AR38">IF(AND(AR$4&gt;Resumen_Sprints!$E$11,AR$4&lt;=Resumen_Sprints!$E$11+Resumen_Sprints!$D$11),INDEX('Sprint N°6'!$C$10:$N$10,AR$4-Resumen_Sprints!$E$11),0)</f>
        <v>0</v>
      </c>
      <c r="AS38" s="23">
        <f t="array" ref="AS38">IF(AND(AS$4&gt;Resumen_Sprints!$E$11,AS$4&lt;=Resumen_Sprints!$E$11+Resumen_Sprints!$D$11),INDEX('Sprint N°6'!$C$10:$N$10,AS$4-Resumen_Sprints!$E$11),0)</f>
        <v>0</v>
      </c>
      <c r="AT38" s="23">
        <f t="array" ref="AT38">IF(AND(AT$4&gt;Resumen_Sprints!$E$11,AT$4&lt;=Resumen_Sprints!$E$11+Resumen_Sprints!$D$11),INDEX('Sprint N°6'!$C$10:$N$10,AT$4-Resumen_Sprints!$E$11),0)</f>
        <v>0</v>
      </c>
      <c r="AU38" s="23">
        <f t="array" ref="AU38">IF(AND(AU$4&gt;Resumen_Sprints!$E$11,AU$4&lt;=Resumen_Sprints!$E$11+Resumen_Sprints!$D$11),INDEX('Sprint N°6'!$C$10:$N$10,AU$4-Resumen_Sprints!$E$11),0)</f>
        <v>0</v>
      </c>
      <c r="AV38" s="23">
        <f t="array" ref="AV38">IF(AND(AV$4&gt;Resumen_Sprints!$E$11,AV$4&lt;=Resumen_Sprints!$E$11+Resumen_Sprints!$D$11),INDEX('Sprint N°6'!$C$10:$N$10,AV$4-Resumen_Sprints!$E$11),0)</f>
        <v>0</v>
      </c>
      <c r="AW38" s="23">
        <f t="array" ref="AW38">IF(AND(AW$4&gt;Resumen_Sprints!$E$11,AW$4&lt;=Resumen_Sprints!$E$11+Resumen_Sprints!$D$11),INDEX('Sprint N°6'!$C$10:$N$10,AW$4-Resumen_Sprints!$E$11),0)</f>
        <v>0</v>
      </c>
      <c r="AX38" s="23">
        <f t="array" ref="AX38">IF(AND(AX$4&gt;Resumen_Sprints!$E$11,AX$4&lt;=Resumen_Sprints!$E$11+Resumen_Sprints!$D$11),INDEX('Sprint N°6'!$C$10:$N$10,AX$4-Resumen_Sprints!$E$11),0)</f>
        <v>0</v>
      </c>
      <c r="AY38" s="23">
        <f t="array" ref="AY38">IF(AND(AY$4&gt;Resumen_Sprints!$E$11,AY$4&lt;=Resumen_Sprints!$E$11+Resumen_Sprints!$D$11),INDEX('Sprint N°6'!$C$10:$N$10,AY$4-Resumen_Sprints!$E$11),0)</f>
        <v>0</v>
      </c>
      <c r="AZ38" s="23">
        <f t="array" ref="AZ38">IF(AND(AZ$4&gt;Resumen_Sprints!$E$11,AZ$4&lt;=Resumen_Sprints!$E$11+Resumen_Sprints!$D$11),INDEX('Sprint N°6'!$C$10:$N$10,AZ$4-Resumen_Sprints!$E$11),0)</f>
        <v>0</v>
      </c>
      <c r="BA38" s="23">
        <f t="array" ref="BA38">IF(AND(BA$4&gt;Resumen_Sprints!$E$11,BA$4&lt;=Resumen_Sprints!$E$11+Resumen_Sprints!$D$11),INDEX('Sprint N°6'!$C$10:$N$10,BA$4-Resumen_Sprints!$E$11),0)</f>
        <v>0</v>
      </c>
      <c r="BB38" s="23">
        <f t="array" ref="BB38">IF(AND(BB$4&gt;Resumen_Sprints!$E$11,BB$4&lt;=Resumen_Sprints!$E$11+Resumen_Sprints!$D$11),INDEX('Sprint N°6'!$C$10:$N$10,BB$4-Resumen_Sprints!$E$11),0)</f>
        <v>0</v>
      </c>
      <c r="BC38" s="23">
        <f t="array" ref="BC38">IF(AND(BC$4&gt;Resumen_Sprints!$E$11,BC$4&lt;=Resumen_Sprints!$E$11+Resumen_Sprints!$D$11),INDEX('Sprint N°6'!$C$10:$N$10,BC$4-Resumen_Sprints!$E$11),0)</f>
        <v>0</v>
      </c>
      <c r="BD38" s="23">
        <f t="array" ref="BD38">IF(AND(BD$4&gt;Resumen_Sprints!$E$11,BD$4&lt;=Resumen_Sprints!$E$11+Resumen_Sprints!$D$11),INDEX('Sprint N°6'!$C$10:$N$10,BD$4-Resumen_Sprints!$E$11),0)</f>
        <v>0</v>
      </c>
      <c r="BE38" s="23">
        <f t="array" ref="BE38">IF(AND(BE$4&gt;Resumen_Sprints!$E$11,BE$4&lt;=Resumen_Sprints!$E$11+Resumen_Sprints!$D$11),INDEX('Sprint N°6'!$C$10:$N$10,BE$4-Resumen_Sprints!$E$11),0)</f>
        <v>0</v>
      </c>
      <c r="BF38" s="23">
        <f t="array" ref="BF38">IF(AND(BF$4&gt;Resumen_Sprints!$E$11,BF$4&lt;=Resumen_Sprints!$E$11+Resumen_Sprints!$D$11),INDEX('Sprint N°6'!$C$10:$N$10,BF$4-Resumen_Sprints!$E$11),0)</f>
        <v>0</v>
      </c>
      <c r="BG38" s="23">
        <f t="array" ref="BG38">IF(AND(BG$4&gt;Resumen_Sprints!$E$11,BG$4&lt;=Resumen_Sprints!$E$11+Resumen_Sprints!$D$11),INDEX('Sprint N°6'!$C$10:$N$10,BG$4-Resumen_Sprints!$E$11),0)</f>
        <v>0</v>
      </c>
      <c r="BH38" s="23" t="str">
        <f t="array" ref="BH38">IF(AND(BH$4&gt;Resumen_Sprints!$E$11,BH$4&lt;=Resumen_Sprints!$E$11+Resumen_Sprints!$D$11),INDEX('Sprint N°6'!$C$10:$N$10,BH$4-Resumen_Sprints!$E$11),0)</f>
        <v/>
      </c>
      <c r="BI38" s="23" t="str">
        <f t="array" ref="BI38">IF(AND(BI$4&gt;Resumen_Sprints!$E$11,BI$4&lt;=Resumen_Sprints!$E$11+Resumen_Sprints!$D$11),INDEX('Sprint N°6'!$C$10:$N$10,BI$4-Resumen_Sprints!$E$11),0)</f>
        <v/>
      </c>
      <c r="BJ38" s="23" t="str">
        <f t="array" ref="BJ38">IF(AND(BJ$4&gt;Resumen_Sprints!$E$11,BJ$4&lt;=Resumen_Sprints!$E$11+Resumen_Sprints!$D$11),INDEX('Sprint N°6'!$C$10:$N$10,BJ$4-Resumen_Sprints!$E$11),0)</f>
        <v/>
      </c>
      <c r="BK38" s="23" t="str">
        <f t="array" ref="BK38">IF(AND(BK$4&gt;Resumen_Sprints!$E$11,BK$4&lt;=Resumen_Sprints!$E$11+Resumen_Sprints!$D$11),INDEX('Sprint N°6'!$C$10:$N$10,BK$4-Resumen_Sprints!$E$11),0)</f>
        <v/>
      </c>
      <c r="BL38" s="23" t="str">
        <f t="array" ref="BL38">IF(AND(BL$4&gt;Resumen_Sprints!$E$11,BL$4&lt;=Resumen_Sprints!$E$11+Resumen_Sprints!$D$11),INDEX('Sprint N°6'!$C$10:$N$10,BL$4-Resumen_Sprints!$E$11),0)</f>
        <v/>
      </c>
      <c r="BM38" s="23" t="str">
        <f t="array" ref="BM38">IF(AND(BM$4&gt;Resumen_Sprints!$E$11,BM$4&lt;=Resumen_Sprints!$E$11+Resumen_Sprints!$D$11),INDEX('Sprint N°6'!$C$10:$N$10,BM$4-Resumen_Sprints!$E$11),0)</f>
        <v/>
      </c>
      <c r="BN38" s="23">
        <f t="array" ref="BN38">IF(AND(BN$4&gt;Resumen_Sprints!$E$11,BN$4&lt;=Resumen_Sprints!$E$11+Resumen_Sprints!$D$11),INDEX('Sprint N°6'!$C$10:$N$10,BN$4-Resumen_Sprints!$E$11),0)</f>
        <v>3</v>
      </c>
      <c r="BO38" s="23">
        <f t="array" ref="BO38">IF(AND(BO$4&gt;Resumen_Sprints!$E$11,BO$4&lt;=Resumen_Sprints!$E$11+Resumen_Sprints!$D$11),INDEX('Sprint N°6'!$C$10:$N$10,BO$4-Resumen_Sprints!$E$11),0)</f>
        <v>11</v>
      </c>
      <c r="BP38" s="23">
        <f t="array" ref="BP38">IF(AND(BP$4&gt;Resumen_Sprints!$E$11,BP$4&lt;=Resumen_Sprints!$E$11+Resumen_Sprints!$D$11),INDEX('Sprint N°6'!$C$10:$N$10,BP$4-Resumen_Sprints!$E$11),0)</f>
        <v>15</v>
      </c>
      <c r="BQ38" s="23">
        <f t="array" ref="BQ38">IF(AND(BQ$4&gt;Resumen_Sprints!$E$11,BQ$4&lt;=Resumen_Sprints!$E$11+Resumen_Sprints!$D$11),INDEX('Sprint N°6'!$C$10:$N$10,BQ$4-Resumen_Sprints!$E$11),0)</f>
        <v>12</v>
      </c>
      <c r="BR38" s="23">
        <f t="array" ref="BR38">IF(AND(BR$4&gt;Resumen_Sprints!$E$11,BR$4&lt;=Resumen_Sprints!$E$11+Resumen_Sprints!$D$11),INDEX('Sprint N°6'!$C$10:$N$10,BR$4-Resumen_Sprints!$E$11),0)</f>
        <v>9</v>
      </c>
      <c r="BS38" s="23">
        <f t="array" ref="BS38">IF(AND(BS$4&gt;Resumen_Sprints!$E$11,BS$4&lt;=Resumen_Sprints!$E$11+Resumen_Sprints!$D$11),INDEX('Sprint N°6'!$C$10:$N$10,BS$4-Resumen_Sprints!$E$11),0)</f>
        <v>10</v>
      </c>
      <c r="BT38" s="23">
        <f t="array" ref="BT38">IF(AND(BT$4&gt;Resumen_Sprints!$E$11,BT$4&lt;=Resumen_Sprints!$E$11+Resumen_Sprints!$D$11),INDEX('Sprint N°6'!$C$10:$N$10,BT$4-Resumen_Sprints!$E$11),0)</f>
        <v>0</v>
      </c>
      <c r="BU38" s="23">
        <f t="array" ref="BU38">IF(AND(BU$4&gt;Resumen_Sprints!$E$11,BU$4&lt;=Resumen_Sprints!$E$11+Resumen_Sprints!$D$11),INDEX('Sprint N°6'!$C$10:$N$10,BU$4-Resumen_Sprints!$E$11),0)</f>
        <v>0</v>
      </c>
      <c r="BV38" s="23">
        <f t="array" ref="BV38">IF(AND(BV$4&gt;Resumen_Sprints!$E$11,BV$4&lt;=Resumen_Sprints!$E$11+Resumen_Sprints!$D$11),INDEX('Sprint N°6'!$C$10:$N$10,BV$4-Resumen_Sprints!$E$11),0)</f>
        <v>0</v>
      </c>
      <c r="BW38" s="23">
        <f t="array" ref="BW38">IF(AND(BW$4&gt;Resumen_Sprints!$E$11,BW$4&lt;=Resumen_Sprints!$E$11+Resumen_Sprints!$D$11),INDEX('Sprint N°6'!$C$10:$N$10,BW$4-Resumen_Sprints!$E$11),0)</f>
        <v>0</v>
      </c>
      <c r="BX38" s="23">
        <f t="array" ref="BX38">IF(AND(BX$4&gt;Resumen_Sprints!$E$11,BX$4&lt;=Resumen_Sprints!$E$11+Resumen_Sprints!$D$11),INDEX('Sprint N°6'!$C$10:$N$10,BX$4-Resumen_Sprints!$E$11),0)</f>
        <v>0</v>
      </c>
      <c r="BY38" s="23">
        <f t="array" ref="BY38">IF(AND(BY$4&gt;Resumen_Sprints!$E$11,BY$4&lt;=Resumen_Sprints!$E$11+Resumen_Sprints!$D$11),INDEX('Sprint N°6'!$C$10:$N$10,BY$4-Resumen_Sprints!$E$11),0)</f>
        <v>0</v>
      </c>
      <c r="BZ38" s="23">
        <f t="array" ref="BZ38">IF(AND(BZ$4&gt;Resumen_Sprints!$E$11,BZ$4&lt;=Resumen_Sprints!$E$11+Resumen_Sprints!$D$11),INDEX('Sprint N°6'!$C$10:$N$10,BZ$4-Resumen_Sprints!$E$11),0)</f>
        <v>0</v>
      </c>
      <c r="CA38" s="23">
        <f t="array" ref="CA38">IF(AND(CA$4&gt;Resumen_Sprints!$E$11,CA$4&lt;=Resumen_Sprints!$E$11+Resumen_Sprints!$D$11),INDEX('Sprint N°6'!$C$10:$N$10,CA$4-Resumen_Sprints!$E$11),0)</f>
        <v>0</v>
      </c>
      <c r="CB38" s="23">
        <f t="array" ref="CB38">IF(AND(CB$4&gt;Resumen_Sprints!$E$11,CB$4&lt;=Resumen_Sprints!$E$11+Resumen_Sprints!$D$11),INDEX('Sprint N°6'!$C$10:$N$10,CB$4-Resumen_Sprints!$E$11),0)</f>
        <v>0</v>
      </c>
      <c r="CC38" s="23">
        <f t="array" ref="CC38">IF(AND(CC$4&gt;Resumen_Sprints!$E$11,CC$4&lt;=Resumen_Sprints!$E$11+Resumen_Sprints!$D$11),INDEX('Sprint N°6'!$C$10:$N$10,CC$4-Resumen_Sprints!$E$11),0)</f>
        <v>0</v>
      </c>
      <c r="CD38" s="23">
        <f t="array" ref="CD38">IF(AND(CD$4&gt;Resumen_Sprints!$E$11,CD$4&lt;=Resumen_Sprints!$E$11+Resumen_Sprints!$D$11),INDEX('Sprint N°6'!$C$10:$N$10,CD$4-Resumen_Sprints!$E$11),0)</f>
        <v>0</v>
      </c>
      <c r="CE38" s="23">
        <f t="array" ref="CE38">IF(AND(CE$4&gt;Resumen_Sprints!$E$11,CE$4&lt;=Resumen_Sprints!$E$11+Resumen_Sprints!$D$11),INDEX('Sprint N°6'!$C$10:$N$10,CE$4-Resumen_Sprints!$E$11),0)</f>
        <v>0</v>
      </c>
      <c r="CF38" s="23">
        <f t="array" ref="CF38">IF(AND(CF$4&gt;Resumen_Sprints!$E$11,CF$4&lt;=Resumen_Sprints!$E$11+Resumen_Sprints!$D$11),INDEX('Sprint N°6'!$C$10:$N$10,CF$4-Resumen_Sprints!$E$11),0)</f>
        <v>0</v>
      </c>
      <c r="CG38" s="23">
        <f t="array" ref="CG38">IF(AND(CG$4&gt;Resumen_Sprints!$E$11,CG$4&lt;=Resumen_Sprints!$E$11+Resumen_Sprints!$D$11),INDEX('Sprint N°6'!$C$10:$N$10,CG$4-Resumen_Sprints!$E$11),0)</f>
        <v>0</v>
      </c>
      <c r="CH38" s="23">
        <f t="array" ref="CH38">IF(AND(CH$4&gt;Resumen_Sprints!$E$11,CH$4&lt;=Resumen_Sprints!$E$11+Resumen_Sprints!$D$11),INDEX('Sprint N°6'!$C$10:$N$10,CH$4-Resumen_Sprints!$E$11),0)</f>
        <v>0</v>
      </c>
      <c r="CI38" s="23">
        <f t="array" ref="CI38">IF(AND(CI$4&gt;Resumen_Sprints!$E$11,CI$4&lt;=Resumen_Sprints!$E$11+Resumen_Sprints!$D$11),INDEX('Sprint N°6'!$C$10:$N$10,CI$4-Resumen_Sprints!$E$11),0)</f>
        <v>0</v>
      </c>
      <c r="CJ38" s="23">
        <f t="array" ref="CJ38">IF(AND(CJ$4&gt;Resumen_Sprints!$E$11,CJ$4&lt;=Resumen_Sprints!$E$11+Resumen_Sprints!$D$11),INDEX('Sprint N°6'!$C$10:$N$10,CJ$4-Resumen_Sprints!$E$11),0)</f>
        <v>0</v>
      </c>
      <c r="CK38" s="23">
        <f t="array" ref="CK38">IF(AND(CK$4&gt;Resumen_Sprints!$E$11,CK$4&lt;=Resumen_Sprints!$E$11+Resumen_Sprints!$D$11),INDEX('Sprint N°6'!$C$10:$N$10,CK$4-Resumen_Sprints!$E$11),0)</f>
        <v>0</v>
      </c>
      <c r="CL38" s="23">
        <f t="array" ref="CL38">IF(AND(CL$4&gt;Resumen_Sprints!$E$11,CL$4&lt;=Resumen_Sprints!$E$11+Resumen_Sprints!$D$11),INDEX('Sprint N°6'!$C$10:$N$10,CL$4-Resumen_Sprints!$E$11),0)</f>
        <v>0</v>
      </c>
      <c r="CM38" s="23">
        <f t="array" ref="CM38">IF(AND(CM$4&gt;Resumen_Sprints!$E$11,CM$4&lt;=Resumen_Sprints!$E$11+Resumen_Sprints!$D$11),INDEX('Sprint N°6'!$C$10:$N$10,CM$4-Resumen_Sprints!$E$11),0)</f>
        <v>0</v>
      </c>
      <c r="CN38" s="23">
        <f t="array" ref="CN38">IF(AND(CN$4&gt;Resumen_Sprints!$E$11,CN$4&lt;=Resumen_Sprints!$E$11+Resumen_Sprints!$D$11),INDEX('Sprint N°6'!$C$10:$N$10,CN$4-Resumen_Sprints!$E$11),0)</f>
        <v>0</v>
      </c>
      <c r="CO38" s="23">
        <f t="array" ref="CO38">IF(AND(CO$4&gt;Resumen_Sprints!$E$11,CO$4&lt;=Resumen_Sprints!$E$11+Resumen_Sprints!$D$11),INDEX('Sprint N°6'!$C$10:$N$10,CO$4-Resumen_Sprints!$E$11),0)</f>
        <v>0</v>
      </c>
      <c r="CP38" s="23">
        <f t="array" ref="CP38">IF(AND(CP$4&gt;Resumen_Sprints!$E$11,CP$4&lt;=Resumen_Sprints!$E$11+Resumen_Sprints!$D$11),INDEX('Sprint N°6'!$C$10:$N$10,CP$4-Resumen_Sprints!$E$11),0)</f>
        <v>0</v>
      </c>
      <c r="CQ38" s="23">
        <f t="array" ref="CQ38">IF(AND(CQ$4&gt;Resumen_Sprints!$E$11,CQ$4&lt;=Resumen_Sprints!$E$11+Resumen_Sprints!$D$11),INDEX('Sprint N°6'!$C$10:$N$10,CQ$4-Resumen_Sprints!$E$11),0)</f>
        <v>0</v>
      </c>
      <c r="CR38" s="23">
        <f t="array" ref="CR38">IF(AND(CR$4&gt;Resumen_Sprints!$E$11,CR$4&lt;=Resumen_Sprints!$E$11+Resumen_Sprints!$D$11),INDEX('Sprint N°6'!$C$10:$N$10,CR$4-Resumen_Sprints!$E$11),0)</f>
        <v>0</v>
      </c>
      <c r="CS38" s="23">
        <f t="array" ref="CS38">IF(AND(CS$4&gt;Resumen_Sprints!$E$11,CS$4&lt;=Resumen_Sprints!$E$11+Resumen_Sprints!$D$11),INDEX('Sprint N°6'!$C$10:$N$10,CS$4-Resumen_Sprints!$E$11),0)</f>
        <v>0</v>
      </c>
      <c r="CT38" s="23">
        <f t="array" ref="CT38">IF(AND(CT$4&gt;Resumen_Sprints!$E$11,CT$4&lt;=Resumen_Sprints!$E$11+Resumen_Sprints!$D$11),INDEX('Sprint N°6'!$C$10:$N$10,CT$4-Resumen_Sprints!$E$11),0)</f>
        <v>0</v>
      </c>
      <c r="CU38" s="25">
        <f t="shared" si="6"/>
        <v>60</v>
      </c>
    </row>
    <row r="39" ht="14.25" customHeight="1">
      <c r="A39" s="9" t="str">
        <f>"Sprint N°"&amp;Resumen_Sprints!A12&amp;" – "&amp;Resumen_Sprints!B12</f>
        <v>Sprint N°7 – Pruebas y Corrección de Defectos</v>
      </c>
      <c r="B39" s="10">
        <f>SUM(B40:B44)</f>
        <v>114</v>
      </c>
      <c r="CU39" s="28"/>
    </row>
    <row r="40" ht="14.25" customHeight="1">
      <c r="A40" s="11" t="str">
        <f>'Sprint N°7'!A6</f>
        <v>Pruebas Unitarias Base de Datos y Catálogo</v>
      </c>
      <c r="B40" s="11">
        <f>'Sprint N°7'!B6</f>
        <v>16</v>
      </c>
      <c r="C40" s="23">
        <f t="array" ref="C40">IF(AND(C$4&gt;Resumen_Sprints!$E$12,C$4&lt;=Resumen_Sprints!$E$12+Resumen_Sprints!$D$12),INDEX('Sprint N°7'!$C$6:$P$6,C$4-Resumen_Sprints!$E$12),0)</f>
        <v>0</v>
      </c>
      <c r="D40" s="23">
        <f t="array" ref="D40">IF(AND(D$4&gt;Resumen_Sprints!$E$12,D$4&lt;=Resumen_Sprints!$E$12+Resumen_Sprints!$D$12),INDEX('Sprint N°7'!$C$6:$P$6,D$4-Resumen_Sprints!$E$12),0)</f>
        <v>0</v>
      </c>
      <c r="E40" s="23">
        <f t="array" ref="E40">IF(AND(E$4&gt;Resumen_Sprints!$E$12,E$4&lt;=Resumen_Sprints!$E$12+Resumen_Sprints!$D$12),INDEX('Sprint N°7'!$C$6:$P$6,E$4-Resumen_Sprints!$E$12),0)</f>
        <v>0</v>
      </c>
      <c r="F40" s="23">
        <f t="array" ref="F40">IF(AND(F$4&gt;Resumen_Sprints!$E$12,F$4&lt;=Resumen_Sprints!$E$12+Resumen_Sprints!$D$12),INDEX('Sprint N°7'!$C$6:$P$6,F$4-Resumen_Sprints!$E$12),0)</f>
        <v>0</v>
      </c>
      <c r="G40" s="23">
        <f t="array" ref="G40">IF(AND(G$4&gt;Resumen_Sprints!$E$12,G$4&lt;=Resumen_Sprints!$E$12+Resumen_Sprints!$D$12),INDEX('Sprint N°7'!$C$6:$P$6,G$4-Resumen_Sprints!$E$12),0)</f>
        <v>0</v>
      </c>
      <c r="H40" s="23">
        <f t="array" ref="H40">IF(AND(H$4&gt;Resumen_Sprints!$E$12,H$4&lt;=Resumen_Sprints!$E$12+Resumen_Sprints!$D$12),INDEX('Sprint N°7'!$C$6:$P$6,H$4-Resumen_Sprints!$E$12),0)</f>
        <v>0</v>
      </c>
      <c r="I40" s="23">
        <f t="array" ref="I40">IF(AND(I$4&gt;Resumen_Sprints!$E$12,I$4&lt;=Resumen_Sprints!$E$12+Resumen_Sprints!$D$12),INDEX('Sprint N°7'!$C$6:$P$6,I$4-Resumen_Sprints!$E$12),0)</f>
        <v>0</v>
      </c>
      <c r="J40" s="23">
        <f t="array" ref="J40">IF(AND(J$4&gt;Resumen_Sprints!$E$12,J$4&lt;=Resumen_Sprints!$E$12+Resumen_Sprints!$D$12),INDEX('Sprint N°7'!$C$6:$P$6,J$4-Resumen_Sprints!$E$12),0)</f>
        <v>0</v>
      </c>
      <c r="K40" s="23">
        <f t="array" ref="K40">IF(AND(K$4&gt;Resumen_Sprints!$E$12,K$4&lt;=Resumen_Sprints!$E$12+Resumen_Sprints!$D$12),INDEX('Sprint N°7'!$C$6:$P$6,K$4-Resumen_Sprints!$E$12),0)</f>
        <v>0</v>
      </c>
      <c r="L40" s="23">
        <f t="array" ref="L40">IF(AND(L$4&gt;Resumen_Sprints!$E$12,L$4&lt;=Resumen_Sprints!$E$12+Resumen_Sprints!$D$12),INDEX('Sprint N°7'!$C$6:$P$6,L$4-Resumen_Sprints!$E$12),0)</f>
        <v>0</v>
      </c>
      <c r="M40" s="23">
        <f t="array" ref="M40">IF(AND(M$4&gt;Resumen_Sprints!$E$12,M$4&lt;=Resumen_Sprints!$E$12+Resumen_Sprints!$D$12),INDEX('Sprint N°7'!$C$6:$P$6,M$4-Resumen_Sprints!$E$12),0)</f>
        <v>0</v>
      </c>
      <c r="N40" s="23">
        <f t="array" ref="N40">IF(AND(N$4&gt;Resumen_Sprints!$E$12,N$4&lt;=Resumen_Sprints!$E$12+Resumen_Sprints!$D$12),INDEX('Sprint N°7'!$C$6:$P$6,N$4-Resumen_Sprints!$E$12),0)</f>
        <v>0</v>
      </c>
      <c r="O40" s="23">
        <f t="array" ref="O40">IF(AND(O$4&gt;Resumen_Sprints!$E$12,O$4&lt;=Resumen_Sprints!$E$12+Resumen_Sprints!$D$12),INDEX('Sprint N°7'!$C$6:$P$6,O$4-Resumen_Sprints!$E$12),0)</f>
        <v>0</v>
      </c>
      <c r="P40" s="23">
        <f t="array" ref="P40">IF(AND(P$4&gt;Resumen_Sprints!$E$12,P$4&lt;=Resumen_Sprints!$E$12+Resumen_Sprints!$D$12),INDEX('Sprint N°7'!$C$6:$P$6,P$4-Resumen_Sprints!$E$12),0)</f>
        <v>0</v>
      </c>
      <c r="Q40" s="23">
        <f t="array" ref="Q40">IF(AND(Q$4&gt;Resumen_Sprints!$E$12,Q$4&lt;=Resumen_Sprints!$E$12+Resumen_Sprints!$D$12),INDEX('Sprint N°7'!$C$6:$P$6,Q$4-Resumen_Sprints!$E$12),0)</f>
        <v>0</v>
      </c>
      <c r="R40" s="23">
        <f t="array" ref="R40">IF(AND(R$4&gt;Resumen_Sprints!$E$12,R$4&lt;=Resumen_Sprints!$E$12+Resumen_Sprints!$D$12),INDEX('Sprint N°7'!$C$6:$P$6,R$4-Resumen_Sprints!$E$12),0)</f>
        <v>0</v>
      </c>
      <c r="S40" s="23">
        <f t="array" ref="S40">IF(AND(S$4&gt;Resumen_Sprints!$E$12,S$4&lt;=Resumen_Sprints!$E$12+Resumen_Sprints!$D$12),INDEX('Sprint N°7'!$C$6:$P$6,S$4-Resumen_Sprints!$E$12),0)</f>
        <v>0</v>
      </c>
      <c r="T40" s="23">
        <f t="array" ref="T40">IF(AND(T$4&gt;Resumen_Sprints!$E$12,T$4&lt;=Resumen_Sprints!$E$12+Resumen_Sprints!$D$12),INDEX('Sprint N°7'!$C$6:$P$6,T$4-Resumen_Sprints!$E$12),0)</f>
        <v>0</v>
      </c>
      <c r="U40" s="23">
        <f t="array" ref="U40">IF(AND(U$4&gt;Resumen_Sprints!$E$12,U$4&lt;=Resumen_Sprints!$E$12+Resumen_Sprints!$D$12),INDEX('Sprint N°7'!$C$6:$P$6,U$4-Resumen_Sprints!$E$12),0)</f>
        <v>0</v>
      </c>
      <c r="V40" s="23">
        <f t="array" ref="V40">IF(AND(V$4&gt;Resumen_Sprints!$E$12,V$4&lt;=Resumen_Sprints!$E$12+Resumen_Sprints!$D$12),INDEX('Sprint N°7'!$C$6:$P$6,V$4-Resumen_Sprints!$E$12),0)</f>
        <v>0</v>
      </c>
      <c r="W40" s="23">
        <f t="array" ref="W40">IF(AND(W$4&gt;Resumen_Sprints!$E$12,W$4&lt;=Resumen_Sprints!$E$12+Resumen_Sprints!$D$12),INDEX('Sprint N°7'!$C$6:$P$6,W$4-Resumen_Sprints!$E$12),0)</f>
        <v>0</v>
      </c>
      <c r="X40" s="23">
        <f t="array" ref="X40">IF(AND(X$4&gt;Resumen_Sprints!$E$12,X$4&lt;=Resumen_Sprints!$E$12+Resumen_Sprints!$D$12),INDEX('Sprint N°7'!$C$6:$P$6,X$4-Resumen_Sprints!$E$12),0)</f>
        <v>0</v>
      </c>
      <c r="Y40" s="23">
        <f t="array" ref="Y40">IF(AND(Y$4&gt;Resumen_Sprints!$E$12,Y$4&lt;=Resumen_Sprints!$E$12+Resumen_Sprints!$D$12),INDEX('Sprint N°7'!$C$6:$P$6,Y$4-Resumen_Sprints!$E$12),0)</f>
        <v>0</v>
      </c>
      <c r="Z40" s="23">
        <f t="array" ref="Z40">IF(AND(Z$4&gt;Resumen_Sprints!$E$12,Z$4&lt;=Resumen_Sprints!$E$12+Resumen_Sprints!$D$12),INDEX('Sprint N°7'!$C$6:$P$6,Z$4-Resumen_Sprints!$E$12),0)</f>
        <v>0</v>
      </c>
      <c r="AA40" s="23">
        <f t="array" ref="AA40">IF(AND(AA$4&gt;Resumen_Sprints!$E$12,AA$4&lt;=Resumen_Sprints!$E$12+Resumen_Sprints!$D$12),INDEX('Sprint N°7'!$C$6:$P$6,AA$4-Resumen_Sprints!$E$12),0)</f>
        <v>0</v>
      </c>
      <c r="AB40" s="23">
        <f t="array" ref="AB40">IF(AND(AB$4&gt;Resumen_Sprints!$E$12,AB$4&lt;=Resumen_Sprints!$E$12+Resumen_Sprints!$D$12),INDEX('Sprint N°7'!$C$6:$P$6,AB$4-Resumen_Sprints!$E$12),0)</f>
        <v>0</v>
      </c>
      <c r="AC40" s="23">
        <f t="array" ref="AC40">IF(AND(AC$4&gt;Resumen_Sprints!$E$12,AC$4&lt;=Resumen_Sprints!$E$12+Resumen_Sprints!$D$12),INDEX('Sprint N°7'!$C$6:$P$6,AC$4-Resumen_Sprints!$E$12),0)</f>
        <v>0</v>
      </c>
      <c r="AD40" s="23">
        <f t="array" ref="AD40">IF(AND(AD$4&gt;Resumen_Sprints!$E$12,AD$4&lt;=Resumen_Sprints!$E$12+Resumen_Sprints!$D$12),INDEX('Sprint N°7'!$C$6:$P$6,AD$4-Resumen_Sprints!$E$12),0)</f>
        <v>0</v>
      </c>
      <c r="AE40" s="23">
        <f t="array" ref="AE40">IF(AND(AE$4&gt;Resumen_Sprints!$E$12,AE$4&lt;=Resumen_Sprints!$E$12+Resumen_Sprints!$D$12),INDEX('Sprint N°7'!$C$6:$P$6,AE$4-Resumen_Sprints!$E$12),0)</f>
        <v>0</v>
      </c>
      <c r="AF40" s="23">
        <f t="array" ref="AF40">IF(AND(AF$4&gt;Resumen_Sprints!$E$12,AF$4&lt;=Resumen_Sprints!$E$12+Resumen_Sprints!$D$12),INDEX('Sprint N°7'!$C$6:$P$6,AF$4-Resumen_Sprints!$E$12),0)</f>
        <v>0</v>
      </c>
      <c r="AG40" s="23">
        <f t="array" ref="AG40">IF(AND(AG$4&gt;Resumen_Sprints!$E$12,AG$4&lt;=Resumen_Sprints!$E$12+Resumen_Sprints!$D$12),INDEX('Sprint N°7'!$C$6:$P$6,AG$4-Resumen_Sprints!$E$12),0)</f>
        <v>0</v>
      </c>
      <c r="AH40" s="23">
        <f t="array" ref="AH40">IF(AND(AH$4&gt;Resumen_Sprints!$E$12,AH$4&lt;=Resumen_Sprints!$E$12+Resumen_Sprints!$D$12),INDEX('Sprint N°7'!$C$6:$P$6,AH$4-Resumen_Sprints!$E$12),0)</f>
        <v>0</v>
      </c>
      <c r="AI40" s="23">
        <f t="array" ref="AI40">IF(AND(AI$4&gt;Resumen_Sprints!$E$12,AI$4&lt;=Resumen_Sprints!$E$12+Resumen_Sprints!$D$12),INDEX('Sprint N°7'!$C$6:$P$6,AI$4-Resumen_Sprints!$E$12),0)</f>
        <v>0</v>
      </c>
      <c r="AJ40" s="23">
        <f t="array" ref="AJ40">IF(AND(AJ$4&gt;Resumen_Sprints!$E$12,AJ$4&lt;=Resumen_Sprints!$E$12+Resumen_Sprints!$D$12),INDEX('Sprint N°7'!$C$6:$P$6,AJ$4-Resumen_Sprints!$E$12),0)</f>
        <v>0</v>
      </c>
      <c r="AK40" s="23">
        <f t="array" ref="AK40">IF(AND(AK$4&gt;Resumen_Sprints!$E$12,AK$4&lt;=Resumen_Sprints!$E$12+Resumen_Sprints!$D$12),INDEX('Sprint N°7'!$C$6:$P$6,AK$4-Resumen_Sprints!$E$12),0)</f>
        <v>0</v>
      </c>
      <c r="AL40" s="23">
        <f t="array" ref="AL40">IF(AND(AL$4&gt;Resumen_Sprints!$E$12,AL$4&lt;=Resumen_Sprints!$E$12+Resumen_Sprints!$D$12),INDEX('Sprint N°7'!$C$6:$P$6,AL$4-Resumen_Sprints!$E$12),0)</f>
        <v>0</v>
      </c>
      <c r="AM40" s="23">
        <f t="array" ref="AM40">IF(AND(AM$4&gt;Resumen_Sprints!$E$12,AM$4&lt;=Resumen_Sprints!$E$12+Resumen_Sprints!$D$12),INDEX('Sprint N°7'!$C$6:$P$6,AM$4-Resumen_Sprints!$E$12),0)</f>
        <v>0</v>
      </c>
      <c r="AN40" s="23">
        <f t="array" ref="AN40">IF(AND(AN$4&gt;Resumen_Sprints!$E$12,AN$4&lt;=Resumen_Sprints!$E$12+Resumen_Sprints!$D$12),INDEX('Sprint N°7'!$C$6:$P$6,AN$4-Resumen_Sprints!$E$12),0)</f>
        <v>0</v>
      </c>
      <c r="AO40" s="23">
        <f t="array" ref="AO40">IF(AND(AO$4&gt;Resumen_Sprints!$E$12,AO$4&lt;=Resumen_Sprints!$E$12+Resumen_Sprints!$D$12),INDEX('Sprint N°7'!$C$6:$P$6,AO$4-Resumen_Sprints!$E$12),0)</f>
        <v>0</v>
      </c>
      <c r="AP40" s="23">
        <f t="array" ref="AP40">IF(AND(AP$4&gt;Resumen_Sprints!$E$12,AP$4&lt;=Resumen_Sprints!$E$12+Resumen_Sprints!$D$12),INDEX('Sprint N°7'!$C$6:$P$6,AP$4-Resumen_Sprints!$E$12),0)</f>
        <v>0</v>
      </c>
      <c r="AQ40" s="23">
        <f t="array" ref="AQ40">IF(AND(AQ$4&gt;Resumen_Sprints!$E$12,AQ$4&lt;=Resumen_Sprints!$E$12+Resumen_Sprints!$D$12),INDEX('Sprint N°7'!$C$6:$P$6,AQ$4-Resumen_Sprints!$E$12),0)</f>
        <v>0</v>
      </c>
      <c r="AR40" s="23">
        <f t="array" ref="AR40">IF(AND(AR$4&gt;Resumen_Sprints!$E$12,AR$4&lt;=Resumen_Sprints!$E$12+Resumen_Sprints!$D$12),INDEX('Sprint N°7'!$C$6:$P$6,AR$4-Resumen_Sprints!$E$12),0)</f>
        <v>0</v>
      </c>
      <c r="AS40" s="23">
        <f t="array" ref="AS40">IF(AND(AS$4&gt;Resumen_Sprints!$E$12,AS$4&lt;=Resumen_Sprints!$E$12+Resumen_Sprints!$D$12),INDEX('Sprint N°7'!$C$6:$P$6,AS$4-Resumen_Sprints!$E$12),0)</f>
        <v>0</v>
      </c>
      <c r="AT40" s="23">
        <f t="array" ref="AT40">IF(AND(AT$4&gt;Resumen_Sprints!$E$12,AT$4&lt;=Resumen_Sprints!$E$12+Resumen_Sprints!$D$12),INDEX('Sprint N°7'!$C$6:$P$6,AT$4-Resumen_Sprints!$E$12),0)</f>
        <v>0</v>
      </c>
      <c r="AU40" s="23">
        <f t="array" ref="AU40">IF(AND(AU$4&gt;Resumen_Sprints!$E$12,AU$4&lt;=Resumen_Sprints!$E$12+Resumen_Sprints!$D$12),INDEX('Sprint N°7'!$C$6:$P$6,AU$4-Resumen_Sprints!$E$12),0)</f>
        <v>0</v>
      </c>
      <c r="AV40" s="23">
        <f t="array" ref="AV40">IF(AND(AV$4&gt;Resumen_Sprints!$E$12,AV$4&lt;=Resumen_Sprints!$E$12+Resumen_Sprints!$D$12),INDEX('Sprint N°7'!$C$6:$P$6,AV$4-Resumen_Sprints!$E$12),0)</f>
        <v>0</v>
      </c>
      <c r="AW40" s="23">
        <f t="array" ref="AW40">IF(AND(AW$4&gt;Resumen_Sprints!$E$12,AW$4&lt;=Resumen_Sprints!$E$12+Resumen_Sprints!$D$12),INDEX('Sprint N°7'!$C$6:$P$6,AW$4-Resumen_Sprints!$E$12),0)</f>
        <v>0</v>
      </c>
      <c r="AX40" s="23">
        <f t="array" ref="AX40">IF(AND(AX$4&gt;Resumen_Sprints!$E$12,AX$4&lt;=Resumen_Sprints!$E$12+Resumen_Sprints!$D$12),INDEX('Sprint N°7'!$C$6:$P$6,AX$4-Resumen_Sprints!$E$12),0)</f>
        <v>0</v>
      </c>
      <c r="AY40" s="23">
        <f t="array" ref="AY40">IF(AND(AY$4&gt;Resumen_Sprints!$E$12,AY$4&lt;=Resumen_Sprints!$E$12+Resumen_Sprints!$D$12),INDEX('Sprint N°7'!$C$6:$P$6,AY$4-Resumen_Sprints!$E$12),0)</f>
        <v>0</v>
      </c>
      <c r="AZ40" s="23">
        <f t="array" ref="AZ40">IF(AND(AZ$4&gt;Resumen_Sprints!$E$12,AZ$4&lt;=Resumen_Sprints!$E$12+Resumen_Sprints!$D$12),INDEX('Sprint N°7'!$C$6:$P$6,AZ$4-Resumen_Sprints!$E$12),0)</f>
        <v>0</v>
      </c>
      <c r="BA40" s="23">
        <f t="array" ref="BA40">IF(AND(BA$4&gt;Resumen_Sprints!$E$12,BA$4&lt;=Resumen_Sprints!$E$12+Resumen_Sprints!$D$12),INDEX('Sprint N°7'!$C$6:$P$6,BA$4-Resumen_Sprints!$E$12),0)</f>
        <v>0</v>
      </c>
      <c r="BB40" s="23">
        <f t="array" ref="BB40">IF(AND(BB$4&gt;Resumen_Sprints!$E$12,BB$4&lt;=Resumen_Sprints!$E$12+Resumen_Sprints!$D$12),INDEX('Sprint N°7'!$C$6:$P$6,BB$4-Resumen_Sprints!$E$12),0)</f>
        <v>0</v>
      </c>
      <c r="BC40" s="23">
        <f t="array" ref="BC40">IF(AND(BC$4&gt;Resumen_Sprints!$E$12,BC$4&lt;=Resumen_Sprints!$E$12+Resumen_Sprints!$D$12),INDEX('Sprint N°7'!$C$6:$P$6,BC$4-Resumen_Sprints!$E$12),0)</f>
        <v>0</v>
      </c>
      <c r="BD40" s="23">
        <f t="array" ref="BD40">IF(AND(BD$4&gt;Resumen_Sprints!$E$12,BD$4&lt;=Resumen_Sprints!$E$12+Resumen_Sprints!$D$12),INDEX('Sprint N°7'!$C$6:$P$6,BD$4-Resumen_Sprints!$E$12),0)</f>
        <v>0</v>
      </c>
      <c r="BE40" s="23">
        <f t="array" ref="BE40">IF(AND(BE$4&gt;Resumen_Sprints!$E$12,BE$4&lt;=Resumen_Sprints!$E$12+Resumen_Sprints!$D$12),INDEX('Sprint N°7'!$C$6:$P$6,BE$4-Resumen_Sprints!$E$12),0)</f>
        <v>0</v>
      </c>
      <c r="BF40" s="23">
        <f t="array" ref="BF40">IF(AND(BF$4&gt;Resumen_Sprints!$E$12,BF$4&lt;=Resumen_Sprints!$E$12+Resumen_Sprints!$D$12),INDEX('Sprint N°7'!$C$6:$P$6,BF$4-Resumen_Sprints!$E$12),0)</f>
        <v>0</v>
      </c>
      <c r="BG40" s="23">
        <f t="array" ref="BG40">IF(AND(BG$4&gt;Resumen_Sprints!$E$12,BG$4&lt;=Resumen_Sprints!$E$12+Resumen_Sprints!$D$12),INDEX('Sprint N°7'!$C$6:$P$6,BG$4-Resumen_Sprints!$E$12),0)</f>
        <v>0</v>
      </c>
      <c r="BH40" s="23">
        <f t="array" ref="BH40">IF(AND(BH$4&gt;Resumen_Sprints!$E$12,BH$4&lt;=Resumen_Sprints!$E$12+Resumen_Sprints!$D$12),INDEX('Sprint N°7'!$C$6:$P$6,BH$4-Resumen_Sprints!$E$12),0)</f>
        <v>0</v>
      </c>
      <c r="BI40" s="23">
        <f t="array" ref="BI40">IF(AND(BI$4&gt;Resumen_Sprints!$E$12,BI$4&lt;=Resumen_Sprints!$E$12+Resumen_Sprints!$D$12),INDEX('Sprint N°7'!$C$6:$P$6,BI$4-Resumen_Sprints!$E$12),0)</f>
        <v>0</v>
      </c>
      <c r="BJ40" s="23">
        <f t="array" ref="BJ40">IF(AND(BJ$4&gt;Resumen_Sprints!$E$12,BJ$4&lt;=Resumen_Sprints!$E$12+Resumen_Sprints!$D$12),INDEX('Sprint N°7'!$C$6:$P$6,BJ$4-Resumen_Sprints!$E$12),0)</f>
        <v>0</v>
      </c>
      <c r="BK40" s="23">
        <f t="array" ref="BK40">IF(AND(BK$4&gt;Resumen_Sprints!$E$12,BK$4&lt;=Resumen_Sprints!$E$12+Resumen_Sprints!$D$12),INDEX('Sprint N°7'!$C$6:$P$6,BK$4-Resumen_Sprints!$E$12),0)</f>
        <v>0</v>
      </c>
      <c r="BL40" s="23">
        <f t="array" ref="BL40">IF(AND(BL$4&gt;Resumen_Sprints!$E$12,BL$4&lt;=Resumen_Sprints!$E$12+Resumen_Sprints!$D$12),INDEX('Sprint N°7'!$C$6:$P$6,BL$4-Resumen_Sprints!$E$12),0)</f>
        <v>0</v>
      </c>
      <c r="BM40" s="23">
        <f t="array" ref="BM40">IF(AND(BM$4&gt;Resumen_Sprints!$E$12,BM$4&lt;=Resumen_Sprints!$E$12+Resumen_Sprints!$D$12),INDEX('Sprint N°7'!$C$6:$P$6,BM$4-Resumen_Sprints!$E$12),0)</f>
        <v>0</v>
      </c>
      <c r="BN40" s="23">
        <f t="array" ref="BN40">IF(AND(BN$4&gt;Resumen_Sprints!$E$12,BN$4&lt;=Resumen_Sprints!$E$12+Resumen_Sprints!$D$12),INDEX('Sprint N°7'!$C$6:$P$6,BN$4-Resumen_Sprints!$E$12),0)</f>
        <v>0</v>
      </c>
      <c r="BO40" s="23">
        <f t="array" ref="BO40">IF(AND(BO$4&gt;Resumen_Sprints!$E$12,BO$4&lt;=Resumen_Sprints!$E$12+Resumen_Sprints!$D$12),INDEX('Sprint N°7'!$C$6:$P$6,BO$4-Resumen_Sprints!$E$12),0)</f>
        <v>0</v>
      </c>
      <c r="BP40" s="23">
        <f t="array" ref="BP40">IF(AND(BP$4&gt;Resumen_Sprints!$E$12,BP$4&lt;=Resumen_Sprints!$E$12+Resumen_Sprints!$D$12),INDEX('Sprint N°7'!$C$6:$P$6,BP$4-Resumen_Sprints!$E$12),0)</f>
        <v>0</v>
      </c>
      <c r="BQ40" s="23">
        <f t="array" ref="BQ40">IF(AND(BQ$4&gt;Resumen_Sprints!$E$12,BQ$4&lt;=Resumen_Sprints!$E$12+Resumen_Sprints!$D$12),INDEX('Sprint N°7'!$C$6:$P$6,BQ$4-Resumen_Sprints!$E$12),0)</f>
        <v>0</v>
      </c>
      <c r="BR40" s="23">
        <f t="array" ref="BR40">IF(AND(BR$4&gt;Resumen_Sprints!$E$12,BR$4&lt;=Resumen_Sprints!$E$12+Resumen_Sprints!$D$12),INDEX('Sprint N°7'!$C$6:$P$6,BR$4-Resumen_Sprints!$E$12),0)</f>
        <v>0</v>
      </c>
      <c r="BS40" s="23">
        <f t="array" ref="BS40">IF(AND(BS$4&gt;Resumen_Sprints!$E$12,BS$4&lt;=Resumen_Sprints!$E$12+Resumen_Sprints!$D$12),INDEX('Sprint N°7'!$C$6:$P$6,BS$4-Resumen_Sprints!$E$12),0)</f>
        <v>0</v>
      </c>
      <c r="BT40" s="23">
        <f t="array" ref="BT40">IF(AND(BT$4&gt;Resumen_Sprints!$E$12,BT$4&lt;=Resumen_Sprints!$E$12+Resumen_Sprints!$D$12),INDEX('Sprint N°7'!$C$6:$P$6,BT$4-Resumen_Sprints!$E$12),0)</f>
        <v>8</v>
      </c>
      <c r="BU40" s="23">
        <f t="array" ref="BU40">IF(AND(BU$4&gt;Resumen_Sprints!$E$12,BU$4&lt;=Resumen_Sprints!$E$12+Resumen_Sprints!$D$12),INDEX('Sprint N°7'!$C$6:$P$6,BU$4-Resumen_Sprints!$E$12),0)</f>
        <v>7</v>
      </c>
      <c r="BV40" s="23">
        <f t="array" ref="BV40">IF(AND(BV$4&gt;Resumen_Sprints!$E$12,BV$4&lt;=Resumen_Sprints!$E$12+Resumen_Sprints!$D$12),INDEX('Sprint N°7'!$C$6:$P$6,BV$4-Resumen_Sprints!$E$12),0)</f>
        <v>1</v>
      </c>
      <c r="BW40" s="23" t="str">
        <f t="array" ref="BW40">IF(AND(BW$4&gt;Resumen_Sprints!$E$12,BW$4&lt;=Resumen_Sprints!$E$12+Resumen_Sprints!$D$12),INDEX('Sprint N°7'!$C$6:$P$6,BW$4-Resumen_Sprints!$E$12),0)</f>
        <v/>
      </c>
      <c r="BX40" s="23" t="str">
        <f t="array" ref="BX40">IF(AND(BX$4&gt;Resumen_Sprints!$E$12,BX$4&lt;=Resumen_Sprints!$E$12+Resumen_Sprints!$D$12),INDEX('Sprint N°7'!$C$6:$P$6,BX$4-Resumen_Sprints!$E$12),0)</f>
        <v/>
      </c>
      <c r="BY40" s="23" t="str">
        <f t="array" ref="BY40">IF(AND(BY$4&gt;Resumen_Sprints!$E$12,BY$4&lt;=Resumen_Sprints!$E$12+Resumen_Sprints!$D$12),INDEX('Sprint N°7'!$C$6:$P$6,BY$4-Resumen_Sprints!$E$12),0)</f>
        <v/>
      </c>
      <c r="BZ40" s="23" t="str">
        <f t="array" ref="BZ40">IF(AND(BZ$4&gt;Resumen_Sprints!$E$12,BZ$4&lt;=Resumen_Sprints!$E$12+Resumen_Sprints!$D$12),INDEX('Sprint N°7'!$C$6:$P$6,BZ$4-Resumen_Sprints!$E$12),0)</f>
        <v/>
      </c>
      <c r="CA40" s="23" t="str">
        <f t="array" ref="CA40">IF(AND(CA$4&gt;Resumen_Sprints!$E$12,CA$4&lt;=Resumen_Sprints!$E$12+Resumen_Sprints!$D$12),INDEX('Sprint N°7'!$C$6:$P$6,CA$4-Resumen_Sprints!$E$12),0)</f>
        <v/>
      </c>
      <c r="CB40" s="23" t="str">
        <f t="array" ref="CB40">IF(AND(CB$4&gt;Resumen_Sprints!$E$12,CB$4&lt;=Resumen_Sprints!$E$12+Resumen_Sprints!$D$12),INDEX('Sprint N°7'!$C$6:$P$6,CB$4-Resumen_Sprints!$E$12),0)</f>
        <v/>
      </c>
      <c r="CC40" s="23" t="str">
        <f t="array" ref="CC40">IF(AND(CC$4&gt;Resumen_Sprints!$E$12,CC$4&lt;=Resumen_Sprints!$E$12+Resumen_Sprints!$D$12),INDEX('Sprint N°7'!$C$6:$P$6,CC$4-Resumen_Sprints!$E$12),0)</f>
        <v/>
      </c>
      <c r="CD40" s="23" t="str">
        <f t="array" ref="CD40">IF(AND(CD$4&gt;Resumen_Sprints!$E$12,CD$4&lt;=Resumen_Sprints!$E$12+Resumen_Sprints!$D$12),INDEX('Sprint N°7'!$C$6:$P$6,CD$4-Resumen_Sprints!$E$12),0)</f>
        <v/>
      </c>
      <c r="CE40" s="23" t="str">
        <f t="array" ref="CE40">IF(AND(CE$4&gt;Resumen_Sprints!$E$12,CE$4&lt;=Resumen_Sprints!$E$12+Resumen_Sprints!$D$12),INDEX('Sprint N°7'!$C$6:$P$6,CE$4-Resumen_Sprints!$E$12),0)</f>
        <v/>
      </c>
      <c r="CF40" s="23" t="str">
        <f t="array" ref="CF40">IF(AND(CF$4&gt;Resumen_Sprints!$E$12,CF$4&lt;=Resumen_Sprints!$E$12+Resumen_Sprints!$D$12),INDEX('Sprint N°7'!$C$6:$P$6,CF$4-Resumen_Sprints!$E$12),0)</f>
        <v/>
      </c>
      <c r="CG40" s="23" t="str">
        <f t="array" ref="CG40">IF(AND(CG$4&gt;Resumen_Sprints!$E$12,CG$4&lt;=Resumen_Sprints!$E$12+Resumen_Sprints!$D$12),INDEX('Sprint N°7'!$C$6:$P$6,CG$4-Resumen_Sprints!$E$12),0)</f>
        <v/>
      </c>
      <c r="CH40" s="23">
        <f t="array" ref="CH40">IF(AND(CH$4&gt;Resumen_Sprints!$E$12,CH$4&lt;=Resumen_Sprints!$E$12+Resumen_Sprints!$D$12),INDEX('Sprint N°7'!$C$6:$P$6,CH$4-Resumen_Sprints!$E$12),0)</f>
        <v>0</v>
      </c>
      <c r="CI40" s="23">
        <f t="array" ref="CI40">IF(AND(CI$4&gt;Resumen_Sprints!$E$12,CI$4&lt;=Resumen_Sprints!$E$12+Resumen_Sprints!$D$12),INDEX('Sprint N°7'!$C$6:$P$6,CI$4-Resumen_Sprints!$E$12),0)</f>
        <v>0</v>
      </c>
      <c r="CJ40" s="23">
        <f t="array" ref="CJ40">IF(AND(CJ$4&gt;Resumen_Sprints!$E$12,CJ$4&lt;=Resumen_Sprints!$E$12+Resumen_Sprints!$D$12),INDEX('Sprint N°7'!$C$6:$P$6,CJ$4-Resumen_Sprints!$E$12),0)</f>
        <v>0</v>
      </c>
      <c r="CK40" s="23">
        <f t="array" ref="CK40">IF(AND(CK$4&gt;Resumen_Sprints!$E$12,CK$4&lt;=Resumen_Sprints!$E$12+Resumen_Sprints!$D$12),INDEX('Sprint N°7'!$C$6:$P$6,CK$4-Resumen_Sprints!$E$12),0)</f>
        <v>0</v>
      </c>
      <c r="CL40" s="23">
        <f t="array" ref="CL40">IF(AND(CL$4&gt;Resumen_Sprints!$E$12,CL$4&lt;=Resumen_Sprints!$E$12+Resumen_Sprints!$D$12),INDEX('Sprint N°7'!$C$6:$P$6,CL$4-Resumen_Sprints!$E$12),0)</f>
        <v>0</v>
      </c>
      <c r="CM40" s="23">
        <f t="array" ref="CM40">IF(AND(CM$4&gt;Resumen_Sprints!$E$12,CM$4&lt;=Resumen_Sprints!$E$12+Resumen_Sprints!$D$12),INDEX('Sprint N°7'!$C$6:$P$6,CM$4-Resumen_Sprints!$E$12),0)</f>
        <v>0</v>
      </c>
      <c r="CN40" s="23">
        <f t="array" ref="CN40">IF(AND(CN$4&gt;Resumen_Sprints!$E$12,CN$4&lt;=Resumen_Sprints!$E$12+Resumen_Sprints!$D$12),INDEX('Sprint N°7'!$C$6:$P$6,CN$4-Resumen_Sprints!$E$12),0)</f>
        <v>0</v>
      </c>
      <c r="CO40" s="23">
        <f t="array" ref="CO40">IF(AND(CO$4&gt;Resumen_Sprints!$E$12,CO$4&lt;=Resumen_Sprints!$E$12+Resumen_Sprints!$D$12),INDEX('Sprint N°7'!$C$6:$P$6,CO$4-Resumen_Sprints!$E$12),0)</f>
        <v>0</v>
      </c>
      <c r="CP40" s="23">
        <f t="array" ref="CP40">IF(AND(CP$4&gt;Resumen_Sprints!$E$12,CP$4&lt;=Resumen_Sprints!$E$12+Resumen_Sprints!$D$12),INDEX('Sprint N°7'!$C$6:$P$6,CP$4-Resumen_Sprints!$E$12),0)</f>
        <v>0</v>
      </c>
      <c r="CQ40" s="23">
        <f t="array" ref="CQ40">IF(AND(CQ$4&gt;Resumen_Sprints!$E$12,CQ$4&lt;=Resumen_Sprints!$E$12+Resumen_Sprints!$D$12),INDEX('Sprint N°7'!$C$6:$P$6,CQ$4-Resumen_Sprints!$E$12),0)</f>
        <v>0</v>
      </c>
      <c r="CR40" s="23">
        <f t="array" ref="CR40">IF(AND(CR$4&gt;Resumen_Sprints!$E$12,CR$4&lt;=Resumen_Sprints!$E$12+Resumen_Sprints!$D$12),INDEX('Sprint N°7'!$C$6:$P$6,CR$4-Resumen_Sprints!$E$12),0)</f>
        <v>0</v>
      </c>
      <c r="CS40" s="23">
        <f t="array" ref="CS40">IF(AND(CS$4&gt;Resumen_Sprints!$E$12,CS$4&lt;=Resumen_Sprints!$E$12+Resumen_Sprints!$D$12),INDEX('Sprint N°7'!$C$6:$P$6,CS$4-Resumen_Sprints!$E$12),0)</f>
        <v>0</v>
      </c>
      <c r="CT40" s="23">
        <f t="array" ref="CT40">IF(AND(CT$4&gt;Resumen_Sprints!$E$12,CT$4&lt;=Resumen_Sprints!$E$12+Resumen_Sprints!$D$12),INDEX('Sprint N°7'!$C$6:$P$6,CT$4-Resumen_Sprints!$E$12),0)</f>
        <v>0</v>
      </c>
      <c r="CU40" s="25">
        <f t="shared" ref="CU40:CU44" si="7">SUM(C40:CT40)</f>
        <v>16</v>
      </c>
    </row>
    <row r="41" ht="14.25" customHeight="1">
      <c r="A41" s="11" t="str">
        <f>'Sprint N°7'!A7</f>
        <v>Pruebas Unitarias Motor de Cálculo</v>
      </c>
      <c r="B41" s="11">
        <f>'Sprint N°7'!B7</f>
        <v>30</v>
      </c>
      <c r="C41" s="23">
        <f t="array" ref="C41">IF(AND(C$4&gt;Resumen_Sprints!$E$12,C$4&lt;=Resumen_Sprints!$E$12+Resumen_Sprints!$D$12),INDEX('Sprint N°7'!$C$7:$P$7,C$4-Resumen_Sprints!$E$12),0)</f>
        <v>0</v>
      </c>
      <c r="D41" s="23">
        <f t="array" ref="D41">IF(AND(D$4&gt;Resumen_Sprints!$E$12,D$4&lt;=Resumen_Sprints!$E$12+Resumen_Sprints!$D$12),INDEX('Sprint N°7'!$C$7:$P$7,D$4-Resumen_Sprints!$E$12),0)</f>
        <v>0</v>
      </c>
      <c r="E41" s="23">
        <f t="array" ref="E41">IF(AND(E$4&gt;Resumen_Sprints!$E$12,E$4&lt;=Resumen_Sprints!$E$12+Resumen_Sprints!$D$12),INDEX('Sprint N°7'!$C$7:$P$7,E$4-Resumen_Sprints!$E$12),0)</f>
        <v>0</v>
      </c>
      <c r="F41" s="23">
        <f t="array" ref="F41">IF(AND(F$4&gt;Resumen_Sprints!$E$12,F$4&lt;=Resumen_Sprints!$E$12+Resumen_Sprints!$D$12),INDEX('Sprint N°7'!$C$7:$P$7,F$4-Resumen_Sprints!$E$12),0)</f>
        <v>0</v>
      </c>
      <c r="G41" s="23">
        <f t="array" ref="G41">IF(AND(G$4&gt;Resumen_Sprints!$E$12,G$4&lt;=Resumen_Sprints!$E$12+Resumen_Sprints!$D$12),INDEX('Sprint N°7'!$C$7:$P$7,G$4-Resumen_Sprints!$E$12),0)</f>
        <v>0</v>
      </c>
      <c r="H41" s="23">
        <f t="array" ref="H41">IF(AND(H$4&gt;Resumen_Sprints!$E$12,H$4&lt;=Resumen_Sprints!$E$12+Resumen_Sprints!$D$12),INDEX('Sprint N°7'!$C$7:$P$7,H$4-Resumen_Sprints!$E$12),0)</f>
        <v>0</v>
      </c>
      <c r="I41" s="23">
        <f t="array" ref="I41">IF(AND(I$4&gt;Resumen_Sprints!$E$12,I$4&lt;=Resumen_Sprints!$E$12+Resumen_Sprints!$D$12),INDEX('Sprint N°7'!$C$7:$P$7,I$4-Resumen_Sprints!$E$12),0)</f>
        <v>0</v>
      </c>
      <c r="J41" s="23">
        <f t="array" ref="J41">IF(AND(J$4&gt;Resumen_Sprints!$E$12,J$4&lt;=Resumen_Sprints!$E$12+Resumen_Sprints!$D$12),INDEX('Sprint N°7'!$C$7:$P$7,J$4-Resumen_Sprints!$E$12),0)</f>
        <v>0</v>
      </c>
      <c r="K41" s="23">
        <f t="array" ref="K41">IF(AND(K$4&gt;Resumen_Sprints!$E$12,K$4&lt;=Resumen_Sprints!$E$12+Resumen_Sprints!$D$12),INDEX('Sprint N°7'!$C$7:$P$7,K$4-Resumen_Sprints!$E$12),0)</f>
        <v>0</v>
      </c>
      <c r="L41" s="23">
        <f t="array" ref="L41">IF(AND(L$4&gt;Resumen_Sprints!$E$12,L$4&lt;=Resumen_Sprints!$E$12+Resumen_Sprints!$D$12),INDEX('Sprint N°7'!$C$7:$P$7,L$4-Resumen_Sprints!$E$12),0)</f>
        <v>0</v>
      </c>
      <c r="M41" s="23">
        <f t="array" ref="M41">IF(AND(M$4&gt;Resumen_Sprints!$E$12,M$4&lt;=Resumen_Sprints!$E$12+Resumen_Sprints!$D$12),INDEX('Sprint N°7'!$C$7:$P$7,M$4-Resumen_Sprints!$E$12),0)</f>
        <v>0</v>
      </c>
      <c r="N41" s="23">
        <f t="array" ref="N41">IF(AND(N$4&gt;Resumen_Sprints!$E$12,N$4&lt;=Resumen_Sprints!$E$12+Resumen_Sprints!$D$12),INDEX('Sprint N°7'!$C$7:$P$7,N$4-Resumen_Sprints!$E$12),0)</f>
        <v>0</v>
      </c>
      <c r="O41" s="23">
        <f t="array" ref="O41">IF(AND(O$4&gt;Resumen_Sprints!$E$12,O$4&lt;=Resumen_Sprints!$E$12+Resumen_Sprints!$D$12),INDEX('Sprint N°7'!$C$7:$P$7,O$4-Resumen_Sprints!$E$12),0)</f>
        <v>0</v>
      </c>
      <c r="P41" s="23">
        <f t="array" ref="P41">IF(AND(P$4&gt;Resumen_Sprints!$E$12,P$4&lt;=Resumen_Sprints!$E$12+Resumen_Sprints!$D$12),INDEX('Sprint N°7'!$C$7:$P$7,P$4-Resumen_Sprints!$E$12),0)</f>
        <v>0</v>
      </c>
      <c r="Q41" s="23">
        <f t="array" ref="Q41">IF(AND(Q$4&gt;Resumen_Sprints!$E$12,Q$4&lt;=Resumen_Sprints!$E$12+Resumen_Sprints!$D$12),INDEX('Sprint N°7'!$C$7:$P$7,Q$4-Resumen_Sprints!$E$12),0)</f>
        <v>0</v>
      </c>
      <c r="R41" s="23">
        <f t="array" ref="R41">IF(AND(R$4&gt;Resumen_Sprints!$E$12,R$4&lt;=Resumen_Sprints!$E$12+Resumen_Sprints!$D$12),INDEX('Sprint N°7'!$C$7:$P$7,R$4-Resumen_Sprints!$E$12),0)</f>
        <v>0</v>
      </c>
      <c r="S41" s="23">
        <f t="array" ref="S41">IF(AND(S$4&gt;Resumen_Sprints!$E$12,S$4&lt;=Resumen_Sprints!$E$12+Resumen_Sprints!$D$12),INDEX('Sprint N°7'!$C$7:$P$7,S$4-Resumen_Sprints!$E$12),0)</f>
        <v>0</v>
      </c>
      <c r="T41" s="23">
        <f t="array" ref="T41">IF(AND(T$4&gt;Resumen_Sprints!$E$12,T$4&lt;=Resumen_Sprints!$E$12+Resumen_Sprints!$D$12),INDEX('Sprint N°7'!$C$7:$P$7,T$4-Resumen_Sprints!$E$12),0)</f>
        <v>0</v>
      </c>
      <c r="U41" s="23">
        <f t="array" ref="U41">IF(AND(U$4&gt;Resumen_Sprints!$E$12,U$4&lt;=Resumen_Sprints!$E$12+Resumen_Sprints!$D$12),INDEX('Sprint N°7'!$C$7:$P$7,U$4-Resumen_Sprints!$E$12),0)</f>
        <v>0</v>
      </c>
      <c r="V41" s="23">
        <f t="array" ref="V41">IF(AND(V$4&gt;Resumen_Sprints!$E$12,V$4&lt;=Resumen_Sprints!$E$12+Resumen_Sprints!$D$12),INDEX('Sprint N°7'!$C$7:$P$7,V$4-Resumen_Sprints!$E$12),0)</f>
        <v>0</v>
      </c>
      <c r="W41" s="23">
        <f t="array" ref="W41">IF(AND(W$4&gt;Resumen_Sprints!$E$12,W$4&lt;=Resumen_Sprints!$E$12+Resumen_Sprints!$D$12),INDEX('Sprint N°7'!$C$7:$P$7,W$4-Resumen_Sprints!$E$12),0)</f>
        <v>0</v>
      </c>
      <c r="X41" s="23">
        <f t="array" ref="X41">IF(AND(X$4&gt;Resumen_Sprints!$E$12,X$4&lt;=Resumen_Sprints!$E$12+Resumen_Sprints!$D$12),INDEX('Sprint N°7'!$C$7:$P$7,X$4-Resumen_Sprints!$E$12),0)</f>
        <v>0</v>
      </c>
      <c r="Y41" s="23">
        <f t="array" ref="Y41">IF(AND(Y$4&gt;Resumen_Sprints!$E$12,Y$4&lt;=Resumen_Sprints!$E$12+Resumen_Sprints!$D$12),INDEX('Sprint N°7'!$C$7:$P$7,Y$4-Resumen_Sprints!$E$12),0)</f>
        <v>0</v>
      </c>
      <c r="Z41" s="23">
        <f t="array" ref="Z41">IF(AND(Z$4&gt;Resumen_Sprints!$E$12,Z$4&lt;=Resumen_Sprints!$E$12+Resumen_Sprints!$D$12),INDEX('Sprint N°7'!$C$7:$P$7,Z$4-Resumen_Sprints!$E$12),0)</f>
        <v>0</v>
      </c>
      <c r="AA41" s="23">
        <f t="array" ref="AA41">IF(AND(AA$4&gt;Resumen_Sprints!$E$12,AA$4&lt;=Resumen_Sprints!$E$12+Resumen_Sprints!$D$12),INDEX('Sprint N°7'!$C$7:$P$7,AA$4-Resumen_Sprints!$E$12),0)</f>
        <v>0</v>
      </c>
      <c r="AB41" s="23">
        <f t="array" ref="AB41">IF(AND(AB$4&gt;Resumen_Sprints!$E$12,AB$4&lt;=Resumen_Sprints!$E$12+Resumen_Sprints!$D$12),INDEX('Sprint N°7'!$C$7:$P$7,AB$4-Resumen_Sprints!$E$12),0)</f>
        <v>0</v>
      </c>
      <c r="AC41" s="23">
        <f t="array" ref="AC41">IF(AND(AC$4&gt;Resumen_Sprints!$E$12,AC$4&lt;=Resumen_Sprints!$E$12+Resumen_Sprints!$D$12),INDEX('Sprint N°7'!$C$7:$P$7,AC$4-Resumen_Sprints!$E$12),0)</f>
        <v>0</v>
      </c>
      <c r="AD41" s="23">
        <f t="array" ref="AD41">IF(AND(AD$4&gt;Resumen_Sprints!$E$12,AD$4&lt;=Resumen_Sprints!$E$12+Resumen_Sprints!$D$12),INDEX('Sprint N°7'!$C$7:$P$7,AD$4-Resumen_Sprints!$E$12),0)</f>
        <v>0</v>
      </c>
      <c r="AE41" s="23">
        <f t="array" ref="AE41">IF(AND(AE$4&gt;Resumen_Sprints!$E$12,AE$4&lt;=Resumen_Sprints!$E$12+Resumen_Sprints!$D$12),INDEX('Sprint N°7'!$C$7:$P$7,AE$4-Resumen_Sprints!$E$12),0)</f>
        <v>0</v>
      </c>
      <c r="AF41" s="23">
        <f t="array" ref="AF41">IF(AND(AF$4&gt;Resumen_Sprints!$E$12,AF$4&lt;=Resumen_Sprints!$E$12+Resumen_Sprints!$D$12),INDEX('Sprint N°7'!$C$7:$P$7,AF$4-Resumen_Sprints!$E$12),0)</f>
        <v>0</v>
      </c>
      <c r="AG41" s="23">
        <f t="array" ref="AG41">IF(AND(AG$4&gt;Resumen_Sprints!$E$12,AG$4&lt;=Resumen_Sprints!$E$12+Resumen_Sprints!$D$12),INDEX('Sprint N°7'!$C$7:$P$7,AG$4-Resumen_Sprints!$E$12),0)</f>
        <v>0</v>
      </c>
      <c r="AH41" s="23">
        <f t="array" ref="AH41">IF(AND(AH$4&gt;Resumen_Sprints!$E$12,AH$4&lt;=Resumen_Sprints!$E$12+Resumen_Sprints!$D$12),INDEX('Sprint N°7'!$C$7:$P$7,AH$4-Resumen_Sprints!$E$12),0)</f>
        <v>0</v>
      </c>
      <c r="AI41" s="23">
        <f t="array" ref="AI41">IF(AND(AI$4&gt;Resumen_Sprints!$E$12,AI$4&lt;=Resumen_Sprints!$E$12+Resumen_Sprints!$D$12),INDEX('Sprint N°7'!$C$7:$P$7,AI$4-Resumen_Sprints!$E$12),0)</f>
        <v>0</v>
      </c>
      <c r="AJ41" s="23">
        <f t="array" ref="AJ41">IF(AND(AJ$4&gt;Resumen_Sprints!$E$12,AJ$4&lt;=Resumen_Sprints!$E$12+Resumen_Sprints!$D$12),INDEX('Sprint N°7'!$C$7:$P$7,AJ$4-Resumen_Sprints!$E$12),0)</f>
        <v>0</v>
      </c>
      <c r="AK41" s="23">
        <f t="array" ref="AK41">IF(AND(AK$4&gt;Resumen_Sprints!$E$12,AK$4&lt;=Resumen_Sprints!$E$12+Resumen_Sprints!$D$12),INDEX('Sprint N°7'!$C$7:$P$7,AK$4-Resumen_Sprints!$E$12),0)</f>
        <v>0</v>
      </c>
      <c r="AL41" s="23">
        <f t="array" ref="AL41">IF(AND(AL$4&gt;Resumen_Sprints!$E$12,AL$4&lt;=Resumen_Sprints!$E$12+Resumen_Sprints!$D$12),INDEX('Sprint N°7'!$C$7:$P$7,AL$4-Resumen_Sprints!$E$12),0)</f>
        <v>0</v>
      </c>
      <c r="AM41" s="23">
        <f t="array" ref="AM41">IF(AND(AM$4&gt;Resumen_Sprints!$E$12,AM$4&lt;=Resumen_Sprints!$E$12+Resumen_Sprints!$D$12),INDEX('Sprint N°7'!$C$7:$P$7,AM$4-Resumen_Sprints!$E$12),0)</f>
        <v>0</v>
      </c>
      <c r="AN41" s="23">
        <f t="array" ref="AN41">IF(AND(AN$4&gt;Resumen_Sprints!$E$12,AN$4&lt;=Resumen_Sprints!$E$12+Resumen_Sprints!$D$12),INDEX('Sprint N°7'!$C$7:$P$7,AN$4-Resumen_Sprints!$E$12),0)</f>
        <v>0</v>
      </c>
      <c r="AO41" s="23">
        <f t="array" ref="AO41">IF(AND(AO$4&gt;Resumen_Sprints!$E$12,AO$4&lt;=Resumen_Sprints!$E$12+Resumen_Sprints!$D$12),INDEX('Sprint N°7'!$C$7:$P$7,AO$4-Resumen_Sprints!$E$12),0)</f>
        <v>0</v>
      </c>
      <c r="AP41" s="23">
        <f t="array" ref="AP41">IF(AND(AP$4&gt;Resumen_Sprints!$E$12,AP$4&lt;=Resumen_Sprints!$E$12+Resumen_Sprints!$D$12),INDEX('Sprint N°7'!$C$7:$P$7,AP$4-Resumen_Sprints!$E$12),0)</f>
        <v>0</v>
      </c>
      <c r="AQ41" s="23">
        <f t="array" ref="AQ41">IF(AND(AQ$4&gt;Resumen_Sprints!$E$12,AQ$4&lt;=Resumen_Sprints!$E$12+Resumen_Sprints!$D$12),INDEX('Sprint N°7'!$C$7:$P$7,AQ$4-Resumen_Sprints!$E$12),0)</f>
        <v>0</v>
      </c>
      <c r="AR41" s="23">
        <f t="array" ref="AR41">IF(AND(AR$4&gt;Resumen_Sprints!$E$12,AR$4&lt;=Resumen_Sprints!$E$12+Resumen_Sprints!$D$12),INDEX('Sprint N°7'!$C$7:$P$7,AR$4-Resumen_Sprints!$E$12),0)</f>
        <v>0</v>
      </c>
      <c r="AS41" s="23">
        <f t="array" ref="AS41">IF(AND(AS$4&gt;Resumen_Sprints!$E$12,AS$4&lt;=Resumen_Sprints!$E$12+Resumen_Sprints!$D$12),INDEX('Sprint N°7'!$C$7:$P$7,AS$4-Resumen_Sprints!$E$12),0)</f>
        <v>0</v>
      </c>
      <c r="AT41" s="23">
        <f t="array" ref="AT41">IF(AND(AT$4&gt;Resumen_Sprints!$E$12,AT$4&lt;=Resumen_Sprints!$E$12+Resumen_Sprints!$D$12),INDEX('Sprint N°7'!$C$7:$P$7,AT$4-Resumen_Sprints!$E$12),0)</f>
        <v>0</v>
      </c>
      <c r="AU41" s="23">
        <f t="array" ref="AU41">IF(AND(AU$4&gt;Resumen_Sprints!$E$12,AU$4&lt;=Resumen_Sprints!$E$12+Resumen_Sprints!$D$12),INDEX('Sprint N°7'!$C$7:$P$7,AU$4-Resumen_Sprints!$E$12),0)</f>
        <v>0</v>
      </c>
      <c r="AV41" s="23">
        <f t="array" ref="AV41">IF(AND(AV$4&gt;Resumen_Sprints!$E$12,AV$4&lt;=Resumen_Sprints!$E$12+Resumen_Sprints!$D$12),INDEX('Sprint N°7'!$C$7:$P$7,AV$4-Resumen_Sprints!$E$12),0)</f>
        <v>0</v>
      </c>
      <c r="AW41" s="23">
        <f t="array" ref="AW41">IF(AND(AW$4&gt;Resumen_Sprints!$E$12,AW$4&lt;=Resumen_Sprints!$E$12+Resumen_Sprints!$D$12),INDEX('Sprint N°7'!$C$7:$P$7,AW$4-Resumen_Sprints!$E$12),0)</f>
        <v>0</v>
      </c>
      <c r="AX41" s="23">
        <f t="array" ref="AX41">IF(AND(AX$4&gt;Resumen_Sprints!$E$12,AX$4&lt;=Resumen_Sprints!$E$12+Resumen_Sprints!$D$12),INDEX('Sprint N°7'!$C$7:$P$7,AX$4-Resumen_Sprints!$E$12),0)</f>
        <v>0</v>
      </c>
      <c r="AY41" s="23">
        <f t="array" ref="AY41">IF(AND(AY$4&gt;Resumen_Sprints!$E$12,AY$4&lt;=Resumen_Sprints!$E$12+Resumen_Sprints!$D$12),INDEX('Sprint N°7'!$C$7:$P$7,AY$4-Resumen_Sprints!$E$12),0)</f>
        <v>0</v>
      </c>
      <c r="AZ41" s="23">
        <f t="array" ref="AZ41">IF(AND(AZ$4&gt;Resumen_Sprints!$E$12,AZ$4&lt;=Resumen_Sprints!$E$12+Resumen_Sprints!$D$12),INDEX('Sprint N°7'!$C$7:$P$7,AZ$4-Resumen_Sprints!$E$12),0)</f>
        <v>0</v>
      </c>
      <c r="BA41" s="23">
        <f t="array" ref="BA41">IF(AND(BA$4&gt;Resumen_Sprints!$E$12,BA$4&lt;=Resumen_Sprints!$E$12+Resumen_Sprints!$D$12),INDEX('Sprint N°7'!$C$7:$P$7,BA$4-Resumen_Sprints!$E$12),0)</f>
        <v>0</v>
      </c>
      <c r="BB41" s="23">
        <f t="array" ref="BB41">IF(AND(BB$4&gt;Resumen_Sprints!$E$12,BB$4&lt;=Resumen_Sprints!$E$12+Resumen_Sprints!$D$12),INDEX('Sprint N°7'!$C$7:$P$7,BB$4-Resumen_Sprints!$E$12),0)</f>
        <v>0</v>
      </c>
      <c r="BC41" s="23">
        <f t="array" ref="BC41">IF(AND(BC$4&gt;Resumen_Sprints!$E$12,BC$4&lt;=Resumen_Sprints!$E$12+Resumen_Sprints!$D$12),INDEX('Sprint N°7'!$C$7:$P$7,BC$4-Resumen_Sprints!$E$12),0)</f>
        <v>0</v>
      </c>
      <c r="BD41" s="23">
        <f t="array" ref="BD41">IF(AND(BD$4&gt;Resumen_Sprints!$E$12,BD$4&lt;=Resumen_Sprints!$E$12+Resumen_Sprints!$D$12),INDEX('Sprint N°7'!$C$7:$P$7,BD$4-Resumen_Sprints!$E$12),0)</f>
        <v>0</v>
      </c>
      <c r="BE41" s="23">
        <f t="array" ref="BE41">IF(AND(BE$4&gt;Resumen_Sprints!$E$12,BE$4&lt;=Resumen_Sprints!$E$12+Resumen_Sprints!$D$12),INDEX('Sprint N°7'!$C$7:$P$7,BE$4-Resumen_Sprints!$E$12),0)</f>
        <v>0</v>
      </c>
      <c r="BF41" s="23">
        <f t="array" ref="BF41">IF(AND(BF$4&gt;Resumen_Sprints!$E$12,BF$4&lt;=Resumen_Sprints!$E$12+Resumen_Sprints!$D$12),INDEX('Sprint N°7'!$C$7:$P$7,BF$4-Resumen_Sprints!$E$12),0)</f>
        <v>0</v>
      </c>
      <c r="BG41" s="23">
        <f t="array" ref="BG41">IF(AND(BG$4&gt;Resumen_Sprints!$E$12,BG$4&lt;=Resumen_Sprints!$E$12+Resumen_Sprints!$D$12),INDEX('Sprint N°7'!$C$7:$P$7,BG$4-Resumen_Sprints!$E$12),0)</f>
        <v>0</v>
      </c>
      <c r="BH41" s="23">
        <f t="array" ref="BH41">IF(AND(BH$4&gt;Resumen_Sprints!$E$12,BH$4&lt;=Resumen_Sprints!$E$12+Resumen_Sprints!$D$12),INDEX('Sprint N°7'!$C$7:$P$7,BH$4-Resumen_Sprints!$E$12),0)</f>
        <v>0</v>
      </c>
      <c r="BI41" s="23">
        <f t="array" ref="BI41">IF(AND(BI$4&gt;Resumen_Sprints!$E$12,BI$4&lt;=Resumen_Sprints!$E$12+Resumen_Sprints!$D$12),INDEX('Sprint N°7'!$C$7:$P$7,BI$4-Resumen_Sprints!$E$12),0)</f>
        <v>0</v>
      </c>
      <c r="BJ41" s="23">
        <f t="array" ref="BJ41">IF(AND(BJ$4&gt;Resumen_Sprints!$E$12,BJ$4&lt;=Resumen_Sprints!$E$12+Resumen_Sprints!$D$12),INDEX('Sprint N°7'!$C$7:$P$7,BJ$4-Resumen_Sprints!$E$12),0)</f>
        <v>0</v>
      </c>
      <c r="BK41" s="23">
        <f t="array" ref="BK41">IF(AND(BK$4&gt;Resumen_Sprints!$E$12,BK$4&lt;=Resumen_Sprints!$E$12+Resumen_Sprints!$D$12),INDEX('Sprint N°7'!$C$7:$P$7,BK$4-Resumen_Sprints!$E$12),0)</f>
        <v>0</v>
      </c>
      <c r="BL41" s="23">
        <f t="array" ref="BL41">IF(AND(BL$4&gt;Resumen_Sprints!$E$12,BL$4&lt;=Resumen_Sprints!$E$12+Resumen_Sprints!$D$12),INDEX('Sprint N°7'!$C$7:$P$7,BL$4-Resumen_Sprints!$E$12),0)</f>
        <v>0</v>
      </c>
      <c r="BM41" s="23">
        <f t="array" ref="BM41">IF(AND(BM$4&gt;Resumen_Sprints!$E$12,BM$4&lt;=Resumen_Sprints!$E$12+Resumen_Sprints!$D$12),INDEX('Sprint N°7'!$C$7:$P$7,BM$4-Resumen_Sprints!$E$12),0)</f>
        <v>0</v>
      </c>
      <c r="BN41" s="23">
        <f t="array" ref="BN41">IF(AND(BN$4&gt;Resumen_Sprints!$E$12,BN$4&lt;=Resumen_Sprints!$E$12+Resumen_Sprints!$D$12),INDEX('Sprint N°7'!$C$7:$P$7,BN$4-Resumen_Sprints!$E$12),0)</f>
        <v>0</v>
      </c>
      <c r="BO41" s="23">
        <f t="array" ref="BO41">IF(AND(BO$4&gt;Resumen_Sprints!$E$12,BO$4&lt;=Resumen_Sprints!$E$12+Resumen_Sprints!$D$12),INDEX('Sprint N°7'!$C$7:$P$7,BO$4-Resumen_Sprints!$E$12),0)</f>
        <v>0</v>
      </c>
      <c r="BP41" s="23">
        <f t="array" ref="BP41">IF(AND(BP$4&gt;Resumen_Sprints!$E$12,BP$4&lt;=Resumen_Sprints!$E$12+Resumen_Sprints!$D$12),INDEX('Sprint N°7'!$C$7:$P$7,BP$4-Resumen_Sprints!$E$12),0)</f>
        <v>0</v>
      </c>
      <c r="BQ41" s="23">
        <f t="array" ref="BQ41">IF(AND(BQ$4&gt;Resumen_Sprints!$E$12,BQ$4&lt;=Resumen_Sprints!$E$12+Resumen_Sprints!$D$12),INDEX('Sprint N°7'!$C$7:$P$7,BQ$4-Resumen_Sprints!$E$12),0)</f>
        <v>0</v>
      </c>
      <c r="BR41" s="23">
        <f t="array" ref="BR41">IF(AND(BR$4&gt;Resumen_Sprints!$E$12,BR$4&lt;=Resumen_Sprints!$E$12+Resumen_Sprints!$D$12),INDEX('Sprint N°7'!$C$7:$P$7,BR$4-Resumen_Sprints!$E$12),0)</f>
        <v>0</v>
      </c>
      <c r="BS41" s="23">
        <f t="array" ref="BS41">IF(AND(BS$4&gt;Resumen_Sprints!$E$12,BS$4&lt;=Resumen_Sprints!$E$12+Resumen_Sprints!$D$12),INDEX('Sprint N°7'!$C$7:$P$7,BS$4-Resumen_Sprints!$E$12),0)</f>
        <v>0</v>
      </c>
      <c r="BT41" s="23" t="str">
        <f t="array" ref="BT41">IF(AND(BT$4&gt;Resumen_Sprints!$E$12,BT$4&lt;=Resumen_Sprints!$E$12+Resumen_Sprints!$D$12),INDEX('Sprint N°7'!$C$7:$P$7,BT$4-Resumen_Sprints!$E$12),0)</f>
        <v/>
      </c>
      <c r="BU41" s="23" t="str">
        <f t="array" ref="BU41">IF(AND(BU$4&gt;Resumen_Sprints!$E$12,BU$4&lt;=Resumen_Sprints!$E$12+Resumen_Sprints!$D$12),INDEX('Sprint N°7'!$C$7:$P$7,BU$4-Resumen_Sprints!$E$12),0)</f>
        <v/>
      </c>
      <c r="BV41" s="23">
        <f t="array" ref="BV41">IF(AND(BV$4&gt;Resumen_Sprints!$E$12,BV$4&lt;=Resumen_Sprints!$E$12+Resumen_Sprints!$D$12),INDEX('Sprint N°7'!$C$7:$P$7,BV$4-Resumen_Sprints!$E$12),0)</f>
        <v>6</v>
      </c>
      <c r="BW41" s="23">
        <f t="array" ref="BW41">IF(AND(BW$4&gt;Resumen_Sprints!$E$12,BW$4&lt;=Resumen_Sprints!$E$12+Resumen_Sprints!$D$12),INDEX('Sprint N°7'!$C$7:$P$7,BW$4-Resumen_Sprints!$E$12),0)</f>
        <v>10</v>
      </c>
      <c r="BX41" s="23">
        <f t="array" ref="BX41">IF(AND(BX$4&gt;Resumen_Sprints!$E$12,BX$4&lt;=Resumen_Sprints!$E$12+Resumen_Sprints!$D$12),INDEX('Sprint N°7'!$C$7:$P$7,BX$4-Resumen_Sprints!$E$12),0)</f>
        <v>8</v>
      </c>
      <c r="BY41" s="23">
        <f t="array" ref="BY41">IF(AND(BY$4&gt;Resumen_Sprints!$E$12,BY$4&lt;=Resumen_Sprints!$E$12+Resumen_Sprints!$D$12),INDEX('Sprint N°7'!$C$7:$P$7,BY$4-Resumen_Sprints!$E$12),0)</f>
        <v>6</v>
      </c>
      <c r="BZ41" s="23" t="str">
        <f t="array" ref="BZ41">IF(AND(BZ$4&gt;Resumen_Sprints!$E$12,BZ$4&lt;=Resumen_Sprints!$E$12+Resumen_Sprints!$D$12),INDEX('Sprint N°7'!$C$7:$P$7,BZ$4-Resumen_Sprints!$E$12),0)</f>
        <v/>
      </c>
      <c r="CA41" s="23" t="str">
        <f t="array" ref="CA41">IF(AND(CA$4&gt;Resumen_Sprints!$E$12,CA$4&lt;=Resumen_Sprints!$E$12+Resumen_Sprints!$D$12),INDEX('Sprint N°7'!$C$7:$P$7,CA$4-Resumen_Sprints!$E$12),0)</f>
        <v/>
      </c>
      <c r="CB41" s="23" t="str">
        <f t="array" ref="CB41">IF(AND(CB$4&gt;Resumen_Sprints!$E$12,CB$4&lt;=Resumen_Sprints!$E$12+Resumen_Sprints!$D$12),INDEX('Sprint N°7'!$C$7:$P$7,CB$4-Resumen_Sprints!$E$12),0)</f>
        <v/>
      </c>
      <c r="CC41" s="23" t="str">
        <f t="array" ref="CC41">IF(AND(CC$4&gt;Resumen_Sprints!$E$12,CC$4&lt;=Resumen_Sprints!$E$12+Resumen_Sprints!$D$12),INDEX('Sprint N°7'!$C$7:$P$7,CC$4-Resumen_Sprints!$E$12),0)</f>
        <v/>
      </c>
      <c r="CD41" s="23" t="str">
        <f t="array" ref="CD41">IF(AND(CD$4&gt;Resumen_Sprints!$E$12,CD$4&lt;=Resumen_Sprints!$E$12+Resumen_Sprints!$D$12),INDEX('Sprint N°7'!$C$7:$P$7,CD$4-Resumen_Sprints!$E$12),0)</f>
        <v/>
      </c>
      <c r="CE41" s="23" t="str">
        <f t="array" ref="CE41">IF(AND(CE$4&gt;Resumen_Sprints!$E$12,CE$4&lt;=Resumen_Sprints!$E$12+Resumen_Sprints!$D$12),INDEX('Sprint N°7'!$C$7:$P$7,CE$4-Resumen_Sprints!$E$12),0)</f>
        <v/>
      </c>
      <c r="CF41" s="23" t="str">
        <f t="array" ref="CF41">IF(AND(CF$4&gt;Resumen_Sprints!$E$12,CF$4&lt;=Resumen_Sprints!$E$12+Resumen_Sprints!$D$12),INDEX('Sprint N°7'!$C$7:$P$7,CF$4-Resumen_Sprints!$E$12),0)</f>
        <v/>
      </c>
      <c r="CG41" s="23" t="str">
        <f t="array" ref="CG41">IF(AND(CG$4&gt;Resumen_Sprints!$E$12,CG$4&lt;=Resumen_Sprints!$E$12+Resumen_Sprints!$D$12),INDEX('Sprint N°7'!$C$7:$P$7,CG$4-Resumen_Sprints!$E$12),0)</f>
        <v/>
      </c>
      <c r="CH41" s="23">
        <f t="array" ref="CH41">IF(AND(CH$4&gt;Resumen_Sprints!$E$12,CH$4&lt;=Resumen_Sprints!$E$12+Resumen_Sprints!$D$12),INDEX('Sprint N°7'!$C$7:$P$7,CH$4-Resumen_Sprints!$E$12),0)</f>
        <v>0</v>
      </c>
      <c r="CI41" s="23">
        <f t="array" ref="CI41">IF(AND(CI$4&gt;Resumen_Sprints!$E$12,CI$4&lt;=Resumen_Sprints!$E$12+Resumen_Sprints!$D$12),INDEX('Sprint N°7'!$C$7:$P$7,CI$4-Resumen_Sprints!$E$12),0)</f>
        <v>0</v>
      </c>
      <c r="CJ41" s="23">
        <f t="array" ref="CJ41">IF(AND(CJ$4&gt;Resumen_Sprints!$E$12,CJ$4&lt;=Resumen_Sprints!$E$12+Resumen_Sprints!$D$12),INDEX('Sprint N°7'!$C$7:$P$7,CJ$4-Resumen_Sprints!$E$12),0)</f>
        <v>0</v>
      </c>
      <c r="CK41" s="23">
        <f t="array" ref="CK41">IF(AND(CK$4&gt;Resumen_Sprints!$E$12,CK$4&lt;=Resumen_Sprints!$E$12+Resumen_Sprints!$D$12),INDEX('Sprint N°7'!$C$7:$P$7,CK$4-Resumen_Sprints!$E$12),0)</f>
        <v>0</v>
      </c>
      <c r="CL41" s="23">
        <f t="array" ref="CL41">IF(AND(CL$4&gt;Resumen_Sprints!$E$12,CL$4&lt;=Resumen_Sprints!$E$12+Resumen_Sprints!$D$12),INDEX('Sprint N°7'!$C$7:$P$7,CL$4-Resumen_Sprints!$E$12),0)</f>
        <v>0</v>
      </c>
      <c r="CM41" s="23">
        <f t="array" ref="CM41">IF(AND(CM$4&gt;Resumen_Sprints!$E$12,CM$4&lt;=Resumen_Sprints!$E$12+Resumen_Sprints!$D$12),INDEX('Sprint N°7'!$C$7:$P$7,CM$4-Resumen_Sprints!$E$12),0)</f>
        <v>0</v>
      </c>
      <c r="CN41" s="23">
        <f t="array" ref="CN41">IF(AND(CN$4&gt;Resumen_Sprints!$E$12,CN$4&lt;=Resumen_Sprints!$E$12+Resumen_Sprints!$D$12),INDEX('Sprint N°7'!$C$7:$P$7,CN$4-Resumen_Sprints!$E$12),0)</f>
        <v>0</v>
      </c>
      <c r="CO41" s="23">
        <f t="array" ref="CO41">IF(AND(CO$4&gt;Resumen_Sprints!$E$12,CO$4&lt;=Resumen_Sprints!$E$12+Resumen_Sprints!$D$12),INDEX('Sprint N°7'!$C$7:$P$7,CO$4-Resumen_Sprints!$E$12),0)</f>
        <v>0</v>
      </c>
      <c r="CP41" s="23">
        <f t="array" ref="CP41">IF(AND(CP$4&gt;Resumen_Sprints!$E$12,CP$4&lt;=Resumen_Sprints!$E$12+Resumen_Sprints!$D$12),INDEX('Sprint N°7'!$C$7:$P$7,CP$4-Resumen_Sprints!$E$12),0)</f>
        <v>0</v>
      </c>
      <c r="CQ41" s="23">
        <f t="array" ref="CQ41">IF(AND(CQ$4&gt;Resumen_Sprints!$E$12,CQ$4&lt;=Resumen_Sprints!$E$12+Resumen_Sprints!$D$12),INDEX('Sprint N°7'!$C$7:$P$7,CQ$4-Resumen_Sprints!$E$12),0)</f>
        <v>0</v>
      </c>
      <c r="CR41" s="23">
        <f t="array" ref="CR41">IF(AND(CR$4&gt;Resumen_Sprints!$E$12,CR$4&lt;=Resumen_Sprints!$E$12+Resumen_Sprints!$D$12),INDEX('Sprint N°7'!$C$7:$P$7,CR$4-Resumen_Sprints!$E$12),0)</f>
        <v>0</v>
      </c>
      <c r="CS41" s="23">
        <f t="array" ref="CS41">IF(AND(CS$4&gt;Resumen_Sprints!$E$12,CS$4&lt;=Resumen_Sprints!$E$12+Resumen_Sprints!$D$12),INDEX('Sprint N°7'!$C$7:$P$7,CS$4-Resumen_Sprints!$E$12),0)</f>
        <v>0</v>
      </c>
      <c r="CT41" s="23">
        <f t="array" ref="CT41">IF(AND(CT$4&gt;Resumen_Sprints!$E$12,CT$4&lt;=Resumen_Sprints!$E$12+Resumen_Sprints!$D$12),INDEX('Sprint N°7'!$C$7:$P$7,CT$4-Resumen_Sprints!$E$12),0)</f>
        <v>0</v>
      </c>
      <c r="CU41" s="25">
        <f t="shared" si="7"/>
        <v>30</v>
      </c>
    </row>
    <row r="42" ht="14.25" customHeight="1">
      <c r="A42" s="11" t="str">
        <f>'Sprint N°7'!A8</f>
        <v>Pruebas Unitarias Interfaz Gráfica</v>
      </c>
      <c r="B42" s="11">
        <f>'Sprint N°7'!B8</f>
        <v>14</v>
      </c>
      <c r="C42" s="23">
        <f t="array" ref="C42">IF(AND(C$4&gt;Resumen_Sprints!$E$12,C$4&lt;=Resumen_Sprints!$E$12+Resumen_Sprints!$D$12),INDEX('Sprint N°7'!$C$8:$P$8,C$4-Resumen_Sprints!$E$12),0)</f>
        <v>0</v>
      </c>
      <c r="D42" s="23">
        <f t="array" ref="D42">IF(AND(D$4&gt;Resumen_Sprints!$E$12,D$4&lt;=Resumen_Sprints!$E$12+Resumen_Sprints!$D$12),INDEX('Sprint N°7'!$C$8:$P$8,D$4-Resumen_Sprints!$E$12),0)</f>
        <v>0</v>
      </c>
      <c r="E42" s="23">
        <f t="array" ref="E42">IF(AND(E$4&gt;Resumen_Sprints!$E$12,E$4&lt;=Resumen_Sprints!$E$12+Resumen_Sprints!$D$12),INDEX('Sprint N°7'!$C$8:$P$8,E$4-Resumen_Sprints!$E$12),0)</f>
        <v>0</v>
      </c>
      <c r="F42" s="23">
        <f t="array" ref="F42">IF(AND(F$4&gt;Resumen_Sprints!$E$12,F$4&lt;=Resumen_Sprints!$E$12+Resumen_Sprints!$D$12),INDEX('Sprint N°7'!$C$8:$P$8,F$4-Resumen_Sprints!$E$12),0)</f>
        <v>0</v>
      </c>
      <c r="G42" s="23">
        <f t="array" ref="G42">IF(AND(G$4&gt;Resumen_Sprints!$E$12,G$4&lt;=Resumen_Sprints!$E$12+Resumen_Sprints!$D$12),INDEX('Sprint N°7'!$C$8:$P$8,G$4-Resumen_Sprints!$E$12),0)</f>
        <v>0</v>
      </c>
      <c r="H42" s="23">
        <f t="array" ref="H42">IF(AND(H$4&gt;Resumen_Sprints!$E$12,H$4&lt;=Resumen_Sprints!$E$12+Resumen_Sprints!$D$12),INDEX('Sprint N°7'!$C$8:$P$8,H$4-Resumen_Sprints!$E$12),0)</f>
        <v>0</v>
      </c>
      <c r="I42" s="23">
        <f t="array" ref="I42">IF(AND(I$4&gt;Resumen_Sprints!$E$12,I$4&lt;=Resumen_Sprints!$E$12+Resumen_Sprints!$D$12),INDEX('Sprint N°7'!$C$8:$P$8,I$4-Resumen_Sprints!$E$12),0)</f>
        <v>0</v>
      </c>
      <c r="J42" s="23">
        <f t="array" ref="J42">IF(AND(J$4&gt;Resumen_Sprints!$E$12,J$4&lt;=Resumen_Sprints!$E$12+Resumen_Sprints!$D$12),INDEX('Sprint N°7'!$C$8:$P$8,J$4-Resumen_Sprints!$E$12),0)</f>
        <v>0</v>
      </c>
      <c r="K42" s="23">
        <f t="array" ref="K42">IF(AND(K$4&gt;Resumen_Sprints!$E$12,K$4&lt;=Resumen_Sprints!$E$12+Resumen_Sprints!$D$12),INDEX('Sprint N°7'!$C$8:$P$8,K$4-Resumen_Sprints!$E$12),0)</f>
        <v>0</v>
      </c>
      <c r="L42" s="23">
        <f t="array" ref="L42">IF(AND(L$4&gt;Resumen_Sprints!$E$12,L$4&lt;=Resumen_Sprints!$E$12+Resumen_Sprints!$D$12),INDEX('Sprint N°7'!$C$8:$P$8,L$4-Resumen_Sprints!$E$12),0)</f>
        <v>0</v>
      </c>
      <c r="M42" s="23">
        <f t="array" ref="M42">IF(AND(M$4&gt;Resumen_Sprints!$E$12,M$4&lt;=Resumen_Sprints!$E$12+Resumen_Sprints!$D$12),INDEX('Sprint N°7'!$C$8:$P$8,M$4-Resumen_Sprints!$E$12),0)</f>
        <v>0</v>
      </c>
      <c r="N42" s="23">
        <f t="array" ref="N42">IF(AND(N$4&gt;Resumen_Sprints!$E$12,N$4&lt;=Resumen_Sprints!$E$12+Resumen_Sprints!$D$12),INDEX('Sprint N°7'!$C$8:$P$8,N$4-Resumen_Sprints!$E$12),0)</f>
        <v>0</v>
      </c>
      <c r="O42" s="23">
        <f t="array" ref="O42">IF(AND(O$4&gt;Resumen_Sprints!$E$12,O$4&lt;=Resumen_Sprints!$E$12+Resumen_Sprints!$D$12),INDEX('Sprint N°7'!$C$8:$P$8,O$4-Resumen_Sprints!$E$12),0)</f>
        <v>0</v>
      </c>
      <c r="P42" s="23">
        <f t="array" ref="P42">IF(AND(P$4&gt;Resumen_Sprints!$E$12,P$4&lt;=Resumen_Sprints!$E$12+Resumen_Sprints!$D$12),INDEX('Sprint N°7'!$C$8:$P$8,P$4-Resumen_Sprints!$E$12),0)</f>
        <v>0</v>
      </c>
      <c r="Q42" s="23">
        <f t="array" ref="Q42">IF(AND(Q$4&gt;Resumen_Sprints!$E$12,Q$4&lt;=Resumen_Sprints!$E$12+Resumen_Sprints!$D$12),INDEX('Sprint N°7'!$C$8:$P$8,Q$4-Resumen_Sprints!$E$12),0)</f>
        <v>0</v>
      </c>
      <c r="R42" s="23">
        <f t="array" ref="R42">IF(AND(R$4&gt;Resumen_Sprints!$E$12,R$4&lt;=Resumen_Sprints!$E$12+Resumen_Sprints!$D$12),INDEX('Sprint N°7'!$C$8:$P$8,R$4-Resumen_Sprints!$E$12),0)</f>
        <v>0</v>
      </c>
      <c r="S42" s="23">
        <f t="array" ref="S42">IF(AND(S$4&gt;Resumen_Sprints!$E$12,S$4&lt;=Resumen_Sprints!$E$12+Resumen_Sprints!$D$12),INDEX('Sprint N°7'!$C$8:$P$8,S$4-Resumen_Sprints!$E$12),0)</f>
        <v>0</v>
      </c>
      <c r="T42" s="23">
        <f t="array" ref="T42">IF(AND(T$4&gt;Resumen_Sprints!$E$12,T$4&lt;=Resumen_Sprints!$E$12+Resumen_Sprints!$D$12),INDEX('Sprint N°7'!$C$8:$P$8,T$4-Resumen_Sprints!$E$12),0)</f>
        <v>0</v>
      </c>
      <c r="U42" s="23">
        <f t="array" ref="U42">IF(AND(U$4&gt;Resumen_Sprints!$E$12,U$4&lt;=Resumen_Sprints!$E$12+Resumen_Sprints!$D$12),INDEX('Sprint N°7'!$C$8:$P$8,U$4-Resumen_Sprints!$E$12),0)</f>
        <v>0</v>
      </c>
      <c r="V42" s="23">
        <f t="array" ref="V42">IF(AND(V$4&gt;Resumen_Sprints!$E$12,V$4&lt;=Resumen_Sprints!$E$12+Resumen_Sprints!$D$12),INDEX('Sprint N°7'!$C$8:$P$8,V$4-Resumen_Sprints!$E$12),0)</f>
        <v>0</v>
      </c>
      <c r="W42" s="23">
        <f t="array" ref="W42">IF(AND(W$4&gt;Resumen_Sprints!$E$12,W$4&lt;=Resumen_Sprints!$E$12+Resumen_Sprints!$D$12),INDEX('Sprint N°7'!$C$8:$P$8,W$4-Resumen_Sprints!$E$12),0)</f>
        <v>0</v>
      </c>
      <c r="X42" s="23">
        <f t="array" ref="X42">IF(AND(X$4&gt;Resumen_Sprints!$E$12,X$4&lt;=Resumen_Sprints!$E$12+Resumen_Sprints!$D$12),INDEX('Sprint N°7'!$C$8:$P$8,X$4-Resumen_Sprints!$E$12),0)</f>
        <v>0</v>
      </c>
      <c r="Y42" s="23">
        <f t="array" ref="Y42">IF(AND(Y$4&gt;Resumen_Sprints!$E$12,Y$4&lt;=Resumen_Sprints!$E$12+Resumen_Sprints!$D$12),INDEX('Sprint N°7'!$C$8:$P$8,Y$4-Resumen_Sprints!$E$12),0)</f>
        <v>0</v>
      </c>
      <c r="Z42" s="23">
        <f t="array" ref="Z42">IF(AND(Z$4&gt;Resumen_Sprints!$E$12,Z$4&lt;=Resumen_Sprints!$E$12+Resumen_Sprints!$D$12),INDEX('Sprint N°7'!$C$8:$P$8,Z$4-Resumen_Sprints!$E$12),0)</f>
        <v>0</v>
      </c>
      <c r="AA42" s="23">
        <f t="array" ref="AA42">IF(AND(AA$4&gt;Resumen_Sprints!$E$12,AA$4&lt;=Resumen_Sprints!$E$12+Resumen_Sprints!$D$12),INDEX('Sprint N°7'!$C$8:$P$8,AA$4-Resumen_Sprints!$E$12),0)</f>
        <v>0</v>
      </c>
      <c r="AB42" s="23">
        <f t="array" ref="AB42">IF(AND(AB$4&gt;Resumen_Sprints!$E$12,AB$4&lt;=Resumen_Sprints!$E$12+Resumen_Sprints!$D$12),INDEX('Sprint N°7'!$C$8:$P$8,AB$4-Resumen_Sprints!$E$12),0)</f>
        <v>0</v>
      </c>
      <c r="AC42" s="23">
        <f t="array" ref="AC42">IF(AND(AC$4&gt;Resumen_Sprints!$E$12,AC$4&lt;=Resumen_Sprints!$E$12+Resumen_Sprints!$D$12),INDEX('Sprint N°7'!$C$8:$P$8,AC$4-Resumen_Sprints!$E$12),0)</f>
        <v>0</v>
      </c>
      <c r="AD42" s="23">
        <f t="array" ref="AD42">IF(AND(AD$4&gt;Resumen_Sprints!$E$12,AD$4&lt;=Resumen_Sprints!$E$12+Resumen_Sprints!$D$12),INDEX('Sprint N°7'!$C$8:$P$8,AD$4-Resumen_Sprints!$E$12),0)</f>
        <v>0</v>
      </c>
      <c r="AE42" s="23">
        <f t="array" ref="AE42">IF(AND(AE$4&gt;Resumen_Sprints!$E$12,AE$4&lt;=Resumen_Sprints!$E$12+Resumen_Sprints!$D$12),INDEX('Sprint N°7'!$C$8:$P$8,AE$4-Resumen_Sprints!$E$12),0)</f>
        <v>0</v>
      </c>
      <c r="AF42" s="23">
        <f t="array" ref="AF42">IF(AND(AF$4&gt;Resumen_Sprints!$E$12,AF$4&lt;=Resumen_Sprints!$E$12+Resumen_Sprints!$D$12),INDEX('Sprint N°7'!$C$8:$P$8,AF$4-Resumen_Sprints!$E$12),0)</f>
        <v>0</v>
      </c>
      <c r="AG42" s="23">
        <f t="array" ref="AG42">IF(AND(AG$4&gt;Resumen_Sprints!$E$12,AG$4&lt;=Resumen_Sprints!$E$12+Resumen_Sprints!$D$12),INDEX('Sprint N°7'!$C$8:$P$8,AG$4-Resumen_Sprints!$E$12),0)</f>
        <v>0</v>
      </c>
      <c r="AH42" s="23">
        <f t="array" ref="AH42">IF(AND(AH$4&gt;Resumen_Sprints!$E$12,AH$4&lt;=Resumen_Sprints!$E$12+Resumen_Sprints!$D$12),INDEX('Sprint N°7'!$C$8:$P$8,AH$4-Resumen_Sprints!$E$12),0)</f>
        <v>0</v>
      </c>
      <c r="AI42" s="23">
        <f t="array" ref="AI42">IF(AND(AI$4&gt;Resumen_Sprints!$E$12,AI$4&lt;=Resumen_Sprints!$E$12+Resumen_Sprints!$D$12),INDEX('Sprint N°7'!$C$8:$P$8,AI$4-Resumen_Sprints!$E$12),0)</f>
        <v>0</v>
      </c>
      <c r="AJ42" s="23">
        <f t="array" ref="AJ42">IF(AND(AJ$4&gt;Resumen_Sprints!$E$12,AJ$4&lt;=Resumen_Sprints!$E$12+Resumen_Sprints!$D$12),INDEX('Sprint N°7'!$C$8:$P$8,AJ$4-Resumen_Sprints!$E$12),0)</f>
        <v>0</v>
      </c>
      <c r="AK42" s="23">
        <f t="array" ref="AK42">IF(AND(AK$4&gt;Resumen_Sprints!$E$12,AK$4&lt;=Resumen_Sprints!$E$12+Resumen_Sprints!$D$12),INDEX('Sprint N°7'!$C$8:$P$8,AK$4-Resumen_Sprints!$E$12),0)</f>
        <v>0</v>
      </c>
      <c r="AL42" s="23">
        <f t="array" ref="AL42">IF(AND(AL$4&gt;Resumen_Sprints!$E$12,AL$4&lt;=Resumen_Sprints!$E$12+Resumen_Sprints!$D$12),INDEX('Sprint N°7'!$C$8:$P$8,AL$4-Resumen_Sprints!$E$12),0)</f>
        <v>0</v>
      </c>
      <c r="AM42" s="23">
        <f t="array" ref="AM42">IF(AND(AM$4&gt;Resumen_Sprints!$E$12,AM$4&lt;=Resumen_Sprints!$E$12+Resumen_Sprints!$D$12),INDEX('Sprint N°7'!$C$8:$P$8,AM$4-Resumen_Sprints!$E$12),0)</f>
        <v>0</v>
      </c>
      <c r="AN42" s="23">
        <f t="array" ref="AN42">IF(AND(AN$4&gt;Resumen_Sprints!$E$12,AN$4&lt;=Resumen_Sprints!$E$12+Resumen_Sprints!$D$12),INDEX('Sprint N°7'!$C$8:$P$8,AN$4-Resumen_Sprints!$E$12),0)</f>
        <v>0</v>
      </c>
      <c r="AO42" s="23">
        <f t="array" ref="AO42">IF(AND(AO$4&gt;Resumen_Sprints!$E$12,AO$4&lt;=Resumen_Sprints!$E$12+Resumen_Sprints!$D$12),INDEX('Sprint N°7'!$C$8:$P$8,AO$4-Resumen_Sprints!$E$12),0)</f>
        <v>0</v>
      </c>
      <c r="AP42" s="23">
        <f t="array" ref="AP42">IF(AND(AP$4&gt;Resumen_Sprints!$E$12,AP$4&lt;=Resumen_Sprints!$E$12+Resumen_Sprints!$D$12),INDEX('Sprint N°7'!$C$8:$P$8,AP$4-Resumen_Sprints!$E$12),0)</f>
        <v>0</v>
      </c>
      <c r="AQ42" s="23">
        <f t="array" ref="AQ42">IF(AND(AQ$4&gt;Resumen_Sprints!$E$12,AQ$4&lt;=Resumen_Sprints!$E$12+Resumen_Sprints!$D$12),INDEX('Sprint N°7'!$C$8:$P$8,AQ$4-Resumen_Sprints!$E$12),0)</f>
        <v>0</v>
      </c>
      <c r="AR42" s="23">
        <f t="array" ref="AR42">IF(AND(AR$4&gt;Resumen_Sprints!$E$12,AR$4&lt;=Resumen_Sprints!$E$12+Resumen_Sprints!$D$12),INDEX('Sprint N°7'!$C$8:$P$8,AR$4-Resumen_Sprints!$E$12),0)</f>
        <v>0</v>
      </c>
      <c r="AS42" s="23">
        <f t="array" ref="AS42">IF(AND(AS$4&gt;Resumen_Sprints!$E$12,AS$4&lt;=Resumen_Sprints!$E$12+Resumen_Sprints!$D$12),INDEX('Sprint N°7'!$C$8:$P$8,AS$4-Resumen_Sprints!$E$12),0)</f>
        <v>0</v>
      </c>
      <c r="AT42" s="23">
        <f t="array" ref="AT42">IF(AND(AT$4&gt;Resumen_Sprints!$E$12,AT$4&lt;=Resumen_Sprints!$E$12+Resumen_Sprints!$D$12),INDEX('Sprint N°7'!$C$8:$P$8,AT$4-Resumen_Sprints!$E$12),0)</f>
        <v>0</v>
      </c>
      <c r="AU42" s="23">
        <f t="array" ref="AU42">IF(AND(AU$4&gt;Resumen_Sprints!$E$12,AU$4&lt;=Resumen_Sprints!$E$12+Resumen_Sprints!$D$12),INDEX('Sprint N°7'!$C$8:$P$8,AU$4-Resumen_Sprints!$E$12),0)</f>
        <v>0</v>
      </c>
      <c r="AV42" s="23">
        <f t="array" ref="AV42">IF(AND(AV$4&gt;Resumen_Sprints!$E$12,AV$4&lt;=Resumen_Sprints!$E$12+Resumen_Sprints!$D$12),INDEX('Sprint N°7'!$C$8:$P$8,AV$4-Resumen_Sprints!$E$12),0)</f>
        <v>0</v>
      </c>
      <c r="AW42" s="23">
        <f t="array" ref="AW42">IF(AND(AW$4&gt;Resumen_Sprints!$E$12,AW$4&lt;=Resumen_Sprints!$E$12+Resumen_Sprints!$D$12),INDEX('Sprint N°7'!$C$8:$P$8,AW$4-Resumen_Sprints!$E$12),0)</f>
        <v>0</v>
      </c>
      <c r="AX42" s="23">
        <f t="array" ref="AX42">IF(AND(AX$4&gt;Resumen_Sprints!$E$12,AX$4&lt;=Resumen_Sprints!$E$12+Resumen_Sprints!$D$12),INDEX('Sprint N°7'!$C$8:$P$8,AX$4-Resumen_Sprints!$E$12),0)</f>
        <v>0</v>
      </c>
      <c r="AY42" s="23">
        <f t="array" ref="AY42">IF(AND(AY$4&gt;Resumen_Sprints!$E$12,AY$4&lt;=Resumen_Sprints!$E$12+Resumen_Sprints!$D$12),INDEX('Sprint N°7'!$C$8:$P$8,AY$4-Resumen_Sprints!$E$12),0)</f>
        <v>0</v>
      </c>
      <c r="AZ42" s="23">
        <f t="array" ref="AZ42">IF(AND(AZ$4&gt;Resumen_Sprints!$E$12,AZ$4&lt;=Resumen_Sprints!$E$12+Resumen_Sprints!$D$12),INDEX('Sprint N°7'!$C$8:$P$8,AZ$4-Resumen_Sprints!$E$12),0)</f>
        <v>0</v>
      </c>
      <c r="BA42" s="23">
        <f t="array" ref="BA42">IF(AND(BA$4&gt;Resumen_Sprints!$E$12,BA$4&lt;=Resumen_Sprints!$E$12+Resumen_Sprints!$D$12),INDEX('Sprint N°7'!$C$8:$P$8,BA$4-Resumen_Sprints!$E$12),0)</f>
        <v>0</v>
      </c>
      <c r="BB42" s="23">
        <f t="array" ref="BB42">IF(AND(BB$4&gt;Resumen_Sprints!$E$12,BB$4&lt;=Resumen_Sprints!$E$12+Resumen_Sprints!$D$12),INDEX('Sprint N°7'!$C$8:$P$8,BB$4-Resumen_Sprints!$E$12),0)</f>
        <v>0</v>
      </c>
      <c r="BC42" s="23">
        <f t="array" ref="BC42">IF(AND(BC$4&gt;Resumen_Sprints!$E$12,BC$4&lt;=Resumen_Sprints!$E$12+Resumen_Sprints!$D$12),INDEX('Sprint N°7'!$C$8:$P$8,BC$4-Resumen_Sprints!$E$12),0)</f>
        <v>0</v>
      </c>
      <c r="BD42" s="23">
        <f t="array" ref="BD42">IF(AND(BD$4&gt;Resumen_Sprints!$E$12,BD$4&lt;=Resumen_Sprints!$E$12+Resumen_Sprints!$D$12),INDEX('Sprint N°7'!$C$8:$P$8,BD$4-Resumen_Sprints!$E$12),0)</f>
        <v>0</v>
      </c>
      <c r="BE42" s="23">
        <f t="array" ref="BE42">IF(AND(BE$4&gt;Resumen_Sprints!$E$12,BE$4&lt;=Resumen_Sprints!$E$12+Resumen_Sprints!$D$12),INDEX('Sprint N°7'!$C$8:$P$8,BE$4-Resumen_Sprints!$E$12),0)</f>
        <v>0</v>
      </c>
      <c r="BF42" s="23">
        <f t="array" ref="BF42">IF(AND(BF$4&gt;Resumen_Sprints!$E$12,BF$4&lt;=Resumen_Sprints!$E$12+Resumen_Sprints!$D$12),INDEX('Sprint N°7'!$C$8:$P$8,BF$4-Resumen_Sprints!$E$12),0)</f>
        <v>0</v>
      </c>
      <c r="BG42" s="23">
        <f t="array" ref="BG42">IF(AND(BG$4&gt;Resumen_Sprints!$E$12,BG$4&lt;=Resumen_Sprints!$E$12+Resumen_Sprints!$D$12),INDEX('Sprint N°7'!$C$8:$P$8,BG$4-Resumen_Sprints!$E$12),0)</f>
        <v>0</v>
      </c>
      <c r="BH42" s="23">
        <f t="array" ref="BH42">IF(AND(BH$4&gt;Resumen_Sprints!$E$12,BH$4&lt;=Resumen_Sprints!$E$12+Resumen_Sprints!$D$12),INDEX('Sprint N°7'!$C$8:$P$8,BH$4-Resumen_Sprints!$E$12),0)</f>
        <v>0</v>
      </c>
      <c r="BI42" s="23">
        <f t="array" ref="BI42">IF(AND(BI$4&gt;Resumen_Sprints!$E$12,BI$4&lt;=Resumen_Sprints!$E$12+Resumen_Sprints!$D$12),INDEX('Sprint N°7'!$C$8:$P$8,BI$4-Resumen_Sprints!$E$12),0)</f>
        <v>0</v>
      </c>
      <c r="BJ42" s="23">
        <f t="array" ref="BJ42">IF(AND(BJ$4&gt;Resumen_Sprints!$E$12,BJ$4&lt;=Resumen_Sprints!$E$12+Resumen_Sprints!$D$12),INDEX('Sprint N°7'!$C$8:$P$8,BJ$4-Resumen_Sprints!$E$12),0)</f>
        <v>0</v>
      </c>
      <c r="BK42" s="23">
        <f t="array" ref="BK42">IF(AND(BK$4&gt;Resumen_Sprints!$E$12,BK$4&lt;=Resumen_Sprints!$E$12+Resumen_Sprints!$D$12),INDEX('Sprint N°7'!$C$8:$P$8,BK$4-Resumen_Sprints!$E$12),0)</f>
        <v>0</v>
      </c>
      <c r="BL42" s="23">
        <f t="array" ref="BL42">IF(AND(BL$4&gt;Resumen_Sprints!$E$12,BL$4&lt;=Resumen_Sprints!$E$12+Resumen_Sprints!$D$12),INDEX('Sprint N°7'!$C$8:$P$8,BL$4-Resumen_Sprints!$E$12),0)</f>
        <v>0</v>
      </c>
      <c r="BM42" s="23">
        <f t="array" ref="BM42">IF(AND(BM$4&gt;Resumen_Sprints!$E$12,BM$4&lt;=Resumen_Sprints!$E$12+Resumen_Sprints!$D$12),INDEX('Sprint N°7'!$C$8:$P$8,BM$4-Resumen_Sprints!$E$12),0)</f>
        <v>0</v>
      </c>
      <c r="BN42" s="23">
        <f t="array" ref="BN42">IF(AND(BN$4&gt;Resumen_Sprints!$E$12,BN$4&lt;=Resumen_Sprints!$E$12+Resumen_Sprints!$D$12),INDEX('Sprint N°7'!$C$8:$P$8,BN$4-Resumen_Sprints!$E$12),0)</f>
        <v>0</v>
      </c>
      <c r="BO42" s="23">
        <f t="array" ref="BO42">IF(AND(BO$4&gt;Resumen_Sprints!$E$12,BO$4&lt;=Resumen_Sprints!$E$12+Resumen_Sprints!$D$12),INDEX('Sprint N°7'!$C$8:$P$8,BO$4-Resumen_Sprints!$E$12),0)</f>
        <v>0</v>
      </c>
      <c r="BP42" s="23">
        <f t="array" ref="BP42">IF(AND(BP$4&gt;Resumen_Sprints!$E$12,BP$4&lt;=Resumen_Sprints!$E$12+Resumen_Sprints!$D$12),INDEX('Sprint N°7'!$C$8:$P$8,BP$4-Resumen_Sprints!$E$12),0)</f>
        <v>0</v>
      </c>
      <c r="BQ42" s="23">
        <f t="array" ref="BQ42">IF(AND(BQ$4&gt;Resumen_Sprints!$E$12,BQ$4&lt;=Resumen_Sprints!$E$12+Resumen_Sprints!$D$12),INDEX('Sprint N°7'!$C$8:$P$8,BQ$4-Resumen_Sprints!$E$12),0)</f>
        <v>0</v>
      </c>
      <c r="BR42" s="23">
        <f t="array" ref="BR42">IF(AND(BR$4&gt;Resumen_Sprints!$E$12,BR$4&lt;=Resumen_Sprints!$E$12+Resumen_Sprints!$D$12),INDEX('Sprint N°7'!$C$8:$P$8,BR$4-Resumen_Sprints!$E$12),0)</f>
        <v>0</v>
      </c>
      <c r="BS42" s="23">
        <f t="array" ref="BS42">IF(AND(BS$4&gt;Resumen_Sprints!$E$12,BS$4&lt;=Resumen_Sprints!$E$12+Resumen_Sprints!$D$12),INDEX('Sprint N°7'!$C$8:$P$8,BS$4-Resumen_Sprints!$E$12),0)</f>
        <v>0</v>
      </c>
      <c r="BT42" s="23" t="str">
        <f t="array" ref="BT42">IF(AND(BT$4&gt;Resumen_Sprints!$E$12,BT$4&lt;=Resumen_Sprints!$E$12+Resumen_Sprints!$D$12),INDEX('Sprint N°7'!$C$8:$P$8,BT$4-Resumen_Sprints!$E$12),0)</f>
        <v/>
      </c>
      <c r="BU42" s="23" t="str">
        <f t="array" ref="BU42">IF(AND(BU$4&gt;Resumen_Sprints!$E$12,BU$4&lt;=Resumen_Sprints!$E$12+Resumen_Sprints!$D$12),INDEX('Sprint N°7'!$C$8:$P$8,BU$4-Resumen_Sprints!$E$12),0)</f>
        <v/>
      </c>
      <c r="BV42" s="23" t="str">
        <f t="array" ref="BV42">IF(AND(BV$4&gt;Resumen_Sprints!$E$12,BV$4&lt;=Resumen_Sprints!$E$12+Resumen_Sprints!$D$12),INDEX('Sprint N°7'!$C$8:$P$8,BV$4-Resumen_Sprints!$E$12),0)</f>
        <v/>
      </c>
      <c r="BW42" s="23" t="str">
        <f t="array" ref="BW42">IF(AND(BW$4&gt;Resumen_Sprints!$E$12,BW$4&lt;=Resumen_Sprints!$E$12+Resumen_Sprints!$D$12),INDEX('Sprint N°7'!$C$8:$P$8,BW$4-Resumen_Sprints!$E$12),0)</f>
        <v/>
      </c>
      <c r="BX42" s="23" t="str">
        <f t="array" ref="BX42">IF(AND(BX$4&gt;Resumen_Sprints!$E$12,BX$4&lt;=Resumen_Sprints!$E$12+Resumen_Sprints!$D$12),INDEX('Sprint N°7'!$C$8:$P$8,BX$4-Resumen_Sprints!$E$12),0)</f>
        <v/>
      </c>
      <c r="BY42" s="23">
        <f t="array" ref="BY42">IF(AND(BY$4&gt;Resumen_Sprints!$E$12,BY$4&lt;=Resumen_Sprints!$E$12+Resumen_Sprints!$D$12),INDEX('Sprint N°7'!$C$8:$P$8,BY$4-Resumen_Sprints!$E$12),0)</f>
        <v>5</v>
      </c>
      <c r="BZ42" s="23">
        <f t="array" ref="BZ42">IF(AND(BZ$4&gt;Resumen_Sprints!$E$12,BZ$4&lt;=Resumen_Sprints!$E$12+Resumen_Sprints!$D$12),INDEX('Sprint N°7'!$C$8:$P$8,BZ$4-Resumen_Sprints!$E$12),0)</f>
        <v>9</v>
      </c>
      <c r="CA42" s="23" t="str">
        <f t="array" ref="CA42">IF(AND(CA$4&gt;Resumen_Sprints!$E$12,CA$4&lt;=Resumen_Sprints!$E$12+Resumen_Sprints!$D$12),INDEX('Sprint N°7'!$C$8:$P$8,CA$4-Resumen_Sprints!$E$12),0)</f>
        <v/>
      </c>
      <c r="CB42" s="23" t="str">
        <f t="array" ref="CB42">IF(AND(CB$4&gt;Resumen_Sprints!$E$12,CB$4&lt;=Resumen_Sprints!$E$12+Resumen_Sprints!$D$12),INDEX('Sprint N°7'!$C$8:$P$8,CB$4-Resumen_Sprints!$E$12),0)</f>
        <v/>
      </c>
      <c r="CC42" s="23" t="str">
        <f t="array" ref="CC42">IF(AND(CC$4&gt;Resumen_Sprints!$E$12,CC$4&lt;=Resumen_Sprints!$E$12+Resumen_Sprints!$D$12),INDEX('Sprint N°7'!$C$8:$P$8,CC$4-Resumen_Sprints!$E$12),0)</f>
        <v/>
      </c>
      <c r="CD42" s="23" t="str">
        <f t="array" ref="CD42">IF(AND(CD$4&gt;Resumen_Sprints!$E$12,CD$4&lt;=Resumen_Sprints!$E$12+Resumen_Sprints!$D$12),INDEX('Sprint N°7'!$C$8:$P$8,CD$4-Resumen_Sprints!$E$12),0)</f>
        <v/>
      </c>
      <c r="CE42" s="23" t="str">
        <f t="array" ref="CE42">IF(AND(CE$4&gt;Resumen_Sprints!$E$12,CE$4&lt;=Resumen_Sprints!$E$12+Resumen_Sprints!$D$12),INDEX('Sprint N°7'!$C$8:$P$8,CE$4-Resumen_Sprints!$E$12),0)</f>
        <v/>
      </c>
      <c r="CF42" s="23" t="str">
        <f t="array" ref="CF42">IF(AND(CF$4&gt;Resumen_Sprints!$E$12,CF$4&lt;=Resumen_Sprints!$E$12+Resumen_Sprints!$D$12),INDEX('Sprint N°7'!$C$8:$P$8,CF$4-Resumen_Sprints!$E$12),0)</f>
        <v/>
      </c>
      <c r="CG42" s="23" t="str">
        <f t="array" ref="CG42">IF(AND(CG$4&gt;Resumen_Sprints!$E$12,CG$4&lt;=Resumen_Sprints!$E$12+Resumen_Sprints!$D$12),INDEX('Sprint N°7'!$C$8:$P$8,CG$4-Resumen_Sprints!$E$12),0)</f>
        <v/>
      </c>
      <c r="CH42" s="23">
        <f t="array" ref="CH42">IF(AND(CH$4&gt;Resumen_Sprints!$E$12,CH$4&lt;=Resumen_Sprints!$E$12+Resumen_Sprints!$D$12),INDEX('Sprint N°7'!$C$8:$P$8,CH$4-Resumen_Sprints!$E$12),0)</f>
        <v>0</v>
      </c>
      <c r="CI42" s="23">
        <f t="array" ref="CI42">IF(AND(CI$4&gt;Resumen_Sprints!$E$12,CI$4&lt;=Resumen_Sprints!$E$12+Resumen_Sprints!$D$12),INDEX('Sprint N°7'!$C$8:$P$8,CI$4-Resumen_Sprints!$E$12),0)</f>
        <v>0</v>
      </c>
      <c r="CJ42" s="23">
        <f t="array" ref="CJ42">IF(AND(CJ$4&gt;Resumen_Sprints!$E$12,CJ$4&lt;=Resumen_Sprints!$E$12+Resumen_Sprints!$D$12),INDEX('Sprint N°7'!$C$8:$P$8,CJ$4-Resumen_Sprints!$E$12),0)</f>
        <v>0</v>
      </c>
      <c r="CK42" s="23">
        <f t="array" ref="CK42">IF(AND(CK$4&gt;Resumen_Sprints!$E$12,CK$4&lt;=Resumen_Sprints!$E$12+Resumen_Sprints!$D$12),INDEX('Sprint N°7'!$C$8:$P$8,CK$4-Resumen_Sprints!$E$12),0)</f>
        <v>0</v>
      </c>
      <c r="CL42" s="23">
        <f t="array" ref="CL42">IF(AND(CL$4&gt;Resumen_Sprints!$E$12,CL$4&lt;=Resumen_Sprints!$E$12+Resumen_Sprints!$D$12),INDEX('Sprint N°7'!$C$8:$P$8,CL$4-Resumen_Sprints!$E$12),0)</f>
        <v>0</v>
      </c>
      <c r="CM42" s="23">
        <f t="array" ref="CM42">IF(AND(CM$4&gt;Resumen_Sprints!$E$12,CM$4&lt;=Resumen_Sprints!$E$12+Resumen_Sprints!$D$12),INDEX('Sprint N°7'!$C$8:$P$8,CM$4-Resumen_Sprints!$E$12),0)</f>
        <v>0</v>
      </c>
      <c r="CN42" s="23">
        <f t="array" ref="CN42">IF(AND(CN$4&gt;Resumen_Sprints!$E$12,CN$4&lt;=Resumen_Sprints!$E$12+Resumen_Sprints!$D$12),INDEX('Sprint N°7'!$C$8:$P$8,CN$4-Resumen_Sprints!$E$12),0)</f>
        <v>0</v>
      </c>
      <c r="CO42" s="23">
        <f t="array" ref="CO42">IF(AND(CO$4&gt;Resumen_Sprints!$E$12,CO$4&lt;=Resumen_Sprints!$E$12+Resumen_Sprints!$D$12),INDEX('Sprint N°7'!$C$8:$P$8,CO$4-Resumen_Sprints!$E$12),0)</f>
        <v>0</v>
      </c>
      <c r="CP42" s="23">
        <f t="array" ref="CP42">IF(AND(CP$4&gt;Resumen_Sprints!$E$12,CP$4&lt;=Resumen_Sprints!$E$12+Resumen_Sprints!$D$12),INDEX('Sprint N°7'!$C$8:$P$8,CP$4-Resumen_Sprints!$E$12),0)</f>
        <v>0</v>
      </c>
      <c r="CQ42" s="23">
        <f t="array" ref="CQ42">IF(AND(CQ$4&gt;Resumen_Sprints!$E$12,CQ$4&lt;=Resumen_Sprints!$E$12+Resumen_Sprints!$D$12),INDEX('Sprint N°7'!$C$8:$P$8,CQ$4-Resumen_Sprints!$E$12),0)</f>
        <v>0</v>
      </c>
      <c r="CR42" s="23">
        <f t="array" ref="CR42">IF(AND(CR$4&gt;Resumen_Sprints!$E$12,CR$4&lt;=Resumen_Sprints!$E$12+Resumen_Sprints!$D$12),INDEX('Sprint N°7'!$C$8:$P$8,CR$4-Resumen_Sprints!$E$12),0)</f>
        <v>0</v>
      </c>
      <c r="CS42" s="23">
        <f t="array" ref="CS42">IF(AND(CS$4&gt;Resumen_Sprints!$E$12,CS$4&lt;=Resumen_Sprints!$E$12+Resumen_Sprints!$D$12),INDEX('Sprint N°7'!$C$8:$P$8,CS$4-Resumen_Sprints!$E$12),0)</f>
        <v>0</v>
      </c>
      <c r="CT42" s="23">
        <f t="array" ref="CT42">IF(AND(CT$4&gt;Resumen_Sprints!$E$12,CT$4&lt;=Resumen_Sprints!$E$12+Resumen_Sprints!$D$12),INDEX('Sprint N°7'!$C$8:$P$8,CT$4-Resumen_Sprints!$E$12),0)</f>
        <v>0</v>
      </c>
      <c r="CU42" s="25">
        <f t="shared" si="7"/>
        <v>14</v>
      </c>
    </row>
    <row r="43" ht="14.25" customHeight="1">
      <c r="A43" s="11" t="str">
        <f>'Sprint N°7'!A9</f>
        <v>Pruebas de Integración</v>
      </c>
      <c r="B43" s="11">
        <f>'Sprint N°7'!B9</f>
        <v>24</v>
      </c>
      <c r="C43" s="23">
        <f t="array" ref="C43">IF(AND(C$4&gt;Resumen_Sprints!$E$12,C$4&lt;=Resumen_Sprints!$E$12+Resumen_Sprints!$D$12),INDEX('Sprint N°7'!$C$9:$P$9,C$4-Resumen_Sprints!$E$12),0)</f>
        <v>0</v>
      </c>
      <c r="D43" s="23">
        <f t="array" ref="D43">IF(AND(D$4&gt;Resumen_Sprints!$E$12,D$4&lt;=Resumen_Sprints!$E$12+Resumen_Sprints!$D$12),INDEX('Sprint N°7'!$C$9:$P$9,D$4-Resumen_Sprints!$E$12),0)</f>
        <v>0</v>
      </c>
      <c r="E43" s="23">
        <f t="array" ref="E43">IF(AND(E$4&gt;Resumen_Sprints!$E$12,E$4&lt;=Resumen_Sprints!$E$12+Resumen_Sprints!$D$12),INDEX('Sprint N°7'!$C$9:$P$9,E$4-Resumen_Sprints!$E$12),0)</f>
        <v>0</v>
      </c>
      <c r="F43" s="23">
        <f t="array" ref="F43">IF(AND(F$4&gt;Resumen_Sprints!$E$12,F$4&lt;=Resumen_Sprints!$E$12+Resumen_Sprints!$D$12),INDEX('Sprint N°7'!$C$9:$P$9,F$4-Resumen_Sprints!$E$12),0)</f>
        <v>0</v>
      </c>
      <c r="G43" s="23">
        <f t="array" ref="G43">IF(AND(G$4&gt;Resumen_Sprints!$E$12,G$4&lt;=Resumen_Sprints!$E$12+Resumen_Sprints!$D$12),INDEX('Sprint N°7'!$C$9:$P$9,G$4-Resumen_Sprints!$E$12),0)</f>
        <v>0</v>
      </c>
      <c r="H43" s="23">
        <f t="array" ref="H43">IF(AND(H$4&gt;Resumen_Sprints!$E$12,H$4&lt;=Resumen_Sprints!$E$12+Resumen_Sprints!$D$12),INDEX('Sprint N°7'!$C$9:$P$9,H$4-Resumen_Sprints!$E$12),0)</f>
        <v>0</v>
      </c>
      <c r="I43" s="23">
        <f t="array" ref="I43">IF(AND(I$4&gt;Resumen_Sprints!$E$12,I$4&lt;=Resumen_Sprints!$E$12+Resumen_Sprints!$D$12),INDEX('Sprint N°7'!$C$9:$P$9,I$4-Resumen_Sprints!$E$12),0)</f>
        <v>0</v>
      </c>
      <c r="J43" s="23">
        <f t="array" ref="J43">IF(AND(J$4&gt;Resumen_Sprints!$E$12,J$4&lt;=Resumen_Sprints!$E$12+Resumen_Sprints!$D$12),INDEX('Sprint N°7'!$C$9:$P$9,J$4-Resumen_Sprints!$E$12),0)</f>
        <v>0</v>
      </c>
      <c r="K43" s="23">
        <f t="array" ref="K43">IF(AND(K$4&gt;Resumen_Sprints!$E$12,K$4&lt;=Resumen_Sprints!$E$12+Resumen_Sprints!$D$12),INDEX('Sprint N°7'!$C$9:$P$9,K$4-Resumen_Sprints!$E$12),0)</f>
        <v>0</v>
      </c>
      <c r="L43" s="23">
        <f t="array" ref="L43">IF(AND(L$4&gt;Resumen_Sprints!$E$12,L$4&lt;=Resumen_Sprints!$E$12+Resumen_Sprints!$D$12),INDEX('Sprint N°7'!$C$9:$P$9,L$4-Resumen_Sprints!$E$12),0)</f>
        <v>0</v>
      </c>
      <c r="M43" s="23">
        <f t="array" ref="M43">IF(AND(M$4&gt;Resumen_Sprints!$E$12,M$4&lt;=Resumen_Sprints!$E$12+Resumen_Sprints!$D$12),INDEX('Sprint N°7'!$C$9:$P$9,M$4-Resumen_Sprints!$E$12),0)</f>
        <v>0</v>
      </c>
      <c r="N43" s="23">
        <f t="array" ref="N43">IF(AND(N$4&gt;Resumen_Sprints!$E$12,N$4&lt;=Resumen_Sprints!$E$12+Resumen_Sprints!$D$12),INDEX('Sprint N°7'!$C$9:$P$9,N$4-Resumen_Sprints!$E$12),0)</f>
        <v>0</v>
      </c>
      <c r="O43" s="23">
        <f t="array" ref="O43">IF(AND(O$4&gt;Resumen_Sprints!$E$12,O$4&lt;=Resumen_Sprints!$E$12+Resumen_Sprints!$D$12),INDEX('Sprint N°7'!$C$9:$P$9,O$4-Resumen_Sprints!$E$12),0)</f>
        <v>0</v>
      </c>
      <c r="P43" s="23">
        <f t="array" ref="P43">IF(AND(P$4&gt;Resumen_Sprints!$E$12,P$4&lt;=Resumen_Sprints!$E$12+Resumen_Sprints!$D$12),INDEX('Sprint N°7'!$C$9:$P$9,P$4-Resumen_Sprints!$E$12),0)</f>
        <v>0</v>
      </c>
      <c r="Q43" s="23">
        <f t="array" ref="Q43">IF(AND(Q$4&gt;Resumen_Sprints!$E$12,Q$4&lt;=Resumen_Sprints!$E$12+Resumen_Sprints!$D$12),INDEX('Sprint N°7'!$C$9:$P$9,Q$4-Resumen_Sprints!$E$12),0)</f>
        <v>0</v>
      </c>
      <c r="R43" s="23">
        <f t="array" ref="R43">IF(AND(R$4&gt;Resumen_Sprints!$E$12,R$4&lt;=Resumen_Sprints!$E$12+Resumen_Sprints!$D$12),INDEX('Sprint N°7'!$C$9:$P$9,R$4-Resumen_Sprints!$E$12),0)</f>
        <v>0</v>
      </c>
      <c r="S43" s="23">
        <f t="array" ref="S43">IF(AND(S$4&gt;Resumen_Sprints!$E$12,S$4&lt;=Resumen_Sprints!$E$12+Resumen_Sprints!$D$12),INDEX('Sprint N°7'!$C$9:$P$9,S$4-Resumen_Sprints!$E$12),0)</f>
        <v>0</v>
      </c>
      <c r="T43" s="23">
        <f t="array" ref="T43">IF(AND(T$4&gt;Resumen_Sprints!$E$12,T$4&lt;=Resumen_Sprints!$E$12+Resumen_Sprints!$D$12),INDEX('Sprint N°7'!$C$9:$P$9,T$4-Resumen_Sprints!$E$12),0)</f>
        <v>0</v>
      </c>
      <c r="U43" s="23">
        <f t="array" ref="U43">IF(AND(U$4&gt;Resumen_Sprints!$E$12,U$4&lt;=Resumen_Sprints!$E$12+Resumen_Sprints!$D$12),INDEX('Sprint N°7'!$C$9:$P$9,U$4-Resumen_Sprints!$E$12),0)</f>
        <v>0</v>
      </c>
      <c r="V43" s="23">
        <f t="array" ref="V43">IF(AND(V$4&gt;Resumen_Sprints!$E$12,V$4&lt;=Resumen_Sprints!$E$12+Resumen_Sprints!$D$12),INDEX('Sprint N°7'!$C$9:$P$9,V$4-Resumen_Sprints!$E$12),0)</f>
        <v>0</v>
      </c>
      <c r="W43" s="23">
        <f t="array" ref="W43">IF(AND(W$4&gt;Resumen_Sprints!$E$12,W$4&lt;=Resumen_Sprints!$E$12+Resumen_Sprints!$D$12),INDEX('Sprint N°7'!$C$9:$P$9,W$4-Resumen_Sprints!$E$12),0)</f>
        <v>0</v>
      </c>
      <c r="X43" s="23">
        <f t="array" ref="X43">IF(AND(X$4&gt;Resumen_Sprints!$E$12,X$4&lt;=Resumen_Sprints!$E$12+Resumen_Sprints!$D$12),INDEX('Sprint N°7'!$C$9:$P$9,X$4-Resumen_Sprints!$E$12),0)</f>
        <v>0</v>
      </c>
      <c r="Y43" s="23">
        <f t="array" ref="Y43">IF(AND(Y$4&gt;Resumen_Sprints!$E$12,Y$4&lt;=Resumen_Sprints!$E$12+Resumen_Sprints!$D$12),INDEX('Sprint N°7'!$C$9:$P$9,Y$4-Resumen_Sprints!$E$12),0)</f>
        <v>0</v>
      </c>
      <c r="Z43" s="23">
        <f t="array" ref="Z43">IF(AND(Z$4&gt;Resumen_Sprints!$E$12,Z$4&lt;=Resumen_Sprints!$E$12+Resumen_Sprints!$D$12),INDEX('Sprint N°7'!$C$9:$P$9,Z$4-Resumen_Sprints!$E$12),0)</f>
        <v>0</v>
      </c>
      <c r="AA43" s="23">
        <f t="array" ref="AA43">IF(AND(AA$4&gt;Resumen_Sprints!$E$12,AA$4&lt;=Resumen_Sprints!$E$12+Resumen_Sprints!$D$12),INDEX('Sprint N°7'!$C$9:$P$9,AA$4-Resumen_Sprints!$E$12),0)</f>
        <v>0</v>
      </c>
      <c r="AB43" s="23">
        <f t="array" ref="AB43">IF(AND(AB$4&gt;Resumen_Sprints!$E$12,AB$4&lt;=Resumen_Sprints!$E$12+Resumen_Sprints!$D$12),INDEX('Sprint N°7'!$C$9:$P$9,AB$4-Resumen_Sprints!$E$12),0)</f>
        <v>0</v>
      </c>
      <c r="AC43" s="23">
        <f t="array" ref="AC43">IF(AND(AC$4&gt;Resumen_Sprints!$E$12,AC$4&lt;=Resumen_Sprints!$E$12+Resumen_Sprints!$D$12),INDEX('Sprint N°7'!$C$9:$P$9,AC$4-Resumen_Sprints!$E$12),0)</f>
        <v>0</v>
      </c>
      <c r="AD43" s="23">
        <f t="array" ref="AD43">IF(AND(AD$4&gt;Resumen_Sprints!$E$12,AD$4&lt;=Resumen_Sprints!$E$12+Resumen_Sprints!$D$12),INDEX('Sprint N°7'!$C$9:$P$9,AD$4-Resumen_Sprints!$E$12),0)</f>
        <v>0</v>
      </c>
      <c r="AE43" s="23">
        <f t="array" ref="AE43">IF(AND(AE$4&gt;Resumen_Sprints!$E$12,AE$4&lt;=Resumen_Sprints!$E$12+Resumen_Sprints!$D$12),INDEX('Sprint N°7'!$C$9:$P$9,AE$4-Resumen_Sprints!$E$12),0)</f>
        <v>0</v>
      </c>
      <c r="AF43" s="23">
        <f t="array" ref="AF43">IF(AND(AF$4&gt;Resumen_Sprints!$E$12,AF$4&lt;=Resumen_Sprints!$E$12+Resumen_Sprints!$D$12),INDEX('Sprint N°7'!$C$9:$P$9,AF$4-Resumen_Sprints!$E$12),0)</f>
        <v>0</v>
      </c>
      <c r="AG43" s="23">
        <f t="array" ref="AG43">IF(AND(AG$4&gt;Resumen_Sprints!$E$12,AG$4&lt;=Resumen_Sprints!$E$12+Resumen_Sprints!$D$12),INDEX('Sprint N°7'!$C$9:$P$9,AG$4-Resumen_Sprints!$E$12),0)</f>
        <v>0</v>
      </c>
      <c r="AH43" s="23">
        <f t="array" ref="AH43">IF(AND(AH$4&gt;Resumen_Sprints!$E$12,AH$4&lt;=Resumen_Sprints!$E$12+Resumen_Sprints!$D$12),INDEX('Sprint N°7'!$C$9:$P$9,AH$4-Resumen_Sprints!$E$12),0)</f>
        <v>0</v>
      </c>
      <c r="AI43" s="23">
        <f t="array" ref="AI43">IF(AND(AI$4&gt;Resumen_Sprints!$E$12,AI$4&lt;=Resumen_Sprints!$E$12+Resumen_Sprints!$D$12),INDEX('Sprint N°7'!$C$9:$P$9,AI$4-Resumen_Sprints!$E$12),0)</f>
        <v>0</v>
      </c>
      <c r="AJ43" s="23">
        <f t="array" ref="AJ43">IF(AND(AJ$4&gt;Resumen_Sprints!$E$12,AJ$4&lt;=Resumen_Sprints!$E$12+Resumen_Sprints!$D$12),INDEX('Sprint N°7'!$C$9:$P$9,AJ$4-Resumen_Sprints!$E$12),0)</f>
        <v>0</v>
      </c>
      <c r="AK43" s="23">
        <f t="array" ref="AK43">IF(AND(AK$4&gt;Resumen_Sprints!$E$12,AK$4&lt;=Resumen_Sprints!$E$12+Resumen_Sprints!$D$12),INDEX('Sprint N°7'!$C$9:$P$9,AK$4-Resumen_Sprints!$E$12),0)</f>
        <v>0</v>
      </c>
      <c r="AL43" s="23">
        <f t="array" ref="AL43">IF(AND(AL$4&gt;Resumen_Sprints!$E$12,AL$4&lt;=Resumen_Sprints!$E$12+Resumen_Sprints!$D$12),INDEX('Sprint N°7'!$C$9:$P$9,AL$4-Resumen_Sprints!$E$12),0)</f>
        <v>0</v>
      </c>
      <c r="AM43" s="23">
        <f t="array" ref="AM43">IF(AND(AM$4&gt;Resumen_Sprints!$E$12,AM$4&lt;=Resumen_Sprints!$E$12+Resumen_Sprints!$D$12),INDEX('Sprint N°7'!$C$9:$P$9,AM$4-Resumen_Sprints!$E$12),0)</f>
        <v>0</v>
      </c>
      <c r="AN43" s="23">
        <f t="array" ref="AN43">IF(AND(AN$4&gt;Resumen_Sprints!$E$12,AN$4&lt;=Resumen_Sprints!$E$12+Resumen_Sprints!$D$12),INDEX('Sprint N°7'!$C$9:$P$9,AN$4-Resumen_Sprints!$E$12),0)</f>
        <v>0</v>
      </c>
      <c r="AO43" s="23">
        <f t="array" ref="AO43">IF(AND(AO$4&gt;Resumen_Sprints!$E$12,AO$4&lt;=Resumen_Sprints!$E$12+Resumen_Sprints!$D$12),INDEX('Sprint N°7'!$C$9:$P$9,AO$4-Resumen_Sprints!$E$12),0)</f>
        <v>0</v>
      </c>
      <c r="AP43" s="23">
        <f t="array" ref="AP43">IF(AND(AP$4&gt;Resumen_Sprints!$E$12,AP$4&lt;=Resumen_Sprints!$E$12+Resumen_Sprints!$D$12),INDEX('Sprint N°7'!$C$9:$P$9,AP$4-Resumen_Sprints!$E$12),0)</f>
        <v>0</v>
      </c>
      <c r="AQ43" s="23">
        <f t="array" ref="AQ43">IF(AND(AQ$4&gt;Resumen_Sprints!$E$12,AQ$4&lt;=Resumen_Sprints!$E$12+Resumen_Sprints!$D$12),INDEX('Sprint N°7'!$C$9:$P$9,AQ$4-Resumen_Sprints!$E$12),0)</f>
        <v>0</v>
      </c>
      <c r="AR43" s="23">
        <f t="array" ref="AR43">IF(AND(AR$4&gt;Resumen_Sprints!$E$12,AR$4&lt;=Resumen_Sprints!$E$12+Resumen_Sprints!$D$12),INDEX('Sprint N°7'!$C$9:$P$9,AR$4-Resumen_Sprints!$E$12),0)</f>
        <v>0</v>
      </c>
      <c r="AS43" s="23">
        <f t="array" ref="AS43">IF(AND(AS$4&gt;Resumen_Sprints!$E$12,AS$4&lt;=Resumen_Sprints!$E$12+Resumen_Sprints!$D$12),INDEX('Sprint N°7'!$C$9:$P$9,AS$4-Resumen_Sprints!$E$12),0)</f>
        <v>0</v>
      </c>
      <c r="AT43" s="23">
        <f t="array" ref="AT43">IF(AND(AT$4&gt;Resumen_Sprints!$E$12,AT$4&lt;=Resumen_Sprints!$E$12+Resumen_Sprints!$D$12),INDEX('Sprint N°7'!$C$9:$P$9,AT$4-Resumen_Sprints!$E$12),0)</f>
        <v>0</v>
      </c>
      <c r="AU43" s="23">
        <f t="array" ref="AU43">IF(AND(AU$4&gt;Resumen_Sprints!$E$12,AU$4&lt;=Resumen_Sprints!$E$12+Resumen_Sprints!$D$12),INDEX('Sprint N°7'!$C$9:$P$9,AU$4-Resumen_Sprints!$E$12),0)</f>
        <v>0</v>
      </c>
      <c r="AV43" s="23">
        <f t="array" ref="AV43">IF(AND(AV$4&gt;Resumen_Sprints!$E$12,AV$4&lt;=Resumen_Sprints!$E$12+Resumen_Sprints!$D$12),INDEX('Sprint N°7'!$C$9:$P$9,AV$4-Resumen_Sprints!$E$12),0)</f>
        <v>0</v>
      </c>
      <c r="AW43" s="23">
        <f t="array" ref="AW43">IF(AND(AW$4&gt;Resumen_Sprints!$E$12,AW$4&lt;=Resumen_Sprints!$E$12+Resumen_Sprints!$D$12),INDEX('Sprint N°7'!$C$9:$P$9,AW$4-Resumen_Sprints!$E$12),0)</f>
        <v>0</v>
      </c>
      <c r="AX43" s="23">
        <f t="array" ref="AX43">IF(AND(AX$4&gt;Resumen_Sprints!$E$12,AX$4&lt;=Resumen_Sprints!$E$12+Resumen_Sprints!$D$12),INDEX('Sprint N°7'!$C$9:$P$9,AX$4-Resumen_Sprints!$E$12),0)</f>
        <v>0</v>
      </c>
      <c r="AY43" s="23">
        <f t="array" ref="AY43">IF(AND(AY$4&gt;Resumen_Sprints!$E$12,AY$4&lt;=Resumen_Sprints!$E$12+Resumen_Sprints!$D$12),INDEX('Sprint N°7'!$C$9:$P$9,AY$4-Resumen_Sprints!$E$12),0)</f>
        <v>0</v>
      </c>
      <c r="AZ43" s="23">
        <f t="array" ref="AZ43">IF(AND(AZ$4&gt;Resumen_Sprints!$E$12,AZ$4&lt;=Resumen_Sprints!$E$12+Resumen_Sprints!$D$12),INDEX('Sprint N°7'!$C$9:$P$9,AZ$4-Resumen_Sprints!$E$12),0)</f>
        <v>0</v>
      </c>
      <c r="BA43" s="23">
        <f t="array" ref="BA43">IF(AND(BA$4&gt;Resumen_Sprints!$E$12,BA$4&lt;=Resumen_Sprints!$E$12+Resumen_Sprints!$D$12),INDEX('Sprint N°7'!$C$9:$P$9,BA$4-Resumen_Sprints!$E$12),0)</f>
        <v>0</v>
      </c>
      <c r="BB43" s="23">
        <f t="array" ref="BB43">IF(AND(BB$4&gt;Resumen_Sprints!$E$12,BB$4&lt;=Resumen_Sprints!$E$12+Resumen_Sprints!$D$12),INDEX('Sprint N°7'!$C$9:$P$9,BB$4-Resumen_Sprints!$E$12),0)</f>
        <v>0</v>
      </c>
      <c r="BC43" s="23">
        <f t="array" ref="BC43">IF(AND(BC$4&gt;Resumen_Sprints!$E$12,BC$4&lt;=Resumen_Sprints!$E$12+Resumen_Sprints!$D$12),INDEX('Sprint N°7'!$C$9:$P$9,BC$4-Resumen_Sprints!$E$12),0)</f>
        <v>0</v>
      </c>
      <c r="BD43" s="23">
        <f t="array" ref="BD43">IF(AND(BD$4&gt;Resumen_Sprints!$E$12,BD$4&lt;=Resumen_Sprints!$E$12+Resumen_Sprints!$D$12),INDEX('Sprint N°7'!$C$9:$P$9,BD$4-Resumen_Sprints!$E$12),0)</f>
        <v>0</v>
      </c>
      <c r="BE43" s="23">
        <f t="array" ref="BE43">IF(AND(BE$4&gt;Resumen_Sprints!$E$12,BE$4&lt;=Resumen_Sprints!$E$12+Resumen_Sprints!$D$12),INDEX('Sprint N°7'!$C$9:$P$9,BE$4-Resumen_Sprints!$E$12),0)</f>
        <v>0</v>
      </c>
      <c r="BF43" s="23">
        <f t="array" ref="BF43">IF(AND(BF$4&gt;Resumen_Sprints!$E$12,BF$4&lt;=Resumen_Sprints!$E$12+Resumen_Sprints!$D$12),INDEX('Sprint N°7'!$C$9:$P$9,BF$4-Resumen_Sprints!$E$12),0)</f>
        <v>0</v>
      </c>
      <c r="BG43" s="23">
        <f t="array" ref="BG43">IF(AND(BG$4&gt;Resumen_Sprints!$E$12,BG$4&lt;=Resumen_Sprints!$E$12+Resumen_Sprints!$D$12),INDEX('Sprint N°7'!$C$9:$P$9,BG$4-Resumen_Sprints!$E$12),0)</f>
        <v>0</v>
      </c>
      <c r="BH43" s="23">
        <f t="array" ref="BH43">IF(AND(BH$4&gt;Resumen_Sprints!$E$12,BH$4&lt;=Resumen_Sprints!$E$12+Resumen_Sprints!$D$12),INDEX('Sprint N°7'!$C$9:$P$9,BH$4-Resumen_Sprints!$E$12),0)</f>
        <v>0</v>
      </c>
      <c r="BI43" s="23">
        <f t="array" ref="BI43">IF(AND(BI$4&gt;Resumen_Sprints!$E$12,BI$4&lt;=Resumen_Sprints!$E$12+Resumen_Sprints!$D$12),INDEX('Sprint N°7'!$C$9:$P$9,BI$4-Resumen_Sprints!$E$12),0)</f>
        <v>0</v>
      </c>
      <c r="BJ43" s="23">
        <f t="array" ref="BJ43">IF(AND(BJ$4&gt;Resumen_Sprints!$E$12,BJ$4&lt;=Resumen_Sprints!$E$12+Resumen_Sprints!$D$12),INDEX('Sprint N°7'!$C$9:$P$9,BJ$4-Resumen_Sprints!$E$12),0)</f>
        <v>0</v>
      </c>
      <c r="BK43" s="23">
        <f t="array" ref="BK43">IF(AND(BK$4&gt;Resumen_Sprints!$E$12,BK$4&lt;=Resumen_Sprints!$E$12+Resumen_Sprints!$D$12),INDEX('Sprint N°7'!$C$9:$P$9,BK$4-Resumen_Sprints!$E$12),0)</f>
        <v>0</v>
      </c>
      <c r="BL43" s="23">
        <f t="array" ref="BL43">IF(AND(BL$4&gt;Resumen_Sprints!$E$12,BL$4&lt;=Resumen_Sprints!$E$12+Resumen_Sprints!$D$12),INDEX('Sprint N°7'!$C$9:$P$9,BL$4-Resumen_Sprints!$E$12),0)</f>
        <v>0</v>
      </c>
      <c r="BM43" s="23">
        <f t="array" ref="BM43">IF(AND(BM$4&gt;Resumen_Sprints!$E$12,BM$4&lt;=Resumen_Sprints!$E$12+Resumen_Sprints!$D$12),INDEX('Sprint N°7'!$C$9:$P$9,BM$4-Resumen_Sprints!$E$12),0)</f>
        <v>0</v>
      </c>
      <c r="BN43" s="23">
        <f t="array" ref="BN43">IF(AND(BN$4&gt;Resumen_Sprints!$E$12,BN$4&lt;=Resumen_Sprints!$E$12+Resumen_Sprints!$D$12),INDEX('Sprint N°7'!$C$9:$P$9,BN$4-Resumen_Sprints!$E$12),0)</f>
        <v>0</v>
      </c>
      <c r="BO43" s="23">
        <f t="array" ref="BO43">IF(AND(BO$4&gt;Resumen_Sprints!$E$12,BO$4&lt;=Resumen_Sprints!$E$12+Resumen_Sprints!$D$12),INDEX('Sprint N°7'!$C$9:$P$9,BO$4-Resumen_Sprints!$E$12),0)</f>
        <v>0</v>
      </c>
      <c r="BP43" s="23">
        <f t="array" ref="BP43">IF(AND(BP$4&gt;Resumen_Sprints!$E$12,BP$4&lt;=Resumen_Sprints!$E$12+Resumen_Sprints!$D$12),INDEX('Sprint N°7'!$C$9:$P$9,BP$4-Resumen_Sprints!$E$12),0)</f>
        <v>0</v>
      </c>
      <c r="BQ43" s="23">
        <f t="array" ref="BQ43">IF(AND(BQ$4&gt;Resumen_Sprints!$E$12,BQ$4&lt;=Resumen_Sprints!$E$12+Resumen_Sprints!$D$12),INDEX('Sprint N°7'!$C$9:$P$9,BQ$4-Resumen_Sprints!$E$12),0)</f>
        <v>0</v>
      </c>
      <c r="BR43" s="23">
        <f t="array" ref="BR43">IF(AND(BR$4&gt;Resumen_Sprints!$E$12,BR$4&lt;=Resumen_Sprints!$E$12+Resumen_Sprints!$D$12),INDEX('Sprint N°7'!$C$9:$P$9,BR$4-Resumen_Sprints!$E$12),0)</f>
        <v>0</v>
      </c>
      <c r="BS43" s="23">
        <f t="array" ref="BS43">IF(AND(BS$4&gt;Resumen_Sprints!$E$12,BS$4&lt;=Resumen_Sprints!$E$12+Resumen_Sprints!$D$12),INDEX('Sprint N°7'!$C$9:$P$9,BS$4-Resumen_Sprints!$E$12),0)</f>
        <v>0</v>
      </c>
      <c r="BT43" s="23" t="str">
        <f t="array" ref="BT43">IF(AND(BT$4&gt;Resumen_Sprints!$E$12,BT$4&lt;=Resumen_Sprints!$E$12+Resumen_Sprints!$D$12),INDEX('Sprint N°7'!$C$9:$P$9,BT$4-Resumen_Sprints!$E$12),0)</f>
        <v/>
      </c>
      <c r="BU43" s="23" t="str">
        <f t="array" ref="BU43">IF(AND(BU$4&gt;Resumen_Sprints!$E$12,BU$4&lt;=Resumen_Sprints!$E$12+Resumen_Sprints!$D$12),INDEX('Sprint N°7'!$C$9:$P$9,BU$4-Resumen_Sprints!$E$12),0)</f>
        <v/>
      </c>
      <c r="BV43" s="23" t="str">
        <f t="array" ref="BV43">IF(AND(BV$4&gt;Resumen_Sprints!$E$12,BV$4&lt;=Resumen_Sprints!$E$12+Resumen_Sprints!$D$12),INDEX('Sprint N°7'!$C$9:$P$9,BV$4-Resumen_Sprints!$E$12),0)</f>
        <v/>
      </c>
      <c r="BW43" s="23" t="str">
        <f t="array" ref="BW43">IF(AND(BW$4&gt;Resumen_Sprints!$E$12,BW$4&lt;=Resumen_Sprints!$E$12+Resumen_Sprints!$D$12),INDEX('Sprint N°7'!$C$9:$P$9,BW$4-Resumen_Sprints!$E$12),0)</f>
        <v/>
      </c>
      <c r="BX43" s="23" t="str">
        <f t="array" ref="BX43">IF(AND(BX$4&gt;Resumen_Sprints!$E$12,BX$4&lt;=Resumen_Sprints!$E$12+Resumen_Sprints!$D$12),INDEX('Sprint N°7'!$C$9:$P$9,BX$4-Resumen_Sprints!$E$12),0)</f>
        <v/>
      </c>
      <c r="BY43" s="23" t="str">
        <f t="array" ref="BY43">IF(AND(BY$4&gt;Resumen_Sprints!$E$12,BY$4&lt;=Resumen_Sprints!$E$12+Resumen_Sprints!$D$12),INDEX('Sprint N°7'!$C$9:$P$9,BY$4-Resumen_Sprints!$E$12),0)</f>
        <v/>
      </c>
      <c r="BZ43" s="23" t="str">
        <f t="array" ref="BZ43">IF(AND(BZ$4&gt;Resumen_Sprints!$E$12,BZ$4&lt;=Resumen_Sprints!$E$12+Resumen_Sprints!$D$12),INDEX('Sprint N°7'!$C$9:$P$9,BZ$4-Resumen_Sprints!$E$12),0)</f>
        <v/>
      </c>
      <c r="CA43" s="23">
        <f t="array" ref="CA43">IF(AND(CA$4&gt;Resumen_Sprints!$E$12,CA$4&lt;=Resumen_Sprints!$E$12+Resumen_Sprints!$D$12),INDEX('Sprint N°7'!$C$9:$P$9,CA$4-Resumen_Sprints!$E$12),0)</f>
        <v>7</v>
      </c>
      <c r="CB43" s="23">
        <f t="array" ref="CB43">IF(AND(CB$4&gt;Resumen_Sprints!$E$12,CB$4&lt;=Resumen_Sprints!$E$12+Resumen_Sprints!$D$12),INDEX('Sprint N°7'!$C$9:$P$9,CB$4-Resumen_Sprints!$E$12),0)</f>
        <v>8</v>
      </c>
      <c r="CC43" s="23">
        <f t="array" ref="CC43">IF(AND(CC$4&gt;Resumen_Sprints!$E$12,CC$4&lt;=Resumen_Sprints!$E$12+Resumen_Sprints!$D$12),INDEX('Sprint N°7'!$C$9:$P$9,CC$4-Resumen_Sprints!$E$12),0)</f>
        <v>7</v>
      </c>
      <c r="CD43" s="23">
        <f t="array" ref="CD43">IF(AND(CD$4&gt;Resumen_Sprints!$E$12,CD$4&lt;=Resumen_Sprints!$E$12+Resumen_Sprints!$D$12),INDEX('Sprint N°7'!$C$9:$P$9,CD$4-Resumen_Sprints!$E$12),0)</f>
        <v>2</v>
      </c>
      <c r="CE43" s="23" t="str">
        <f t="array" ref="CE43">IF(AND(CE$4&gt;Resumen_Sprints!$E$12,CE$4&lt;=Resumen_Sprints!$E$12+Resumen_Sprints!$D$12),INDEX('Sprint N°7'!$C$9:$P$9,CE$4-Resumen_Sprints!$E$12),0)</f>
        <v/>
      </c>
      <c r="CF43" s="23" t="str">
        <f t="array" ref="CF43">IF(AND(CF$4&gt;Resumen_Sprints!$E$12,CF$4&lt;=Resumen_Sprints!$E$12+Resumen_Sprints!$D$12),INDEX('Sprint N°7'!$C$9:$P$9,CF$4-Resumen_Sprints!$E$12),0)</f>
        <v/>
      </c>
      <c r="CG43" s="23" t="str">
        <f t="array" ref="CG43">IF(AND(CG$4&gt;Resumen_Sprints!$E$12,CG$4&lt;=Resumen_Sprints!$E$12+Resumen_Sprints!$D$12),INDEX('Sprint N°7'!$C$9:$P$9,CG$4-Resumen_Sprints!$E$12),0)</f>
        <v/>
      </c>
      <c r="CH43" s="23">
        <f t="array" ref="CH43">IF(AND(CH$4&gt;Resumen_Sprints!$E$12,CH$4&lt;=Resumen_Sprints!$E$12+Resumen_Sprints!$D$12),INDEX('Sprint N°7'!$C$9:$P$9,CH$4-Resumen_Sprints!$E$12),0)</f>
        <v>0</v>
      </c>
      <c r="CI43" s="23">
        <f t="array" ref="CI43">IF(AND(CI$4&gt;Resumen_Sprints!$E$12,CI$4&lt;=Resumen_Sprints!$E$12+Resumen_Sprints!$D$12),INDEX('Sprint N°7'!$C$9:$P$9,CI$4-Resumen_Sprints!$E$12),0)</f>
        <v>0</v>
      </c>
      <c r="CJ43" s="23">
        <f t="array" ref="CJ43">IF(AND(CJ$4&gt;Resumen_Sprints!$E$12,CJ$4&lt;=Resumen_Sprints!$E$12+Resumen_Sprints!$D$12),INDEX('Sprint N°7'!$C$9:$P$9,CJ$4-Resumen_Sprints!$E$12),0)</f>
        <v>0</v>
      </c>
      <c r="CK43" s="23">
        <f t="array" ref="CK43">IF(AND(CK$4&gt;Resumen_Sprints!$E$12,CK$4&lt;=Resumen_Sprints!$E$12+Resumen_Sprints!$D$12),INDEX('Sprint N°7'!$C$9:$P$9,CK$4-Resumen_Sprints!$E$12),0)</f>
        <v>0</v>
      </c>
      <c r="CL43" s="23">
        <f t="array" ref="CL43">IF(AND(CL$4&gt;Resumen_Sprints!$E$12,CL$4&lt;=Resumen_Sprints!$E$12+Resumen_Sprints!$D$12),INDEX('Sprint N°7'!$C$9:$P$9,CL$4-Resumen_Sprints!$E$12),0)</f>
        <v>0</v>
      </c>
      <c r="CM43" s="23">
        <f t="array" ref="CM43">IF(AND(CM$4&gt;Resumen_Sprints!$E$12,CM$4&lt;=Resumen_Sprints!$E$12+Resumen_Sprints!$D$12),INDEX('Sprint N°7'!$C$9:$P$9,CM$4-Resumen_Sprints!$E$12),0)</f>
        <v>0</v>
      </c>
      <c r="CN43" s="23">
        <f t="array" ref="CN43">IF(AND(CN$4&gt;Resumen_Sprints!$E$12,CN$4&lt;=Resumen_Sprints!$E$12+Resumen_Sprints!$D$12),INDEX('Sprint N°7'!$C$9:$P$9,CN$4-Resumen_Sprints!$E$12),0)</f>
        <v>0</v>
      </c>
      <c r="CO43" s="23">
        <f t="array" ref="CO43">IF(AND(CO$4&gt;Resumen_Sprints!$E$12,CO$4&lt;=Resumen_Sprints!$E$12+Resumen_Sprints!$D$12),INDEX('Sprint N°7'!$C$9:$P$9,CO$4-Resumen_Sprints!$E$12),0)</f>
        <v>0</v>
      </c>
      <c r="CP43" s="23">
        <f t="array" ref="CP43">IF(AND(CP$4&gt;Resumen_Sprints!$E$12,CP$4&lt;=Resumen_Sprints!$E$12+Resumen_Sprints!$D$12),INDEX('Sprint N°7'!$C$9:$P$9,CP$4-Resumen_Sprints!$E$12),0)</f>
        <v>0</v>
      </c>
      <c r="CQ43" s="23">
        <f t="array" ref="CQ43">IF(AND(CQ$4&gt;Resumen_Sprints!$E$12,CQ$4&lt;=Resumen_Sprints!$E$12+Resumen_Sprints!$D$12),INDEX('Sprint N°7'!$C$9:$P$9,CQ$4-Resumen_Sprints!$E$12),0)</f>
        <v>0</v>
      </c>
      <c r="CR43" s="23">
        <f t="array" ref="CR43">IF(AND(CR$4&gt;Resumen_Sprints!$E$12,CR$4&lt;=Resumen_Sprints!$E$12+Resumen_Sprints!$D$12),INDEX('Sprint N°7'!$C$9:$P$9,CR$4-Resumen_Sprints!$E$12),0)</f>
        <v>0</v>
      </c>
      <c r="CS43" s="23">
        <f t="array" ref="CS43">IF(AND(CS$4&gt;Resumen_Sprints!$E$12,CS$4&lt;=Resumen_Sprints!$E$12+Resumen_Sprints!$D$12),INDEX('Sprint N°7'!$C$9:$P$9,CS$4-Resumen_Sprints!$E$12),0)</f>
        <v>0</v>
      </c>
      <c r="CT43" s="23">
        <f t="array" ref="CT43">IF(AND(CT$4&gt;Resumen_Sprints!$E$12,CT$4&lt;=Resumen_Sprints!$E$12+Resumen_Sprints!$D$12),INDEX('Sprint N°7'!$C$9:$P$9,CT$4-Resumen_Sprints!$E$12),0)</f>
        <v>0</v>
      </c>
      <c r="CU43" s="25">
        <f t="shared" si="7"/>
        <v>24</v>
      </c>
    </row>
    <row r="44" ht="14.25" customHeight="1">
      <c r="A44" s="11" t="str">
        <f>'Sprint N°7'!A10</f>
        <v>Corrección de Defectos y Retesteo de Funcionalidades</v>
      </c>
      <c r="B44" s="11">
        <f>'Sprint N°7'!B10</f>
        <v>30</v>
      </c>
      <c r="C44" s="23">
        <f t="array" ref="C44">IF(AND(C$4&gt;Resumen_Sprints!$E$12,C$4&lt;=Resumen_Sprints!$E$12+Resumen_Sprints!$D$12),INDEX('Sprint N°7'!$C$10:$P$10,C$4-Resumen_Sprints!$E$12),0)</f>
        <v>0</v>
      </c>
      <c r="D44" s="23">
        <f t="array" ref="D44">IF(AND(D$4&gt;Resumen_Sprints!$E$12,D$4&lt;=Resumen_Sprints!$E$12+Resumen_Sprints!$D$12),INDEX('Sprint N°7'!$C$10:$P$10,D$4-Resumen_Sprints!$E$12),0)</f>
        <v>0</v>
      </c>
      <c r="E44" s="23">
        <f t="array" ref="E44">IF(AND(E$4&gt;Resumen_Sprints!$E$12,E$4&lt;=Resumen_Sprints!$E$12+Resumen_Sprints!$D$12),INDEX('Sprint N°7'!$C$10:$P$10,E$4-Resumen_Sprints!$E$12),0)</f>
        <v>0</v>
      </c>
      <c r="F44" s="23">
        <f t="array" ref="F44">IF(AND(F$4&gt;Resumen_Sprints!$E$12,F$4&lt;=Resumen_Sprints!$E$12+Resumen_Sprints!$D$12),INDEX('Sprint N°7'!$C$10:$P$10,F$4-Resumen_Sprints!$E$12),0)</f>
        <v>0</v>
      </c>
      <c r="G44" s="23">
        <f t="array" ref="G44">IF(AND(G$4&gt;Resumen_Sprints!$E$12,G$4&lt;=Resumen_Sprints!$E$12+Resumen_Sprints!$D$12),INDEX('Sprint N°7'!$C$10:$P$10,G$4-Resumen_Sprints!$E$12),0)</f>
        <v>0</v>
      </c>
      <c r="H44" s="23">
        <f t="array" ref="H44">IF(AND(H$4&gt;Resumen_Sprints!$E$12,H$4&lt;=Resumen_Sprints!$E$12+Resumen_Sprints!$D$12),INDEX('Sprint N°7'!$C$10:$P$10,H$4-Resumen_Sprints!$E$12),0)</f>
        <v>0</v>
      </c>
      <c r="I44" s="23">
        <f t="array" ref="I44">IF(AND(I$4&gt;Resumen_Sprints!$E$12,I$4&lt;=Resumen_Sprints!$E$12+Resumen_Sprints!$D$12),INDEX('Sprint N°7'!$C$10:$P$10,I$4-Resumen_Sprints!$E$12),0)</f>
        <v>0</v>
      </c>
      <c r="J44" s="23">
        <f t="array" ref="J44">IF(AND(J$4&gt;Resumen_Sprints!$E$12,J$4&lt;=Resumen_Sprints!$E$12+Resumen_Sprints!$D$12),INDEX('Sprint N°7'!$C$10:$P$10,J$4-Resumen_Sprints!$E$12),0)</f>
        <v>0</v>
      </c>
      <c r="K44" s="23">
        <f t="array" ref="K44">IF(AND(K$4&gt;Resumen_Sprints!$E$12,K$4&lt;=Resumen_Sprints!$E$12+Resumen_Sprints!$D$12),INDEX('Sprint N°7'!$C$10:$P$10,K$4-Resumen_Sprints!$E$12),0)</f>
        <v>0</v>
      </c>
      <c r="L44" s="23">
        <f t="array" ref="L44">IF(AND(L$4&gt;Resumen_Sprints!$E$12,L$4&lt;=Resumen_Sprints!$E$12+Resumen_Sprints!$D$12),INDEX('Sprint N°7'!$C$10:$P$10,L$4-Resumen_Sprints!$E$12),0)</f>
        <v>0</v>
      </c>
      <c r="M44" s="23">
        <f t="array" ref="M44">IF(AND(M$4&gt;Resumen_Sprints!$E$12,M$4&lt;=Resumen_Sprints!$E$12+Resumen_Sprints!$D$12),INDEX('Sprint N°7'!$C$10:$P$10,M$4-Resumen_Sprints!$E$12),0)</f>
        <v>0</v>
      </c>
      <c r="N44" s="23">
        <f t="array" ref="N44">IF(AND(N$4&gt;Resumen_Sprints!$E$12,N$4&lt;=Resumen_Sprints!$E$12+Resumen_Sprints!$D$12),INDEX('Sprint N°7'!$C$10:$P$10,N$4-Resumen_Sprints!$E$12),0)</f>
        <v>0</v>
      </c>
      <c r="O44" s="23">
        <f t="array" ref="O44">IF(AND(O$4&gt;Resumen_Sprints!$E$12,O$4&lt;=Resumen_Sprints!$E$12+Resumen_Sprints!$D$12),INDEX('Sprint N°7'!$C$10:$P$10,O$4-Resumen_Sprints!$E$12),0)</f>
        <v>0</v>
      </c>
      <c r="P44" s="23">
        <f t="array" ref="P44">IF(AND(P$4&gt;Resumen_Sprints!$E$12,P$4&lt;=Resumen_Sprints!$E$12+Resumen_Sprints!$D$12),INDEX('Sprint N°7'!$C$10:$P$10,P$4-Resumen_Sprints!$E$12),0)</f>
        <v>0</v>
      </c>
      <c r="Q44" s="23">
        <f t="array" ref="Q44">IF(AND(Q$4&gt;Resumen_Sprints!$E$12,Q$4&lt;=Resumen_Sprints!$E$12+Resumen_Sprints!$D$12),INDEX('Sprint N°7'!$C$10:$P$10,Q$4-Resumen_Sprints!$E$12),0)</f>
        <v>0</v>
      </c>
      <c r="R44" s="23">
        <f t="array" ref="R44">IF(AND(R$4&gt;Resumen_Sprints!$E$12,R$4&lt;=Resumen_Sprints!$E$12+Resumen_Sprints!$D$12),INDEX('Sprint N°7'!$C$10:$P$10,R$4-Resumen_Sprints!$E$12),0)</f>
        <v>0</v>
      </c>
      <c r="S44" s="23">
        <f t="array" ref="S44">IF(AND(S$4&gt;Resumen_Sprints!$E$12,S$4&lt;=Resumen_Sprints!$E$12+Resumen_Sprints!$D$12),INDEX('Sprint N°7'!$C$10:$P$10,S$4-Resumen_Sprints!$E$12),0)</f>
        <v>0</v>
      </c>
      <c r="T44" s="23">
        <f t="array" ref="T44">IF(AND(T$4&gt;Resumen_Sprints!$E$12,T$4&lt;=Resumen_Sprints!$E$12+Resumen_Sprints!$D$12),INDEX('Sprint N°7'!$C$10:$P$10,T$4-Resumen_Sprints!$E$12),0)</f>
        <v>0</v>
      </c>
      <c r="U44" s="23">
        <f t="array" ref="U44">IF(AND(U$4&gt;Resumen_Sprints!$E$12,U$4&lt;=Resumen_Sprints!$E$12+Resumen_Sprints!$D$12),INDEX('Sprint N°7'!$C$10:$P$10,U$4-Resumen_Sprints!$E$12),0)</f>
        <v>0</v>
      </c>
      <c r="V44" s="23">
        <f t="array" ref="V44">IF(AND(V$4&gt;Resumen_Sprints!$E$12,V$4&lt;=Resumen_Sprints!$E$12+Resumen_Sprints!$D$12),INDEX('Sprint N°7'!$C$10:$P$10,V$4-Resumen_Sprints!$E$12),0)</f>
        <v>0</v>
      </c>
      <c r="W44" s="23">
        <f t="array" ref="W44">IF(AND(W$4&gt;Resumen_Sprints!$E$12,W$4&lt;=Resumen_Sprints!$E$12+Resumen_Sprints!$D$12),INDEX('Sprint N°7'!$C$10:$P$10,W$4-Resumen_Sprints!$E$12),0)</f>
        <v>0</v>
      </c>
      <c r="X44" s="23">
        <f t="array" ref="X44">IF(AND(X$4&gt;Resumen_Sprints!$E$12,X$4&lt;=Resumen_Sprints!$E$12+Resumen_Sprints!$D$12),INDEX('Sprint N°7'!$C$10:$P$10,X$4-Resumen_Sprints!$E$12),0)</f>
        <v>0</v>
      </c>
      <c r="Y44" s="23">
        <f t="array" ref="Y44">IF(AND(Y$4&gt;Resumen_Sprints!$E$12,Y$4&lt;=Resumen_Sprints!$E$12+Resumen_Sprints!$D$12),INDEX('Sprint N°7'!$C$10:$P$10,Y$4-Resumen_Sprints!$E$12),0)</f>
        <v>0</v>
      </c>
      <c r="Z44" s="23">
        <f t="array" ref="Z44">IF(AND(Z$4&gt;Resumen_Sprints!$E$12,Z$4&lt;=Resumen_Sprints!$E$12+Resumen_Sprints!$D$12),INDEX('Sprint N°7'!$C$10:$P$10,Z$4-Resumen_Sprints!$E$12),0)</f>
        <v>0</v>
      </c>
      <c r="AA44" s="23">
        <f t="array" ref="AA44">IF(AND(AA$4&gt;Resumen_Sprints!$E$12,AA$4&lt;=Resumen_Sprints!$E$12+Resumen_Sprints!$D$12),INDEX('Sprint N°7'!$C$10:$P$10,AA$4-Resumen_Sprints!$E$12),0)</f>
        <v>0</v>
      </c>
      <c r="AB44" s="23">
        <f t="array" ref="AB44">IF(AND(AB$4&gt;Resumen_Sprints!$E$12,AB$4&lt;=Resumen_Sprints!$E$12+Resumen_Sprints!$D$12),INDEX('Sprint N°7'!$C$10:$P$10,AB$4-Resumen_Sprints!$E$12),0)</f>
        <v>0</v>
      </c>
      <c r="AC44" s="23">
        <f t="array" ref="AC44">IF(AND(AC$4&gt;Resumen_Sprints!$E$12,AC$4&lt;=Resumen_Sprints!$E$12+Resumen_Sprints!$D$12),INDEX('Sprint N°7'!$C$10:$P$10,AC$4-Resumen_Sprints!$E$12),0)</f>
        <v>0</v>
      </c>
      <c r="AD44" s="23">
        <f t="array" ref="AD44">IF(AND(AD$4&gt;Resumen_Sprints!$E$12,AD$4&lt;=Resumen_Sprints!$E$12+Resumen_Sprints!$D$12),INDEX('Sprint N°7'!$C$10:$P$10,AD$4-Resumen_Sprints!$E$12),0)</f>
        <v>0</v>
      </c>
      <c r="AE44" s="23">
        <f t="array" ref="AE44">IF(AND(AE$4&gt;Resumen_Sprints!$E$12,AE$4&lt;=Resumen_Sprints!$E$12+Resumen_Sprints!$D$12),INDEX('Sprint N°7'!$C$10:$P$10,AE$4-Resumen_Sprints!$E$12),0)</f>
        <v>0</v>
      </c>
      <c r="AF44" s="23">
        <f t="array" ref="AF44">IF(AND(AF$4&gt;Resumen_Sprints!$E$12,AF$4&lt;=Resumen_Sprints!$E$12+Resumen_Sprints!$D$12),INDEX('Sprint N°7'!$C$10:$P$10,AF$4-Resumen_Sprints!$E$12),0)</f>
        <v>0</v>
      </c>
      <c r="AG44" s="23">
        <f t="array" ref="AG44">IF(AND(AG$4&gt;Resumen_Sprints!$E$12,AG$4&lt;=Resumen_Sprints!$E$12+Resumen_Sprints!$D$12),INDEX('Sprint N°7'!$C$10:$P$10,AG$4-Resumen_Sprints!$E$12),0)</f>
        <v>0</v>
      </c>
      <c r="AH44" s="23">
        <f t="array" ref="AH44">IF(AND(AH$4&gt;Resumen_Sprints!$E$12,AH$4&lt;=Resumen_Sprints!$E$12+Resumen_Sprints!$D$12),INDEX('Sprint N°7'!$C$10:$P$10,AH$4-Resumen_Sprints!$E$12),0)</f>
        <v>0</v>
      </c>
      <c r="AI44" s="23">
        <f t="array" ref="AI44">IF(AND(AI$4&gt;Resumen_Sprints!$E$12,AI$4&lt;=Resumen_Sprints!$E$12+Resumen_Sprints!$D$12),INDEX('Sprint N°7'!$C$10:$P$10,AI$4-Resumen_Sprints!$E$12),0)</f>
        <v>0</v>
      </c>
      <c r="AJ44" s="23">
        <f t="array" ref="AJ44">IF(AND(AJ$4&gt;Resumen_Sprints!$E$12,AJ$4&lt;=Resumen_Sprints!$E$12+Resumen_Sprints!$D$12),INDEX('Sprint N°7'!$C$10:$P$10,AJ$4-Resumen_Sprints!$E$12),0)</f>
        <v>0</v>
      </c>
      <c r="AK44" s="23">
        <f t="array" ref="AK44">IF(AND(AK$4&gt;Resumen_Sprints!$E$12,AK$4&lt;=Resumen_Sprints!$E$12+Resumen_Sprints!$D$12),INDEX('Sprint N°7'!$C$10:$P$10,AK$4-Resumen_Sprints!$E$12),0)</f>
        <v>0</v>
      </c>
      <c r="AL44" s="23">
        <f t="array" ref="AL44">IF(AND(AL$4&gt;Resumen_Sprints!$E$12,AL$4&lt;=Resumen_Sprints!$E$12+Resumen_Sprints!$D$12),INDEX('Sprint N°7'!$C$10:$P$10,AL$4-Resumen_Sprints!$E$12),0)</f>
        <v>0</v>
      </c>
      <c r="AM44" s="23">
        <f t="array" ref="AM44">IF(AND(AM$4&gt;Resumen_Sprints!$E$12,AM$4&lt;=Resumen_Sprints!$E$12+Resumen_Sprints!$D$12),INDEX('Sprint N°7'!$C$10:$P$10,AM$4-Resumen_Sprints!$E$12),0)</f>
        <v>0</v>
      </c>
      <c r="AN44" s="23">
        <f t="array" ref="AN44">IF(AND(AN$4&gt;Resumen_Sprints!$E$12,AN$4&lt;=Resumen_Sprints!$E$12+Resumen_Sprints!$D$12),INDEX('Sprint N°7'!$C$10:$P$10,AN$4-Resumen_Sprints!$E$12),0)</f>
        <v>0</v>
      </c>
      <c r="AO44" s="23">
        <f t="array" ref="AO44">IF(AND(AO$4&gt;Resumen_Sprints!$E$12,AO$4&lt;=Resumen_Sprints!$E$12+Resumen_Sprints!$D$12),INDEX('Sprint N°7'!$C$10:$P$10,AO$4-Resumen_Sprints!$E$12),0)</f>
        <v>0</v>
      </c>
      <c r="AP44" s="23">
        <f t="array" ref="AP44">IF(AND(AP$4&gt;Resumen_Sprints!$E$12,AP$4&lt;=Resumen_Sprints!$E$12+Resumen_Sprints!$D$12),INDEX('Sprint N°7'!$C$10:$P$10,AP$4-Resumen_Sprints!$E$12),0)</f>
        <v>0</v>
      </c>
      <c r="AQ44" s="23">
        <f t="array" ref="AQ44">IF(AND(AQ$4&gt;Resumen_Sprints!$E$12,AQ$4&lt;=Resumen_Sprints!$E$12+Resumen_Sprints!$D$12),INDEX('Sprint N°7'!$C$10:$P$10,AQ$4-Resumen_Sprints!$E$12),0)</f>
        <v>0</v>
      </c>
      <c r="AR44" s="23">
        <f t="array" ref="AR44">IF(AND(AR$4&gt;Resumen_Sprints!$E$12,AR$4&lt;=Resumen_Sprints!$E$12+Resumen_Sprints!$D$12),INDEX('Sprint N°7'!$C$10:$P$10,AR$4-Resumen_Sprints!$E$12),0)</f>
        <v>0</v>
      </c>
      <c r="AS44" s="23">
        <f t="array" ref="AS44">IF(AND(AS$4&gt;Resumen_Sprints!$E$12,AS$4&lt;=Resumen_Sprints!$E$12+Resumen_Sprints!$D$12),INDEX('Sprint N°7'!$C$10:$P$10,AS$4-Resumen_Sprints!$E$12),0)</f>
        <v>0</v>
      </c>
      <c r="AT44" s="23">
        <f t="array" ref="AT44">IF(AND(AT$4&gt;Resumen_Sprints!$E$12,AT$4&lt;=Resumen_Sprints!$E$12+Resumen_Sprints!$D$12),INDEX('Sprint N°7'!$C$10:$P$10,AT$4-Resumen_Sprints!$E$12),0)</f>
        <v>0</v>
      </c>
      <c r="AU44" s="23">
        <f t="array" ref="AU44">IF(AND(AU$4&gt;Resumen_Sprints!$E$12,AU$4&lt;=Resumen_Sprints!$E$12+Resumen_Sprints!$D$12),INDEX('Sprint N°7'!$C$10:$P$10,AU$4-Resumen_Sprints!$E$12),0)</f>
        <v>0</v>
      </c>
      <c r="AV44" s="23">
        <f t="array" ref="AV44">IF(AND(AV$4&gt;Resumen_Sprints!$E$12,AV$4&lt;=Resumen_Sprints!$E$12+Resumen_Sprints!$D$12),INDEX('Sprint N°7'!$C$10:$P$10,AV$4-Resumen_Sprints!$E$12),0)</f>
        <v>0</v>
      </c>
      <c r="AW44" s="23">
        <f t="array" ref="AW44">IF(AND(AW$4&gt;Resumen_Sprints!$E$12,AW$4&lt;=Resumen_Sprints!$E$12+Resumen_Sprints!$D$12),INDEX('Sprint N°7'!$C$10:$P$10,AW$4-Resumen_Sprints!$E$12),0)</f>
        <v>0</v>
      </c>
      <c r="AX44" s="23">
        <f t="array" ref="AX44">IF(AND(AX$4&gt;Resumen_Sprints!$E$12,AX$4&lt;=Resumen_Sprints!$E$12+Resumen_Sprints!$D$12),INDEX('Sprint N°7'!$C$10:$P$10,AX$4-Resumen_Sprints!$E$12),0)</f>
        <v>0</v>
      </c>
      <c r="AY44" s="23">
        <f t="array" ref="AY44">IF(AND(AY$4&gt;Resumen_Sprints!$E$12,AY$4&lt;=Resumen_Sprints!$E$12+Resumen_Sprints!$D$12),INDEX('Sprint N°7'!$C$10:$P$10,AY$4-Resumen_Sprints!$E$12),0)</f>
        <v>0</v>
      </c>
      <c r="AZ44" s="23">
        <f t="array" ref="AZ44">IF(AND(AZ$4&gt;Resumen_Sprints!$E$12,AZ$4&lt;=Resumen_Sprints!$E$12+Resumen_Sprints!$D$12),INDEX('Sprint N°7'!$C$10:$P$10,AZ$4-Resumen_Sprints!$E$12),0)</f>
        <v>0</v>
      </c>
      <c r="BA44" s="23">
        <f t="array" ref="BA44">IF(AND(BA$4&gt;Resumen_Sprints!$E$12,BA$4&lt;=Resumen_Sprints!$E$12+Resumen_Sprints!$D$12),INDEX('Sprint N°7'!$C$10:$P$10,BA$4-Resumen_Sprints!$E$12),0)</f>
        <v>0</v>
      </c>
      <c r="BB44" s="23">
        <f t="array" ref="BB44">IF(AND(BB$4&gt;Resumen_Sprints!$E$12,BB$4&lt;=Resumen_Sprints!$E$12+Resumen_Sprints!$D$12),INDEX('Sprint N°7'!$C$10:$P$10,BB$4-Resumen_Sprints!$E$12),0)</f>
        <v>0</v>
      </c>
      <c r="BC44" s="23">
        <f t="array" ref="BC44">IF(AND(BC$4&gt;Resumen_Sprints!$E$12,BC$4&lt;=Resumen_Sprints!$E$12+Resumen_Sprints!$D$12),INDEX('Sprint N°7'!$C$10:$P$10,BC$4-Resumen_Sprints!$E$12),0)</f>
        <v>0</v>
      </c>
      <c r="BD44" s="23">
        <f t="array" ref="BD44">IF(AND(BD$4&gt;Resumen_Sprints!$E$12,BD$4&lt;=Resumen_Sprints!$E$12+Resumen_Sprints!$D$12),INDEX('Sprint N°7'!$C$10:$P$10,BD$4-Resumen_Sprints!$E$12),0)</f>
        <v>0</v>
      </c>
      <c r="BE44" s="23">
        <f t="array" ref="BE44">IF(AND(BE$4&gt;Resumen_Sprints!$E$12,BE$4&lt;=Resumen_Sprints!$E$12+Resumen_Sprints!$D$12),INDEX('Sprint N°7'!$C$10:$P$10,BE$4-Resumen_Sprints!$E$12),0)</f>
        <v>0</v>
      </c>
      <c r="BF44" s="23">
        <f t="array" ref="BF44">IF(AND(BF$4&gt;Resumen_Sprints!$E$12,BF$4&lt;=Resumen_Sprints!$E$12+Resumen_Sprints!$D$12),INDEX('Sprint N°7'!$C$10:$P$10,BF$4-Resumen_Sprints!$E$12),0)</f>
        <v>0</v>
      </c>
      <c r="BG44" s="23">
        <f t="array" ref="BG44">IF(AND(BG$4&gt;Resumen_Sprints!$E$12,BG$4&lt;=Resumen_Sprints!$E$12+Resumen_Sprints!$D$12),INDEX('Sprint N°7'!$C$10:$P$10,BG$4-Resumen_Sprints!$E$12),0)</f>
        <v>0</v>
      </c>
      <c r="BH44" s="23">
        <f t="array" ref="BH44">IF(AND(BH$4&gt;Resumen_Sprints!$E$12,BH$4&lt;=Resumen_Sprints!$E$12+Resumen_Sprints!$D$12),INDEX('Sprint N°7'!$C$10:$P$10,BH$4-Resumen_Sprints!$E$12),0)</f>
        <v>0</v>
      </c>
      <c r="BI44" s="23">
        <f t="array" ref="BI44">IF(AND(BI$4&gt;Resumen_Sprints!$E$12,BI$4&lt;=Resumen_Sprints!$E$12+Resumen_Sprints!$D$12),INDEX('Sprint N°7'!$C$10:$P$10,BI$4-Resumen_Sprints!$E$12),0)</f>
        <v>0</v>
      </c>
      <c r="BJ44" s="23">
        <f t="array" ref="BJ44">IF(AND(BJ$4&gt;Resumen_Sprints!$E$12,BJ$4&lt;=Resumen_Sprints!$E$12+Resumen_Sprints!$D$12),INDEX('Sprint N°7'!$C$10:$P$10,BJ$4-Resumen_Sprints!$E$12),0)</f>
        <v>0</v>
      </c>
      <c r="BK44" s="23">
        <f t="array" ref="BK44">IF(AND(BK$4&gt;Resumen_Sprints!$E$12,BK$4&lt;=Resumen_Sprints!$E$12+Resumen_Sprints!$D$12),INDEX('Sprint N°7'!$C$10:$P$10,BK$4-Resumen_Sprints!$E$12),0)</f>
        <v>0</v>
      </c>
      <c r="BL44" s="23">
        <f t="array" ref="BL44">IF(AND(BL$4&gt;Resumen_Sprints!$E$12,BL$4&lt;=Resumen_Sprints!$E$12+Resumen_Sprints!$D$12),INDEX('Sprint N°7'!$C$10:$P$10,BL$4-Resumen_Sprints!$E$12),0)</f>
        <v>0</v>
      </c>
      <c r="BM44" s="23">
        <f t="array" ref="BM44">IF(AND(BM$4&gt;Resumen_Sprints!$E$12,BM$4&lt;=Resumen_Sprints!$E$12+Resumen_Sprints!$D$12),INDEX('Sprint N°7'!$C$10:$P$10,BM$4-Resumen_Sprints!$E$12),0)</f>
        <v>0</v>
      </c>
      <c r="BN44" s="23">
        <f t="array" ref="BN44">IF(AND(BN$4&gt;Resumen_Sprints!$E$12,BN$4&lt;=Resumen_Sprints!$E$12+Resumen_Sprints!$D$12),INDEX('Sprint N°7'!$C$10:$P$10,BN$4-Resumen_Sprints!$E$12),0)</f>
        <v>0</v>
      </c>
      <c r="BO44" s="23">
        <f t="array" ref="BO44">IF(AND(BO$4&gt;Resumen_Sprints!$E$12,BO$4&lt;=Resumen_Sprints!$E$12+Resumen_Sprints!$D$12),INDEX('Sprint N°7'!$C$10:$P$10,BO$4-Resumen_Sprints!$E$12),0)</f>
        <v>0</v>
      </c>
      <c r="BP44" s="23">
        <f t="array" ref="BP44">IF(AND(BP$4&gt;Resumen_Sprints!$E$12,BP$4&lt;=Resumen_Sprints!$E$12+Resumen_Sprints!$D$12),INDEX('Sprint N°7'!$C$10:$P$10,BP$4-Resumen_Sprints!$E$12),0)</f>
        <v>0</v>
      </c>
      <c r="BQ44" s="23">
        <f t="array" ref="BQ44">IF(AND(BQ$4&gt;Resumen_Sprints!$E$12,BQ$4&lt;=Resumen_Sprints!$E$12+Resumen_Sprints!$D$12),INDEX('Sprint N°7'!$C$10:$P$10,BQ$4-Resumen_Sprints!$E$12),0)</f>
        <v>0</v>
      </c>
      <c r="BR44" s="23">
        <f t="array" ref="BR44">IF(AND(BR$4&gt;Resumen_Sprints!$E$12,BR$4&lt;=Resumen_Sprints!$E$12+Resumen_Sprints!$D$12),INDEX('Sprint N°7'!$C$10:$P$10,BR$4-Resumen_Sprints!$E$12),0)</f>
        <v>0</v>
      </c>
      <c r="BS44" s="23">
        <f t="array" ref="BS44">IF(AND(BS$4&gt;Resumen_Sprints!$E$12,BS$4&lt;=Resumen_Sprints!$E$12+Resumen_Sprints!$D$12),INDEX('Sprint N°7'!$C$10:$P$10,BS$4-Resumen_Sprints!$E$12),0)</f>
        <v>0</v>
      </c>
      <c r="BT44" s="23" t="str">
        <f t="array" ref="BT44">IF(AND(BT$4&gt;Resumen_Sprints!$E$12,BT$4&lt;=Resumen_Sprints!$E$12+Resumen_Sprints!$D$12),INDEX('Sprint N°7'!$C$10:$P$10,BT$4-Resumen_Sprints!$E$12),0)</f>
        <v/>
      </c>
      <c r="BU44" s="23" t="str">
        <f t="array" ref="BU44">IF(AND(BU$4&gt;Resumen_Sprints!$E$12,BU$4&lt;=Resumen_Sprints!$E$12+Resumen_Sprints!$D$12),INDEX('Sprint N°7'!$C$10:$P$10,BU$4-Resumen_Sprints!$E$12),0)</f>
        <v/>
      </c>
      <c r="BV44" s="23" t="str">
        <f t="array" ref="BV44">IF(AND(BV$4&gt;Resumen_Sprints!$E$12,BV$4&lt;=Resumen_Sprints!$E$12+Resumen_Sprints!$D$12),INDEX('Sprint N°7'!$C$10:$P$10,BV$4-Resumen_Sprints!$E$12),0)</f>
        <v/>
      </c>
      <c r="BW44" s="23" t="str">
        <f t="array" ref="BW44">IF(AND(BW$4&gt;Resumen_Sprints!$E$12,BW$4&lt;=Resumen_Sprints!$E$12+Resumen_Sprints!$D$12),INDEX('Sprint N°7'!$C$10:$P$10,BW$4-Resumen_Sprints!$E$12),0)</f>
        <v/>
      </c>
      <c r="BX44" s="23" t="str">
        <f t="array" ref="BX44">IF(AND(BX$4&gt;Resumen_Sprints!$E$12,BX$4&lt;=Resumen_Sprints!$E$12+Resumen_Sprints!$D$12),INDEX('Sprint N°7'!$C$10:$P$10,BX$4-Resumen_Sprints!$E$12),0)</f>
        <v/>
      </c>
      <c r="BY44" s="23" t="str">
        <f t="array" ref="BY44">IF(AND(BY$4&gt;Resumen_Sprints!$E$12,BY$4&lt;=Resumen_Sprints!$E$12+Resumen_Sprints!$D$12),INDEX('Sprint N°7'!$C$10:$P$10,BY$4-Resumen_Sprints!$E$12),0)</f>
        <v/>
      </c>
      <c r="BZ44" s="23" t="str">
        <f t="array" ref="BZ44">IF(AND(BZ$4&gt;Resumen_Sprints!$E$12,BZ$4&lt;=Resumen_Sprints!$E$12+Resumen_Sprints!$D$12),INDEX('Sprint N°7'!$C$10:$P$10,BZ$4-Resumen_Sprints!$E$12),0)</f>
        <v/>
      </c>
      <c r="CA44" s="23" t="str">
        <f t="array" ref="CA44">IF(AND(CA$4&gt;Resumen_Sprints!$E$12,CA$4&lt;=Resumen_Sprints!$E$12+Resumen_Sprints!$D$12),INDEX('Sprint N°7'!$C$10:$P$10,CA$4-Resumen_Sprints!$E$12),0)</f>
        <v/>
      </c>
      <c r="CB44" s="23" t="str">
        <f t="array" ref="CB44">IF(AND(CB$4&gt;Resumen_Sprints!$E$12,CB$4&lt;=Resumen_Sprints!$E$12+Resumen_Sprints!$D$12),INDEX('Sprint N°7'!$C$10:$P$10,CB$4-Resumen_Sprints!$E$12),0)</f>
        <v/>
      </c>
      <c r="CC44" s="23" t="str">
        <f t="array" ref="CC44">IF(AND(CC$4&gt;Resumen_Sprints!$E$12,CC$4&lt;=Resumen_Sprints!$E$12+Resumen_Sprints!$D$12),INDEX('Sprint N°7'!$C$10:$P$10,CC$4-Resumen_Sprints!$E$12),0)</f>
        <v/>
      </c>
      <c r="CD44" s="23">
        <f t="array" ref="CD44">IF(AND(CD$4&gt;Resumen_Sprints!$E$12,CD$4&lt;=Resumen_Sprints!$E$12+Resumen_Sprints!$D$12),INDEX('Sprint N°7'!$C$10:$P$10,CD$4-Resumen_Sprints!$E$12),0)</f>
        <v>5</v>
      </c>
      <c r="CE44" s="23">
        <f t="array" ref="CE44">IF(AND(CE$4&gt;Resumen_Sprints!$E$12,CE$4&lt;=Resumen_Sprints!$E$12+Resumen_Sprints!$D$12),INDEX('Sprint N°7'!$C$10:$P$10,CE$4-Resumen_Sprints!$E$12),0)</f>
        <v>8</v>
      </c>
      <c r="CF44" s="23">
        <f t="array" ref="CF44">IF(AND(CF$4&gt;Resumen_Sprints!$E$12,CF$4&lt;=Resumen_Sprints!$E$12+Resumen_Sprints!$D$12),INDEX('Sprint N°7'!$C$10:$P$10,CF$4-Resumen_Sprints!$E$12),0)</f>
        <v>8</v>
      </c>
      <c r="CG44" s="23">
        <f t="array" ref="CG44">IF(AND(CG$4&gt;Resumen_Sprints!$E$12,CG$4&lt;=Resumen_Sprints!$E$12+Resumen_Sprints!$D$12),INDEX('Sprint N°7'!$C$10:$P$10,CG$4-Resumen_Sprints!$E$12),0)</f>
        <v>9</v>
      </c>
      <c r="CH44" s="23">
        <f t="array" ref="CH44">IF(AND(CH$4&gt;Resumen_Sprints!$E$12,CH$4&lt;=Resumen_Sprints!$E$12+Resumen_Sprints!$D$12),INDEX('Sprint N°7'!$C$10:$P$10,CH$4-Resumen_Sprints!$E$12),0)</f>
        <v>0</v>
      </c>
      <c r="CI44" s="23">
        <f t="array" ref="CI44">IF(AND(CI$4&gt;Resumen_Sprints!$E$12,CI$4&lt;=Resumen_Sprints!$E$12+Resumen_Sprints!$D$12),INDEX('Sprint N°7'!$C$10:$P$10,CI$4-Resumen_Sprints!$E$12),0)</f>
        <v>0</v>
      </c>
      <c r="CJ44" s="23">
        <f t="array" ref="CJ44">IF(AND(CJ$4&gt;Resumen_Sprints!$E$12,CJ$4&lt;=Resumen_Sprints!$E$12+Resumen_Sprints!$D$12),INDEX('Sprint N°7'!$C$10:$P$10,CJ$4-Resumen_Sprints!$E$12),0)</f>
        <v>0</v>
      </c>
      <c r="CK44" s="23">
        <f t="array" ref="CK44">IF(AND(CK$4&gt;Resumen_Sprints!$E$12,CK$4&lt;=Resumen_Sprints!$E$12+Resumen_Sprints!$D$12),INDEX('Sprint N°7'!$C$10:$P$10,CK$4-Resumen_Sprints!$E$12),0)</f>
        <v>0</v>
      </c>
      <c r="CL44" s="23">
        <f t="array" ref="CL44">IF(AND(CL$4&gt;Resumen_Sprints!$E$12,CL$4&lt;=Resumen_Sprints!$E$12+Resumen_Sprints!$D$12),INDEX('Sprint N°7'!$C$10:$P$10,CL$4-Resumen_Sprints!$E$12),0)</f>
        <v>0</v>
      </c>
      <c r="CM44" s="23">
        <f t="array" ref="CM44">IF(AND(CM$4&gt;Resumen_Sprints!$E$12,CM$4&lt;=Resumen_Sprints!$E$12+Resumen_Sprints!$D$12),INDEX('Sprint N°7'!$C$10:$P$10,CM$4-Resumen_Sprints!$E$12),0)</f>
        <v>0</v>
      </c>
      <c r="CN44" s="23">
        <f t="array" ref="CN44">IF(AND(CN$4&gt;Resumen_Sprints!$E$12,CN$4&lt;=Resumen_Sprints!$E$12+Resumen_Sprints!$D$12),INDEX('Sprint N°7'!$C$10:$P$10,CN$4-Resumen_Sprints!$E$12),0)</f>
        <v>0</v>
      </c>
      <c r="CO44" s="23">
        <f t="array" ref="CO44">IF(AND(CO$4&gt;Resumen_Sprints!$E$12,CO$4&lt;=Resumen_Sprints!$E$12+Resumen_Sprints!$D$12),INDEX('Sprint N°7'!$C$10:$P$10,CO$4-Resumen_Sprints!$E$12),0)</f>
        <v>0</v>
      </c>
      <c r="CP44" s="23">
        <f t="array" ref="CP44">IF(AND(CP$4&gt;Resumen_Sprints!$E$12,CP$4&lt;=Resumen_Sprints!$E$12+Resumen_Sprints!$D$12),INDEX('Sprint N°7'!$C$10:$P$10,CP$4-Resumen_Sprints!$E$12),0)</f>
        <v>0</v>
      </c>
      <c r="CQ44" s="23">
        <f t="array" ref="CQ44">IF(AND(CQ$4&gt;Resumen_Sprints!$E$12,CQ$4&lt;=Resumen_Sprints!$E$12+Resumen_Sprints!$D$12),INDEX('Sprint N°7'!$C$10:$P$10,CQ$4-Resumen_Sprints!$E$12),0)</f>
        <v>0</v>
      </c>
      <c r="CR44" s="23">
        <f t="array" ref="CR44">IF(AND(CR$4&gt;Resumen_Sprints!$E$12,CR$4&lt;=Resumen_Sprints!$E$12+Resumen_Sprints!$D$12),INDEX('Sprint N°7'!$C$10:$P$10,CR$4-Resumen_Sprints!$E$12),0)</f>
        <v>0</v>
      </c>
      <c r="CS44" s="23">
        <f t="array" ref="CS44">IF(AND(CS$4&gt;Resumen_Sprints!$E$12,CS$4&lt;=Resumen_Sprints!$E$12+Resumen_Sprints!$D$12),INDEX('Sprint N°7'!$C$10:$P$10,CS$4-Resumen_Sprints!$E$12),0)</f>
        <v>0</v>
      </c>
      <c r="CT44" s="23">
        <f t="array" ref="CT44">IF(AND(CT$4&gt;Resumen_Sprints!$E$12,CT$4&lt;=Resumen_Sprints!$E$12+Resumen_Sprints!$D$12),INDEX('Sprint N°7'!$C$10:$P$10,CT$4-Resumen_Sprints!$E$12),0)</f>
        <v>0</v>
      </c>
      <c r="CU44" s="25">
        <f t="shared" si="7"/>
        <v>30</v>
      </c>
    </row>
    <row r="45" ht="14.25" customHeight="1">
      <c r="A45" s="9" t="str">
        <f>"Sprint N°"&amp;Resumen_Sprints!A13&amp;" – "&amp;Resumen_Sprints!B13</f>
        <v>Sprint N°8 – Despliegue, Aceptación y Cierre</v>
      </c>
      <c r="B45" s="10">
        <f>SUM(B46:B50)</f>
        <v>86</v>
      </c>
      <c r="CU45" s="28"/>
    </row>
    <row r="46" ht="14.25" customHeight="1">
      <c r="A46" s="11" t="str">
        <f>'Sprint N°8'!A6</f>
        <v>Despliegue del Sistema a Producción</v>
      </c>
      <c r="B46" s="11">
        <f>'Sprint N°8'!B6</f>
        <v>20</v>
      </c>
      <c r="C46" s="23">
        <f t="array" ref="C46">IF(AND(C$4&gt;Resumen_Sprints!$E$13,C$4&lt;=Resumen_Sprints!$E$13+Resumen_Sprints!$D$13),INDEX('Sprint N°8'!$C$6:$M$6,C$4-Resumen_Sprints!$E$13),0)</f>
        <v>0</v>
      </c>
      <c r="D46" s="23">
        <f t="array" ref="D46">IF(AND(D$4&gt;Resumen_Sprints!$E$13,D$4&lt;=Resumen_Sprints!$E$13+Resumen_Sprints!$D$13),INDEX('Sprint N°8'!$C$6:$M$6,D$4-Resumen_Sprints!$E$13),0)</f>
        <v>0</v>
      </c>
      <c r="E46" s="23">
        <f t="array" ref="E46">IF(AND(E$4&gt;Resumen_Sprints!$E$13,E$4&lt;=Resumen_Sprints!$E$13+Resumen_Sprints!$D$13),INDEX('Sprint N°8'!$C$6:$M$6,E$4-Resumen_Sprints!$E$13),0)</f>
        <v>0</v>
      </c>
      <c r="F46" s="23">
        <f t="array" ref="F46">IF(AND(F$4&gt;Resumen_Sprints!$E$13,F$4&lt;=Resumen_Sprints!$E$13+Resumen_Sprints!$D$13),INDEX('Sprint N°8'!$C$6:$M$6,F$4-Resumen_Sprints!$E$13),0)</f>
        <v>0</v>
      </c>
      <c r="G46" s="23">
        <f t="array" ref="G46">IF(AND(G$4&gt;Resumen_Sprints!$E$13,G$4&lt;=Resumen_Sprints!$E$13+Resumen_Sprints!$D$13),INDEX('Sprint N°8'!$C$6:$M$6,G$4-Resumen_Sprints!$E$13),0)</f>
        <v>0</v>
      </c>
      <c r="H46" s="23">
        <f t="array" ref="H46">IF(AND(H$4&gt;Resumen_Sprints!$E$13,H$4&lt;=Resumen_Sprints!$E$13+Resumen_Sprints!$D$13),INDEX('Sprint N°8'!$C$6:$M$6,H$4-Resumen_Sprints!$E$13),0)</f>
        <v>0</v>
      </c>
      <c r="I46" s="23">
        <f t="array" ref="I46">IF(AND(I$4&gt;Resumen_Sprints!$E$13,I$4&lt;=Resumen_Sprints!$E$13+Resumen_Sprints!$D$13),INDEX('Sprint N°8'!$C$6:$M$6,I$4-Resumen_Sprints!$E$13),0)</f>
        <v>0</v>
      </c>
      <c r="J46" s="23">
        <f t="array" ref="J46">IF(AND(J$4&gt;Resumen_Sprints!$E$13,J$4&lt;=Resumen_Sprints!$E$13+Resumen_Sprints!$D$13),INDEX('Sprint N°8'!$C$6:$M$6,J$4-Resumen_Sprints!$E$13),0)</f>
        <v>0</v>
      </c>
      <c r="K46" s="23">
        <f t="array" ref="K46">IF(AND(K$4&gt;Resumen_Sprints!$E$13,K$4&lt;=Resumen_Sprints!$E$13+Resumen_Sprints!$D$13),INDEX('Sprint N°8'!$C$6:$M$6,K$4-Resumen_Sprints!$E$13),0)</f>
        <v>0</v>
      </c>
      <c r="L46" s="23">
        <f t="array" ref="L46">IF(AND(L$4&gt;Resumen_Sprints!$E$13,L$4&lt;=Resumen_Sprints!$E$13+Resumen_Sprints!$D$13),INDEX('Sprint N°8'!$C$6:$M$6,L$4-Resumen_Sprints!$E$13),0)</f>
        <v>0</v>
      </c>
      <c r="M46" s="23">
        <f t="array" ref="M46">IF(AND(M$4&gt;Resumen_Sprints!$E$13,M$4&lt;=Resumen_Sprints!$E$13+Resumen_Sprints!$D$13),INDEX('Sprint N°8'!$C$6:$M$6,M$4-Resumen_Sprints!$E$13),0)</f>
        <v>0</v>
      </c>
      <c r="N46" s="23">
        <f t="array" ref="N46">IF(AND(N$4&gt;Resumen_Sprints!$E$13,N$4&lt;=Resumen_Sprints!$E$13+Resumen_Sprints!$D$13),INDEX('Sprint N°8'!$C$6:$M$6,N$4-Resumen_Sprints!$E$13),0)</f>
        <v>0</v>
      </c>
      <c r="O46" s="23">
        <f t="array" ref="O46">IF(AND(O$4&gt;Resumen_Sprints!$E$13,O$4&lt;=Resumen_Sprints!$E$13+Resumen_Sprints!$D$13),INDEX('Sprint N°8'!$C$6:$M$6,O$4-Resumen_Sprints!$E$13),0)</f>
        <v>0</v>
      </c>
      <c r="P46" s="23">
        <f t="array" ref="P46">IF(AND(P$4&gt;Resumen_Sprints!$E$13,P$4&lt;=Resumen_Sprints!$E$13+Resumen_Sprints!$D$13),INDEX('Sprint N°8'!$C$6:$M$6,P$4-Resumen_Sprints!$E$13),0)</f>
        <v>0</v>
      </c>
      <c r="Q46" s="23">
        <f t="array" ref="Q46">IF(AND(Q$4&gt;Resumen_Sprints!$E$13,Q$4&lt;=Resumen_Sprints!$E$13+Resumen_Sprints!$D$13),INDEX('Sprint N°8'!$C$6:$M$6,Q$4-Resumen_Sprints!$E$13),0)</f>
        <v>0</v>
      </c>
      <c r="R46" s="23">
        <f t="array" ref="R46">IF(AND(R$4&gt;Resumen_Sprints!$E$13,R$4&lt;=Resumen_Sprints!$E$13+Resumen_Sprints!$D$13),INDEX('Sprint N°8'!$C$6:$M$6,R$4-Resumen_Sprints!$E$13),0)</f>
        <v>0</v>
      </c>
      <c r="S46" s="23">
        <f t="array" ref="S46">IF(AND(S$4&gt;Resumen_Sprints!$E$13,S$4&lt;=Resumen_Sprints!$E$13+Resumen_Sprints!$D$13),INDEX('Sprint N°8'!$C$6:$M$6,S$4-Resumen_Sprints!$E$13),0)</f>
        <v>0</v>
      </c>
      <c r="T46" s="23">
        <f t="array" ref="T46">IF(AND(T$4&gt;Resumen_Sprints!$E$13,T$4&lt;=Resumen_Sprints!$E$13+Resumen_Sprints!$D$13),INDEX('Sprint N°8'!$C$6:$M$6,T$4-Resumen_Sprints!$E$13),0)</f>
        <v>0</v>
      </c>
      <c r="U46" s="23">
        <f t="array" ref="U46">IF(AND(U$4&gt;Resumen_Sprints!$E$13,U$4&lt;=Resumen_Sprints!$E$13+Resumen_Sprints!$D$13),INDEX('Sprint N°8'!$C$6:$M$6,U$4-Resumen_Sprints!$E$13),0)</f>
        <v>0</v>
      </c>
      <c r="V46" s="23">
        <f t="array" ref="V46">IF(AND(V$4&gt;Resumen_Sprints!$E$13,V$4&lt;=Resumen_Sprints!$E$13+Resumen_Sprints!$D$13),INDEX('Sprint N°8'!$C$6:$M$6,V$4-Resumen_Sprints!$E$13),0)</f>
        <v>0</v>
      </c>
      <c r="W46" s="23">
        <f t="array" ref="W46">IF(AND(W$4&gt;Resumen_Sprints!$E$13,W$4&lt;=Resumen_Sprints!$E$13+Resumen_Sprints!$D$13),INDEX('Sprint N°8'!$C$6:$M$6,W$4-Resumen_Sprints!$E$13),0)</f>
        <v>0</v>
      </c>
      <c r="X46" s="23">
        <f t="array" ref="X46">IF(AND(X$4&gt;Resumen_Sprints!$E$13,X$4&lt;=Resumen_Sprints!$E$13+Resumen_Sprints!$D$13),INDEX('Sprint N°8'!$C$6:$M$6,X$4-Resumen_Sprints!$E$13),0)</f>
        <v>0</v>
      </c>
      <c r="Y46" s="23">
        <f t="array" ref="Y46">IF(AND(Y$4&gt;Resumen_Sprints!$E$13,Y$4&lt;=Resumen_Sprints!$E$13+Resumen_Sprints!$D$13),INDEX('Sprint N°8'!$C$6:$M$6,Y$4-Resumen_Sprints!$E$13),0)</f>
        <v>0</v>
      </c>
      <c r="Z46" s="23">
        <f t="array" ref="Z46">IF(AND(Z$4&gt;Resumen_Sprints!$E$13,Z$4&lt;=Resumen_Sprints!$E$13+Resumen_Sprints!$D$13),INDEX('Sprint N°8'!$C$6:$M$6,Z$4-Resumen_Sprints!$E$13),0)</f>
        <v>0</v>
      </c>
      <c r="AA46" s="23">
        <f t="array" ref="AA46">IF(AND(AA$4&gt;Resumen_Sprints!$E$13,AA$4&lt;=Resumen_Sprints!$E$13+Resumen_Sprints!$D$13),INDEX('Sprint N°8'!$C$6:$M$6,AA$4-Resumen_Sprints!$E$13),0)</f>
        <v>0</v>
      </c>
      <c r="AB46" s="23">
        <f t="array" ref="AB46">IF(AND(AB$4&gt;Resumen_Sprints!$E$13,AB$4&lt;=Resumen_Sprints!$E$13+Resumen_Sprints!$D$13),INDEX('Sprint N°8'!$C$6:$M$6,AB$4-Resumen_Sprints!$E$13),0)</f>
        <v>0</v>
      </c>
      <c r="AC46" s="23">
        <f t="array" ref="AC46">IF(AND(AC$4&gt;Resumen_Sprints!$E$13,AC$4&lt;=Resumen_Sprints!$E$13+Resumen_Sprints!$D$13),INDEX('Sprint N°8'!$C$6:$M$6,AC$4-Resumen_Sprints!$E$13),0)</f>
        <v>0</v>
      </c>
      <c r="AD46" s="23">
        <f t="array" ref="AD46">IF(AND(AD$4&gt;Resumen_Sprints!$E$13,AD$4&lt;=Resumen_Sprints!$E$13+Resumen_Sprints!$D$13),INDEX('Sprint N°8'!$C$6:$M$6,AD$4-Resumen_Sprints!$E$13),0)</f>
        <v>0</v>
      </c>
      <c r="AE46" s="23">
        <f t="array" ref="AE46">IF(AND(AE$4&gt;Resumen_Sprints!$E$13,AE$4&lt;=Resumen_Sprints!$E$13+Resumen_Sprints!$D$13),INDEX('Sprint N°8'!$C$6:$M$6,AE$4-Resumen_Sprints!$E$13),0)</f>
        <v>0</v>
      </c>
      <c r="AF46" s="23">
        <f t="array" ref="AF46">IF(AND(AF$4&gt;Resumen_Sprints!$E$13,AF$4&lt;=Resumen_Sprints!$E$13+Resumen_Sprints!$D$13),INDEX('Sprint N°8'!$C$6:$M$6,AF$4-Resumen_Sprints!$E$13),0)</f>
        <v>0</v>
      </c>
      <c r="AG46" s="23">
        <f t="array" ref="AG46">IF(AND(AG$4&gt;Resumen_Sprints!$E$13,AG$4&lt;=Resumen_Sprints!$E$13+Resumen_Sprints!$D$13),INDEX('Sprint N°8'!$C$6:$M$6,AG$4-Resumen_Sprints!$E$13),0)</f>
        <v>0</v>
      </c>
      <c r="AH46" s="23">
        <f t="array" ref="AH46">IF(AND(AH$4&gt;Resumen_Sprints!$E$13,AH$4&lt;=Resumen_Sprints!$E$13+Resumen_Sprints!$D$13),INDEX('Sprint N°8'!$C$6:$M$6,AH$4-Resumen_Sprints!$E$13),0)</f>
        <v>0</v>
      </c>
      <c r="AI46" s="23">
        <f t="array" ref="AI46">IF(AND(AI$4&gt;Resumen_Sprints!$E$13,AI$4&lt;=Resumen_Sprints!$E$13+Resumen_Sprints!$D$13),INDEX('Sprint N°8'!$C$6:$M$6,AI$4-Resumen_Sprints!$E$13),0)</f>
        <v>0</v>
      </c>
      <c r="AJ46" s="23">
        <f t="array" ref="AJ46">IF(AND(AJ$4&gt;Resumen_Sprints!$E$13,AJ$4&lt;=Resumen_Sprints!$E$13+Resumen_Sprints!$D$13),INDEX('Sprint N°8'!$C$6:$M$6,AJ$4-Resumen_Sprints!$E$13),0)</f>
        <v>0</v>
      </c>
      <c r="AK46" s="23">
        <f t="array" ref="AK46">IF(AND(AK$4&gt;Resumen_Sprints!$E$13,AK$4&lt;=Resumen_Sprints!$E$13+Resumen_Sprints!$D$13),INDEX('Sprint N°8'!$C$6:$M$6,AK$4-Resumen_Sprints!$E$13),0)</f>
        <v>0</v>
      </c>
      <c r="AL46" s="23">
        <f t="array" ref="AL46">IF(AND(AL$4&gt;Resumen_Sprints!$E$13,AL$4&lt;=Resumen_Sprints!$E$13+Resumen_Sprints!$D$13),INDEX('Sprint N°8'!$C$6:$M$6,AL$4-Resumen_Sprints!$E$13),0)</f>
        <v>0</v>
      </c>
      <c r="AM46" s="23">
        <f t="array" ref="AM46">IF(AND(AM$4&gt;Resumen_Sprints!$E$13,AM$4&lt;=Resumen_Sprints!$E$13+Resumen_Sprints!$D$13),INDEX('Sprint N°8'!$C$6:$M$6,AM$4-Resumen_Sprints!$E$13),0)</f>
        <v>0</v>
      </c>
      <c r="AN46" s="23">
        <f t="array" ref="AN46">IF(AND(AN$4&gt;Resumen_Sprints!$E$13,AN$4&lt;=Resumen_Sprints!$E$13+Resumen_Sprints!$D$13),INDEX('Sprint N°8'!$C$6:$M$6,AN$4-Resumen_Sprints!$E$13),0)</f>
        <v>0</v>
      </c>
      <c r="AO46" s="23">
        <f t="array" ref="AO46">IF(AND(AO$4&gt;Resumen_Sprints!$E$13,AO$4&lt;=Resumen_Sprints!$E$13+Resumen_Sprints!$D$13),INDEX('Sprint N°8'!$C$6:$M$6,AO$4-Resumen_Sprints!$E$13),0)</f>
        <v>0</v>
      </c>
      <c r="AP46" s="23">
        <f t="array" ref="AP46">IF(AND(AP$4&gt;Resumen_Sprints!$E$13,AP$4&lt;=Resumen_Sprints!$E$13+Resumen_Sprints!$D$13),INDEX('Sprint N°8'!$C$6:$M$6,AP$4-Resumen_Sprints!$E$13),0)</f>
        <v>0</v>
      </c>
      <c r="AQ46" s="23">
        <f t="array" ref="AQ46">IF(AND(AQ$4&gt;Resumen_Sprints!$E$13,AQ$4&lt;=Resumen_Sprints!$E$13+Resumen_Sprints!$D$13),INDEX('Sprint N°8'!$C$6:$M$6,AQ$4-Resumen_Sprints!$E$13),0)</f>
        <v>0</v>
      </c>
      <c r="AR46" s="23">
        <f t="array" ref="AR46">IF(AND(AR$4&gt;Resumen_Sprints!$E$13,AR$4&lt;=Resumen_Sprints!$E$13+Resumen_Sprints!$D$13),INDEX('Sprint N°8'!$C$6:$M$6,AR$4-Resumen_Sprints!$E$13),0)</f>
        <v>0</v>
      </c>
      <c r="AS46" s="23">
        <f t="array" ref="AS46">IF(AND(AS$4&gt;Resumen_Sprints!$E$13,AS$4&lt;=Resumen_Sprints!$E$13+Resumen_Sprints!$D$13),INDEX('Sprint N°8'!$C$6:$M$6,AS$4-Resumen_Sprints!$E$13),0)</f>
        <v>0</v>
      </c>
      <c r="AT46" s="23">
        <f t="array" ref="AT46">IF(AND(AT$4&gt;Resumen_Sprints!$E$13,AT$4&lt;=Resumen_Sprints!$E$13+Resumen_Sprints!$D$13),INDEX('Sprint N°8'!$C$6:$M$6,AT$4-Resumen_Sprints!$E$13),0)</f>
        <v>0</v>
      </c>
      <c r="AU46" s="23">
        <f t="array" ref="AU46">IF(AND(AU$4&gt;Resumen_Sprints!$E$13,AU$4&lt;=Resumen_Sprints!$E$13+Resumen_Sprints!$D$13),INDEX('Sprint N°8'!$C$6:$M$6,AU$4-Resumen_Sprints!$E$13),0)</f>
        <v>0</v>
      </c>
      <c r="AV46" s="23">
        <f t="array" ref="AV46">IF(AND(AV$4&gt;Resumen_Sprints!$E$13,AV$4&lt;=Resumen_Sprints!$E$13+Resumen_Sprints!$D$13),INDEX('Sprint N°8'!$C$6:$M$6,AV$4-Resumen_Sprints!$E$13),0)</f>
        <v>0</v>
      </c>
      <c r="AW46" s="23">
        <f t="array" ref="AW46">IF(AND(AW$4&gt;Resumen_Sprints!$E$13,AW$4&lt;=Resumen_Sprints!$E$13+Resumen_Sprints!$D$13),INDEX('Sprint N°8'!$C$6:$M$6,AW$4-Resumen_Sprints!$E$13),0)</f>
        <v>0</v>
      </c>
      <c r="AX46" s="23">
        <f t="array" ref="AX46">IF(AND(AX$4&gt;Resumen_Sprints!$E$13,AX$4&lt;=Resumen_Sprints!$E$13+Resumen_Sprints!$D$13),INDEX('Sprint N°8'!$C$6:$M$6,AX$4-Resumen_Sprints!$E$13),0)</f>
        <v>0</v>
      </c>
      <c r="AY46" s="23">
        <f t="array" ref="AY46">IF(AND(AY$4&gt;Resumen_Sprints!$E$13,AY$4&lt;=Resumen_Sprints!$E$13+Resumen_Sprints!$D$13),INDEX('Sprint N°8'!$C$6:$M$6,AY$4-Resumen_Sprints!$E$13),0)</f>
        <v>0</v>
      </c>
      <c r="AZ46" s="23">
        <f t="array" ref="AZ46">IF(AND(AZ$4&gt;Resumen_Sprints!$E$13,AZ$4&lt;=Resumen_Sprints!$E$13+Resumen_Sprints!$D$13),INDEX('Sprint N°8'!$C$6:$M$6,AZ$4-Resumen_Sprints!$E$13),0)</f>
        <v>0</v>
      </c>
      <c r="BA46" s="23">
        <f t="array" ref="BA46">IF(AND(BA$4&gt;Resumen_Sprints!$E$13,BA$4&lt;=Resumen_Sprints!$E$13+Resumen_Sprints!$D$13),INDEX('Sprint N°8'!$C$6:$M$6,BA$4-Resumen_Sprints!$E$13),0)</f>
        <v>0</v>
      </c>
      <c r="BB46" s="23">
        <f t="array" ref="BB46">IF(AND(BB$4&gt;Resumen_Sprints!$E$13,BB$4&lt;=Resumen_Sprints!$E$13+Resumen_Sprints!$D$13),INDEX('Sprint N°8'!$C$6:$M$6,BB$4-Resumen_Sprints!$E$13),0)</f>
        <v>0</v>
      </c>
      <c r="BC46" s="23">
        <f t="array" ref="BC46">IF(AND(BC$4&gt;Resumen_Sprints!$E$13,BC$4&lt;=Resumen_Sprints!$E$13+Resumen_Sprints!$D$13),INDEX('Sprint N°8'!$C$6:$M$6,BC$4-Resumen_Sprints!$E$13),0)</f>
        <v>0</v>
      </c>
      <c r="BD46" s="23">
        <f t="array" ref="BD46">IF(AND(BD$4&gt;Resumen_Sprints!$E$13,BD$4&lt;=Resumen_Sprints!$E$13+Resumen_Sprints!$D$13),INDEX('Sprint N°8'!$C$6:$M$6,BD$4-Resumen_Sprints!$E$13),0)</f>
        <v>0</v>
      </c>
      <c r="BE46" s="23">
        <f t="array" ref="BE46">IF(AND(BE$4&gt;Resumen_Sprints!$E$13,BE$4&lt;=Resumen_Sprints!$E$13+Resumen_Sprints!$D$13),INDEX('Sprint N°8'!$C$6:$M$6,BE$4-Resumen_Sprints!$E$13),0)</f>
        <v>0</v>
      </c>
      <c r="BF46" s="23">
        <f t="array" ref="BF46">IF(AND(BF$4&gt;Resumen_Sprints!$E$13,BF$4&lt;=Resumen_Sprints!$E$13+Resumen_Sprints!$D$13),INDEX('Sprint N°8'!$C$6:$M$6,BF$4-Resumen_Sprints!$E$13),0)</f>
        <v>0</v>
      </c>
      <c r="BG46" s="23">
        <f t="array" ref="BG46">IF(AND(BG$4&gt;Resumen_Sprints!$E$13,BG$4&lt;=Resumen_Sprints!$E$13+Resumen_Sprints!$D$13),INDEX('Sprint N°8'!$C$6:$M$6,BG$4-Resumen_Sprints!$E$13),0)</f>
        <v>0</v>
      </c>
      <c r="BH46" s="23">
        <f t="array" ref="BH46">IF(AND(BH$4&gt;Resumen_Sprints!$E$13,BH$4&lt;=Resumen_Sprints!$E$13+Resumen_Sprints!$D$13),INDEX('Sprint N°8'!$C$6:$M$6,BH$4-Resumen_Sprints!$E$13),0)</f>
        <v>0</v>
      </c>
      <c r="BI46" s="23">
        <f t="array" ref="BI46">IF(AND(BI$4&gt;Resumen_Sprints!$E$13,BI$4&lt;=Resumen_Sprints!$E$13+Resumen_Sprints!$D$13),INDEX('Sprint N°8'!$C$6:$M$6,BI$4-Resumen_Sprints!$E$13),0)</f>
        <v>0</v>
      </c>
      <c r="BJ46" s="23">
        <f t="array" ref="BJ46">IF(AND(BJ$4&gt;Resumen_Sprints!$E$13,BJ$4&lt;=Resumen_Sprints!$E$13+Resumen_Sprints!$D$13),INDEX('Sprint N°8'!$C$6:$M$6,BJ$4-Resumen_Sprints!$E$13),0)</f>
        <v>0</v>
      </c>
      <c r="BK46" s="23">
        <f t="array" ref="BK46">IF(AND(BK$4&gt;Resumen_Sprints!$E$13,BK$4&lt;=Resumen_Sprints!$E$13+Resumen_Sprints!$D$13),INDEX('Sprint N°8'!$C$6:$M$6,BK$4-Resumen_Sprints!$E$13),0)</f>
        <v>0</v>
      </c>
      <c r="BL46" s="23">
        <f t="array" ref="BL46">IF(AND(BL$4&gt;Resumen_Sprints!$E$13,BL$4&lt;=Resumen_Sprints!$E$13+Resumen_Sprints!$D$13),INDEX('Sprint N°8'!$C$6:$M$6,BL$4-Resumen_Sprints!$E$13),0)</f>
        <v>0</v>
      </c>
      <c r="BM46" s="23">
        <f t="array" ref="BM46">IF(AND(BM$4&gt;Resumen_Sprints!$E$13,BM$4&lt;=Resumen_Sprints!$E$13+Resumen_Sprints!$D$13),INDEX('Sprint N°8'!$C$6:$M$6,BM$4-Resumen_Sprints!$E$13),0)</f>
        <v>0</v>
      </c>
      <c r="BN46" s="23">
        <f t="array" ref="BN46">IF(AND(BN$4&gt;Resumen_Sprints!$E$13,BN$4&lt;=Resumen_Sprints!$E$13+Resumen_Sprints!$D$13),INDEX('Sprint N°8'!$C$6:$M$6,BN$4-Resumen_Sprints!$E$13),0)</f>
        <v>0</v>
      </c>
      <c r="BO46" s="23">
        <f t="array" ref="BO46">IF(AND(BO$4&gt;Resumen_Sprints!$E$13,BO$4&lt;=Resumen_Sprints!$E$13+Resumen_Sprints!$D$13),INDEX('Sprint N°8'!$C$6:$M$6,BO$4-Resumen_Sprints!$E$13),0)</f>
        <v>0</v>
      </c>
      <c r="BP46" s="23">
        <f t="array" ref="BP46">IF(AND(BP$4&gt;Resumen_Sprints!$E$13,BP$4&lt;=Resumen_Sprints!$E$13+Resumen_Sprints!$D$13),INDEX('Sprint N°8'!$C$6:$M$6,BP$4-Resumen_Sprints!$E$13),0)</f>
        <v>0</v>
      </c>
      <c r="BQ46" s="23">
        <f t="array" ref="BQ46">IF(AND(BQ$4&gt;Resumen_Sprints!$E$13,BQ$4&lt;=Resumen_Sprints!$E$13+Resumen_Sprints!$D$13),INDEX('Sprint N°8'!$C$6:$M$6,BQ$4-Resumen_Sprints!$E$13),0)</f>
        <v>0</v>
      </c>
      <c r="BR46" s="23">
        <f t="array" ref="BR46">IF(AND(BR$4&gt;Resumen_Sprints!$E$13,BR$4&lt;=Resumen_Sprints!$E$13+Resumen_Sprints!$D$13),INDEX('Sprint N°8'!$C$6:$M$6,BR$4-Resumen_Sprints!$E$13),0)</f>
        <v>0</v>
      </c>
      <c r="BS46" s="23">
        <f t="array" ref="BS46">IF(AND(BS$4&gt;Resumen_Sprints!$E$13,BS$4&lt;=Resumen_Sprints!$E$13+Resumen_Sprints!$D$13),INDEX('Sprint N°8'!$C$6:$M$6,BS$4-Resumen_Sprints!$E$13),0)</f>
        <v>0</v>
      </c>
      <c r="BT46" s="23">
        <f t="array" ref="BT46">IF(AND(BT$4&gt;Resumen_Sprints!$E$13,BT$4&lt;=Resumen_Sprints!$E$13+Resumen_Sprints!$D$13),INDEX('Sprint N°8'!$C$6:$M$6,BT$4-Resumen_Sprints!$E$13),0)</f>
        <v>0</v>
      </c>
      <c r="BU46" s="23">
        <f t="array" ref="BU46">IF(AND(BU$4&gt;Resumen_Sprints!$E$13,BU$4&lt;=Resumen_Sprints!$E$13+Resumen_Sprints!$D$13),INDEX('Sprint N°8'!$C$6:$M$6,BU$4-Resumen_Sprints!$E$13),0)</f>
        <v>0</v>
      </c>
      <c r="BV46" s="23">
        <f t="array" ref="BV46">IF(AND(BV$4&gt;Resumen_Sprints!$E$13,BV$4&lt;=Resumen_Sprints!$E$13+Resumen_Sprints!$D$13),INDEX('Sprint N°8'!$C$6:$M$6,BV$4-Resumen_Sprints!$E$13),0)</f>
        <v>0</v>
      </c>
      <c r="BW46" s="23">
        <f t="array" ref="BW46">IF(AND(BW$4&gt;Resumen_Sprints!$E$13,BW$4&lt;=Resumen_Sprints!$E$13+Resumen_Sprints!$D$13),INDEX('Sprint N°8'!$C$6:$M$6,BW$4-Resumen_Sprints!$E$13),0)</f>
        <v>0</v>
      </c>
      <c r="BX46" s="23">
        <f t="array" ref="BX46">IF(AND(BX$4&gt;Resumen_Sprints!$E$13,BX$4&lt;=Resumen_Sprints!$E$13+Resumen_Sprints!$D$13),INDEX('Sprint N°8'!$C$6:$M$6,BX$4-Resumen_Sprints!$E$13),0)</f>
        <v>0</v>
      </c>
      <c r="BY46" s="23">
        <f t="array" ref="BY46">IF(AND(BY$4&gt;Resumen_Sprints!$E$13,BY$4&lt;=Resumen_Sprints!$E$13+Resumen_Sprints!$D$13),INDEX('Sprint N°8'!$C$6:$M$6,BY$4-Resumen_Sprints!$E$13),0)</f>
        <v>0</v>
      </c>
      <c r="BZ46" s="23">
        <f t="array" ref="BZ46">IF(AND(BZ$4&gt;Resumen_Sprints!$E$13,BZ$4&lt;=Resumen_Sprints!$E$13+Resumen_Sprints!$D$13),INDEX('Sprint N°8'!$C$6:$M$6,BZ$4-Resumen_Sprints!$E$13),0)</f>
        <v>0</v>
      </c>
      <c r="CA46" s="23">
        <f t="array" ref="CA46">IF(AND(CA$4&gt;Resumen_Sprints!$E$13,CA$4&lt;=Resumen_Sprints!$E$13+Resumen_Sprints!$D$13),INDEX('Sprint N°8'!$C$6:$M$6,CA$4-Resumen_Sprints!$E$13),0)</f>
        <v>0</v>
      </c>
      <c r="CB46" s="23">
        <f t="array" ref="CB46">IF(AND(CB$4&gt;Resumen_Sprints!$E$13,CB$4&lt;=Resumen_Sprints!$E$13+Resumen_Sprints!$D$13),INDEX('Sprint N°8'!$C$6:$M$6,CB$4-Resumen_Sprints!$E$13),0)</f>
        <v>0</v>
      </c>
      <c r="CC46" s="23">
        <f t="array" ref="CC46">IF(AND(CC$4&gt;Resumen_Sprints!$E$13,CC$4&lt;=Resumen_Sprints!$E$13+Resumen_Sprints!$D$13),INDEX('Sprint N°8'!$C$6:$M$6,CC$4-Resumen_Sprints!$E$13),0)</f>
        <v>0</v>
      </c>
      <c r="CD46" s="23">
        <f t="array" ref="CD46">IF(AND(CD$4&gt;Resumen_Sprints!$E$13,CD$4&lt;=Resumen_Sprints!$E$13+Resumen_Sprints!$D$13),INDEX('Sprint N°8'!$C$6:$M$6,CD$4-Resumen_Sprints!$E$13),0)</f>
        <v>0</v>
      </c>
      <c r="CE46" s="23">
        <f t="array" ref="CE46">IF(AND(CE$4&gt;Resumen_Sprints!$E$13,CE$4&lt;=Resumen_Sprints!$E$13+Resumen_Sprints!$D$13),INDEX('Sprint N°8'!$C$6:$M$6,CE$4-Resumen_Sprints!$E$13),0)</f>
        <v>0</v>
      </c>
      <c r="CF46" s="23">
        <f t="array" ref="CF46">IF(AND(CF$4&gt;Resumen_Sprints!$E$13,CF$4&lt;=Resumen_Sprints!$E$13+Resumen_Sprints!$D$13),INDEX('Sprint N°8'!$C$6:$M$6,CF$4-Resumen_Sprints!$E$13),0)</f>
        <v>0</v>
      </c>
      <c r="CG46" s="23">
        <f t="array" ref="CG46">IF(AND(CG$4&gt;Resumen_Sprints!$E$13,CG$4&lt;=Resumen_Sprints!$E$13+Resumen_Sprints!$D$13),INDEX('Sprint N°8'!$C$6:$M$6,CG$4-Resumen_Sprints!$E$13),0)</f>
        <v>0</v>
      </c>
      <c r="CH46" s="23">
        <f t="array" ref="CH46">IF(AND(CH$4&gt;Resumen_Sprints!$E$13,CH$4&lt;=Resumen_Sprints!$E$13+Resumen_Sprints!$D$13),INDEX('Sprint N°8'!$C$6:$M$6,CH$4-Resumen_Sprints!$E$13),0)</f>
        <v>7</v>
      </c>
      <c r="CI46" s="23">
        <f t="array" ref="CI46">IF(AND(CI$4&gt;Resumen_Sprints!$E$13,CI$4&lt;=Resumen_Sprints!$E$13+Resumen_Sprints!$D$13),INDEX('Sprint N°8'!$C$6:$M$6,CI$4-Resumen_Sprints!$E$13),0)</f>
        <v>6</v>
      </c>
      <c r="CJ46" s="23">
        <f t="array" ref="CJ46">IF(AND(CJ$4&gt;Resumen_Sprints!$E$13,CJ$4&lt;=Resumen_Sprints!$E$13+Resumen_Sprints!$D$13),INDEX('Sprint N°8'!$C$6:$M$6,CJ$4-Resumen_Sprints!$E$13),0)</f>
        <v>2</v>
      </c>
      <c r="CK46" s="23" t="str">
        <f t="array" ref="CK46">IF(AND(CK$4&gt;Resumen_Sprints!$E$13,CK$4&lt;=Resumen_Sprints!$E$13+Resumen_Sprints!$D$13),INDEX('Sprint N°8'!$C$6:$M$6,CK$4-Resumen_Sprints!$E$13),0)</f>
        <v/>
      </c>
      <c r="CL46" s="23" t="str">
        <f t="array" ref="CL46">IF(AND(CL$4&gt;Resumen_Sprints!$E$13,CL$4&lt;=Resumen_Sprints!$E$13+Resumen_Sprints!$D$13),INDEX('Sprint N°8'!$C$6:$M$6,CL$4-Resumen_Sprints!$E$13),0)</f>
        <v/>
      </c>
      <c r="CM46" s="23" t="str">
        <f t="array" ref="CM46">IF(AND(CM$4&gt;Resumen_Sprints!$E$13,CM$4&lt;=Resumen_Sprints!$E$13+Resumen_Sprints!$D$13),INDEX('Sprint N°8'!$C$6:$M$6,CM$4-Resumen_Sprints!$E$13),0)</f>
        <v/>
      </c>
      <c r="CN46" s="23" t="str">
        <f t="array" ref="CN46">IF(AND(CN$4&gt;Resumen_Sprints!$E$13,CN$4&lt;=Resumen_Sprints!$E$13+Resumen_Sprints!$D$13),INDEX('Sprint N°8'!$C$6:$M$6,CN$4-Resumen_Sprints!$E$13),0)</f>
        <v/>
      </c>
      <c r="CO46" s="23" t="str">
        <f t="array" ref="CO46">IF(AND(CO$4&gt;Resumen_Sprints!$E$13,CO$4&lt;=Resumen_Sprints!$E$13+Resumen_Sprints!$D$13),INDEX('Sprint N°8'!$C$6:$M$6,CO$4-Resumen_Sprints!$E$13),0)</f>
        <v/>
      </c>
      <c r="CP46" s="23" t="str">
        <f t="array" ref="CP46">IF(AND(CP$4&gt;Resumen_Sprints!$E$13,CP$4&lt;=Resumen_Sprints!$E$13+Resumen_Sprints!$D$13),INDEX('Sprint N°8'!$C$6:$M$6,CP$4-Resumen_Sprints!$E$13),0)</f>
        <v/>
      </c>
      <c r="CQ46" s="23" t="str">
        <f t="array" ref="CQ46">IF(AND(CQ$4&gt;Resumen_Sprints!$E$13,CQ$4&lt;=Resumen_Sprints!$E$13+Resumen_Sprints!$D$13),INDEX('Sprint N°8'!$C$6:$M$6,CQ$4-Resumen_Sprints!$E$13),0)</f>
        <v/>
      </c>
      <c r="CR46" s="23" t="str">
        <f t="array" ref="CR46">IF(AND(CR$4&gt;Resumen_Sprints!$E$13,CR$4&lt;=Resumen_Sprints!$E$13+Resumen_Sprints!$D$13),INDEX('Sprint N°8'!$C$6:$M$6,CR$4-Resumen_Sprints!$E$13),0)</f>
        <v/>
      </c>
      <c r="CS46" s="23">
        <f t="array" ref="CS46">IF(AND(CS$4&gt;Resumen_Sprints!$E$13,CS$4&lt;=Resumen_Sprints!$E$13+Resumen_Sprints!$D$13),INDEX('Sprint N°8'!$C$6:$M$6,CS$4-Resumen_Sprints!$E$13),0)</f>
        <v>0</v>
      </c>
      <c r="CT46" s="23">
        <f t="array" ref="CT46">IF(AND(CT$4&gt;Resumen_Sprints!$E$13,CT$4&lt;=Resumen_Sprints!$E$13+Resumen_Sprints!$D$13),INDEX('Sprint N°8'!$C$6:$M$6,CT$4-Resumen_Sprints!$E$13),0)</f>
        <v>0</v>
      </c>
      <c r="CU46" s="25">
        <f t="shared" ref="CU46:CU50" si="8">SUM(C46:CT46)</f>
        <v>15</v>
      </c>
    </row>
    <row r="47" ht="14.25" customHeight="1">
      <c r="A47" s="11" t="str">
        <f>'Sprint N°8'!A7</f>
        <v>Pruebas de Aceptación con Patrocinadores</v>
      </c>
      <c r="B47" s="11">
        <f>'Sprint N°8'!B7</f>
        <v>24</v>
      </c>
      <c r="C47" s="23">
        <f t="array" ref="C47">IF(AND(C$4&gt;Resumen_Sprints!$E$13,C$4&lt;=Resumen_Sprints!$E$13+Resumen_Sprints!$D$13),INDEX('Sprint N°8'!$C$7:$M$7,C$4-Resumen_Sprints!$E$13),0)</f>
        <v>0</v>
      </c>
      <c r="D47" s="23">
        <f t="array" ref="D47">IF(AND(D$4&gt;Resumen_Sprints!$E$13,D$4&lt;=Resumen_Sprints!$E$13+Resumen_Sprints!$D$13),INDEX('Sprint N°8'!$C$7:$M$7,D$4-Resumen_Sprints!$E$13),0)</f>
        <v>0</v>
      </c>
      <c r="E47" s="23">
        <f t="array" ref="E47">IF(AND(E$4&gt;Resumen_Sprints!$E$13,E$4&lt;=Resumen_Sprints!$E$13+Resumen_Sprints!$D$13),INDEX('Sprint N°8'!$C$7:$M$7,E$4-Resumen_Sprints!$E$13),0)</f>
        <v>0</v>
      </c>
      <c r="F47" s="23">
        <f t="array" ref="F47">IF(AND(F$4&gt;Resumen_Sprints!$E$13,F$4&lt;=Resumen_Sprints!$E$13+Resumen_Sprints!$D$13),INDEX('Sprint N°8'!$C$7:$M$7,F$4-Resumen_Sprints!$E$13),0)</f>
        <v>0</v>
      </c>
      <c r="G47" s="23">
        <f t="array" ref="G47">IF(AND(G$4&gt;Resumen_Sprints!$E$13,G$4&lt;=Resumen_Sprints!$E$13+Resumen_Sprints!$D$13),INDEX('Sprint N°8'!$C$7:$M$7,G$4-Resumen_Sprints!$E$13),0)</f>
        <v>0</v>
      </c>
      <c r="H47" s="23">
        <f t="array" ref="H47">IF(AND(H$4&gt;Resumen_Sprints!$E$13,H$4&lt;=Resumen_Sprints!$E$13+Resumen_Sprints!$D$13),INDEX('Sprint N°8'!$C$7:$M$7,H$4-Resumen_Sprints!$E$13),0)</f>
        <v>0</v>
      </c>
      <c r="I47" s="23">
        <f t="array" ref="I47">IF(AND(I$4&gt;Resumen_Sprints!$E$13,I$4&lt;=Resumen_Sprints!$E$13+Resumen_Sprints!$D$13),INDEX('Sprint N°8'!$C$7:$M$7,I$4-Resumen_Sprints!$E$13),0)</f>
        <v>0</v>
      </c>
      <c r="J47" s="23">
        <f t="array" ref="J47">IF(AND(J$4&gt;Resumen_Sprints!$E$13,J$4&lt;=Resumen_Sprints!$E$13+Resumen_Sprints!$D$13),INDEX('Sprint N°8'!$C$7:$M$7,J$4-Resumen_Sprints!$E$13),0)</f>
        <v>0</v>
      </c>
      <c r="K47" s="23">
        <f t="array" ref="K47">IF(AND(K$4&gt;Resumen_Sprints!$E$13,K$4&lt;=Resumen_Sprints!$E$13+Resumen_Sprints!$D$13),INDEX('Sprint N°8'!$C$7:$M$7,K$4-Resumen_Sprints!$E$13),0)</f>
        <v>0</v>
      </c>
      <c r="L47" s="23">
        <f t="array" ref="L47">IF(AND(L$4&gt;Resumen_Sprints!$E$13,L$4&lt;=Resumen_Sprints!$E$13+Resumen_Sprints!$D$13),INDEX('Sprint N°8'!$C$7:$M$7,L$4-Resumen_Sprints!$E$13),0)</f>
        <v>0</v>
      </c>
      <c r="M47" s="23">
        <f t="array" ref="M47">IF(AND(M$4&gt;Resumen_Sprints!$E$13,M$4&lt;=Resumen_Sprints!$E$13+Resumen_Sprints!$D$13),INDEX('Sprint N°8'!$C$7:$M$7,M$4-Resumen_Sprints!$E$13),0)</f>
        <v>0</v>
      </c>
      <c r="N47" s="23">
        <f t="array" ref="N47">IF(AND(N$4&gt;Resumen_Sprints!$E$13,N$4&lt;=Resumen_Sprints!$E$13+Resumen_Sprints!$D$13),INDEX('Sprint N°8'!$C$7:$M$7,N$4-Resumen_Sprints!$E$13),0)</f>
        <v>0</v>
      </c>
      <c r="O47" s="23">
        <f t="array" ref="O47">IF(AND(O$4&gt;Resumen_Sprints!$E$13,O$4&lt;=Resumen_Sprints!$E$13+Resumen_Sprints!$D$13),INDEX('Sprint N°8'!$C$7:$M$7,O$4-Resumen_Sprints!$E$13),0)</f>
        <v>0</v>
      </c>
      <c r="P47" s="23">
        <f t="array" ref="P47">IF(AND(P$4&gt;Resumen_Sprints!$E$13,P$4&lt;=Resumen_Sprints!$E$13+Resumen_Sprints!$D$13),INDEX('Sprint N°8'!$C$7:$M$7,P$4-Resumen_Sprints!$E$13),0)</f>
        <v>0</v>
      </c>
      <c r="Q47" s="23">
        <f t="array" ref="Q47">IF(AND(Q$4&gt;Resumen_Sprints!$E$13,Q$4&lt;=Resumen_Sprints!$E$13+Resumen_Sprints!$D$13),INDEX('Sprint N°8'!$C$7:$M$7,Q$4-Resumen_Sprints!$E$13),0)</f>
        <v>0</v>
      </c>
      <c r="R47" s="23">
        <f t="array" ref="R47">IF(AND(R$4&gt;Resumen_Sprints!$E$13,R$4&lt;=Resumen_Sprints!$E$13+Resumen_Sprints!$D$13),INDEX('Sprint N°8'!$C$7:$M$7,R$4-Resumen_Sprints!$E$13),0)</f>
        <v>0</v>
      </c>
      <c r="S47" s="23">
        <f t="array" ref="S47">IF(AND(S$4&gt;Resumen_Sprints!$E$13,S$4&lt;=Resumen_Sprints!$E$13+Resumen_Sprints!$D$13),INDEX('Sprint N°8'!$C$7:$M$7,S$4-Resumen_Sprints!$E$13),0)</f>
        <v>0</v>
      </c>
      <c r="T47" s="23">
        <f t="array" ref="T47">IF(AND(T$4&gt;Resumen_Sprints!$E$13,T$4&lt;=Resumen_Sprints!$E$13+Resumen_Sprints!$D$13),INDEX('Sprint N°8'!$C$7:$M$7,T$4-Resumen_Sprints!$E$13),0)</f>
        <v>0</v>
      </c>
      <c r="U47" s="23">
        <f t="array" ref="U47">IF(AND(U$4&gt;Resumen_Sprints!$E$13,U$4&lt;=Resumen_Sprints!$E$13+Resumen_Sprints!$D$13),INDEX('Sprint N°8'!$C$7:$M$7,U$4-Resumen_Sprints!$E$13),0)</f>
        <v>0</v>
      </c>
      <c r="V47" s="23">
        <f t="array" ref="V47">IF(AND(V$4&gt;Resumen_Sprints!$E$13,V$4&lt;=Resumen_Sprints!$E$13+Resumen_Sprints!$D$13),INDEX('Sprint N°8'!$C$7:$M$7,V$4-Resumen_Sprints!$E$13),0)</f>
        <v>0</v>
      </c>
      <c r="W47" s="23">
        <f t="array" ref="W47">IF(AND(W$4&gt;Resumen_Sprints!$E$13,W$4&lt;=Resumen_Sprints!$E$13+Resumen_Sprints!$D$13),INDEX('Sprint N°8'!$C$7:$M$7,W$4-Resumen_Sprints!$E$13),0)</f>
        <v>0</v>
      </c>
      <c r="X47" s="23">
        <f t="array" ref="X47">IF(AND(X$4&gt;Resumen_Sprints!$E$13,X$4&lt;=Resumen_Sprints!$E$13+Resumen_Sprints!$D$13),INDEX('Sprint N°8'!$C$7:$M$7,X$4-Resumen_Sprints!$E$13),0)</f>
        <v>0</v>
      </c>
      <c r="Y47" s="23">
        <f t="array" ref="Y47">IF(AND(Y$4&gt;Resumen_Sprints!$E$13,Y$4&lt;=Resumen_Sprints!$E$13+Resumen_Sprints!$D$13),INDEX('Sprint N°8'!$C$7:$M$7,Y$4-Resumen_Sprints!$E$13),0)</f>
        <v>0</v>
      </c>
      <c r="Z47" s="23">
        <f t="array" ref="Z47">IF(AND(Z$4&gt;Resumen_Sprints!$E$13,Z$4&lt;=Resumen_Sprints!$E$13+Resumen_Sprints!$D$13),INDEX('Sprint N°8'!$C$7:$M$7,Z$4-Resumen_Sprints!$E$13),0)</f>
        <v>0</v>
      </c>
      <c r="AA47" s="23">
        <f t="array" ref="AA47">IF(AND(AA$4&gt;Resumen_Sprints!$E$13,AA$4&lt;=Resumen_Sprints!$E$13+Resumen_Sprints!$D$13),INDEX('Sprint N°8'!$C$7:$M$7,AA$4-Resumen_Sprints!$E$13),0)</f>
        <v>0</v>
      </c>
      <c r="AB47" s="23">
        <f t="array" ref="AB47">IF(AND(AB$4&gt;Resumen_Sprints!$E$13,AB$4&lt;=Resumen_Sprints!$E$13+Resumen_Sprints!$D$13),INDEX('Sprint N°8'!$C$7:$M$7,AB$4-Resumen_Sprints!$E$13),0)</f>
        <v>0</v>
      </c>
      <c r="AC47" s="23">
        <f t="array" ref="AC47">IF(AND(AC$4&gt;Resumen_Sprints!$E$13,AC$4&lt;=Resumen_Sprints!$E$13+Resumen_Sprints!$D$13),INDEX('Sprint N°8'!$C$7:$M$7,AC$4-Resumen_Sprints!$E$13),0)</f>
        <v>0</v>
      </c>
      <c r="AD47" s="23">
        <f t="array" ref="AD47">IF(AND(AD$4&gt;Resumen_Sprints!$E$13,AD$4&lt;=Resumen_Sprints!$E$13+Resumen_Sprints!$D$13),INDEX('Sprint N°8'!$C$7:$M$7,AD$4-Resumen_Sprints!$E$13),0)</f>
        <v>0</v>
      </c>
      <c r="AE47" s="23">
        <f t="array" ref="AE47">IF(AND(AE$4&gt;Resumen_Sprints!$E$13,AE$4&lt;=Resumen_Sprints!$E$13+Resumen_Sprints!$D$13),INDEX('Sprint N°8'!$C$7:$M$7,AE$4-Resumen_Sprints!$E$13),0)</f>
        <v>0</v>
      </c>
      <c r="AF47" s="23">
        <f t="array" ref="AF47">IF(AND(AF$4&gt;Resumen_Sprints!$E$13,AF$4&lt;=Resumen_Sprints!$E$13+Resumen_Sprints!$D$13),INDEX('Sprint N°8'!$C$7:$M$7,AF$4-Resumen_Sprints!$E$13),0)</f>
        <v>0</v>
      </c>
      <c r="AG47" s="23">
        <f t="array" ref="AG47">IF(AND(AG$4&gt;Resumen_Sprints!$E$13,AG$4&lt;=Resumen_Sprints!$E$13+Resumen_Sprints!$D$13),INDEX('Sprint N°8'!$C$7:$M$7,AG$4-Resumen_Sprints!$E$13),0)</f>
        <v>0</v>
      </c>
      <c r="AH47" s="23">
        <f t="array" ref="AH47">IF(AND(AH$4&gt;Resumen_Sprints!$E$13,AH$4&lt;=Resumen_Sprints!$E$13+Resumen_Sprints!$D$13),INDEX('Sprint N°8'!$C$7:$M$7,AH$4-Resumen_Sprints!$E$13),0)</f>
        <v>0</v>
      </c>
      <c r="AI47" s="23">
        <f t="array" ref="AI47">IF(AND(AI$4&gt;Resumen_Sprints!$E$13,AI$4&lt;=Resumen_Sprints!$E$13+Resumen_Sprints!$D$13),INDEX('Sprint N°8'!$C$7:$M$7,AI$4-Resumen_Sprints!$E$13),0)</f>
        <v>0</v>
      </c>
      <c r="AJ47" s="23">
        <f t="array" ref="AJ47">IF(AND(AJ$4&gt;Resumen_Sprints!$E$13,AJ$4&lt;=Resumen_Sprints!$E$13+Resumen_Sprints!$D$13),INDEX('Sprint N°8'!$C$7:$M$7,AJ$4-Resumen_Sprints!$E$13),0)</f>
        <v>0</v>
      </c>
      <c r="AK47" s="23">
        <f t="array" ref="AK47">IF(AND(AK$4&gt;Resumen_Sprints!$E$13,AK$4&lt;=Resumen_Sprints!$E$13+Resumen_Sprints!$D$13),INDEX('Sprint N°8'!$C$7:$M$7,AK$4-Resumen_Sprints!$E$13),0)</f>
        <v>0</v>
      </c>
      <c r="AL47" s="23">
        <f t="array" ref="AL47">IF(AND(AL$4&gt;Resumen_Sprints!$E$13,AL$4&lt;=Resumen_Sprints!$E$13+Resumen_Sprints!$D$13),INDEX('Sprint N°8'!$C$7:$M$7,AL$4-Resumen_Sprints!$E$13),0)</f>
        <v>0</v>
      </c>
      <c r="AM47" s="23">
        <f t="array" ref="AM47">IF(AND(AM$4&gt;Resumen_Sprints!$E$13,AM$4&lt;=Resumen_Sprints!$E$13+Resumen_Sprints!$D$13),INDEX('Sprint N°8'!$C$7:$M$7,AM$4-Resumen_Sprints!$E$13),0)</f>
        <v>0</v>
      </c>
      <c r="AN47" s="23">
        <f t="array" ref="AN47">IF(AND(AN$4&gt;Resumen_Sprints!$E$13,AN$4&lt;=Resumen_Sprints!$E$13+Resumen_Sprints!$D$13),INDEX('Sprint N°8'!$C$7:$M$7,AN$4-Resumen_Sprints!$E$13),0)</f>
        <v>0</v>
      </c>
      <c r="AO47" s="23">
        <f t="array" ref="AO47">IF(AND(AO$4&gt;Resumen_Sprints!$E$13,AO$4&lt;=Resumen_Sprints!$E$13+Resumen_Sprints!$D$13),INDEX('Sprint N°8'!$C$7:$M$7,AO$4-Resumen_Sprints!$E$13),0)</f>
        <v>0</v>
      </c>
      <c r="AP47" s="23">
        <f t="array" ref="AP47">IF(AND(AP$4&gt;Resumen_Sprints!$E$13,AP$4&lt;=Resumen_Sprints!$E$13+Resumen_Sprints!$D$13),INDEX('Sprint N°8'!$C$7:$M$7,AP$4-Resumen_Sprints!$E$13),0)</f>
        <v>0</v>
      </c>
      <c r="AQ47" s="23">
        <f t="array" ref="AQ47">IF(AND(AQ$4&gt;Resumen_Sprints!$E$13,AQ$4&lt;=Resumen_Sprints!$E$13+Resumen_Sprints!$D$13),INDEX('Sprint N°8'!$C$7:$M$7,AQ$4-Resumen_Sprints!$E$13),0)</f>
        <v>0</v>
      </c>
      <c r="AR47" s="23">
        <f t="array" ref="AR47">IF(AND(AR$4&gt;Resumen_Sprints!$E$13,AR$4&lt;=Resumen_Sprints!$E$13+Resumen_Sprints!$D$13),INDEX('Sprint N°8'!$C$7:$M$7,AR$4-Resumen_Sprints!$E$13),0)</f>
        <v>0</v>
      </c>
      <c r="AS47" s="23">
        <f t="array" ref="AS47">IF(AND(AS$4&gt;Resumen_Sprints!$E$13,AS$4&lt;=Resumen_Sprints!$E$13+Resumen_Sprints!$D$13),INDEX('Sprint N°8'!$C$7:$M$7,AS$4-Resumen_Sprints!$E$13),0)</f>
        <v>0</v>
      </c>
      <c r="AT47" s="23">
        <f t="array" ref="AT47">IF(AND(AT$4&gt;Resumen_Sprints!$E$13,AT$4&lt;=Resumen_Sprints!$E$13+Resumen_Sprints!$D$13),INDEX('Sprint N°8'!$C$7:$M$7,AT$4-Resumen_Sprints!$E$13),0)</f>
        <v>0</v>
      </c>
      <c r="AU47" s="23">
        <f t="array" ref="AU47">IF(AND(AU$4&gt;Resumen_Sprints!$E$13,AU$4&lt;=Resumen_Sprints!$E$13+Resumen_Sprints!$D$13),INDEX('Sprint N°8'!$C$7:$M$7,AU$4-Resumen_Sprints!$E$13),0)</f>
        <v>0</v>
      </c>
      <c r="AV47" s="23">
        <f t="array" ref="AV47">IF(AND(AV$4&gt;Resumen_Sprints!$E$13,AV$4&lt;=Resumen_Sprints!$E$13+Resumen_Sprints!$D$13),INDEX('Sprint N°8'!$C$7:$M$7,AV$4-Resumen_Sprints!$E$13),0)</f>
        <v>0</v>
      </c>
      <c r="AW47" s="23">
        <f t="array" ref="AW47">IF(AND(AW$4&gt;Resumen_Sprints!$E$13,AW$4&lt;=Resumen_Sprints!$E$13+Resumen_Sprints!$D$13),INDEX('Sprint N°8'!$C$7:$M$7,AW$4-Resumen_Sprints!$E$13),0)</f>
        <v>0</v>
      </c>
      <c r="AX47" s="23">
        <f t="array" ref="AX47">IF(AND(AX$4&gt;Resumen_Sprints!$E$13,AX$4&lt;=Resumen_Sprints!$E$13+Resumen_Sprints!$D$13),INDEX('Sprint N°8'!$C$7:$M$7,AX$4-Resumen_Sprints!$E$13),0)</f>
        <v>0</v>
      </c>
      <c r="AY47" s="23">
        <f t="array" ref="AY47">IF(AND(AY$4&gt;Resumen_Sprints!$E$13,AY$4&lt;=Resumen_Sprints!$E$13+Resumen_Sprints!$D$13),INDEX('Sprint N°8'!$C$7:$M$7,AY$4-Resumen_Sprints!$E$13),0)</f>
        <v>0</v>
      </c>
      <c r="AZ47" s="23">
        <f t="array" ref="AZ47">IF(AND(AZ$4&gt;Resumen_Sprints!$E$13,AZ$4&lt;=Resumen_Sprints!$E$13+Resumen_Sprints!$D$13),INDEX('Sprint N°8'!$C$7:$M$7,AZ$4-Resumen_Sprints!$E$13),0)</f>
        <v>0</v>
      </c>
      <c r="BA47" s="23">
        <f t="array" ref="BA47">IF(AND(BA$4&gt;Resumen_Sprints!$E$13,BA$4&lt;=Resumen_Sprints!$E$13+Resumen_Sprints!$D$13),INDEX('Sprint N°8'!$C$7:$M$7,BA$4-Resumen_Sprints!$E$13),0)</f>
        <v>0</v>
      </c>
      <c r="BB47" s="23">
        <f t="array" ref="BB47">IF(AND(BB$4&gt;Resumen_Sprints!$E$13,BB$4&lt;=Resumen_Sprints!$E$13+Resumen_Sprints!$D$13),INDEX('Sprint N°8'!$C$7:$M$7,BB$4-Resumen_Sprints!$E$13),0)</f>
        <v>0</v>
      </c>
      <c r="BC47" s="23">
        <f t="array" ref="BC47">IF(AND(BC$4&gt;Resumen_Sprints!$E$13,BC$4&lt;=Resumen_Sprints!$E$13+Resumen_Sprints!$D$13),INDEX('Sprint N°8'!$C$7:$M$7,BC$4-Resumen_Sprints!$E$13),0)</f>
        <v>0</v>
      </c>
      <c r="BD47" s="23">
        <f t="array" ref="BD47">IF(AND(BD$4&gt;Resumen_Sprints!$E$13,BD$4&lt;=Resumen_Sprints!$E$13+Resumen_Sprints!$D$13),INDEX('Sprint N°8'!$C$7:$M$7,BD$4-Resumen_Sprints!$E$13),0)</f>
        <v>0</v>
      </c>
      <c r="BE47" s="23">
        <f t="array" ref="BE47">IF(AND(BE$4&gt;Resumen_Sprints!$E$13,BE$4&lt;=Resumen_Sprints!$E$13+Resumen_Sprints!$D$13),INDEX('Sprint N°8'!$C$7:$M$7,BE$4-Resumen_Sprints!$E$13),0)</f>
        <v>0</v>
      </c>
      <c r="BF47" s="23">
        <f t="array" ref="BF47">IF(AND(BF$4&gt;Resumen_Sprints!$E$13,BF$4&lt;=Resumen_Sprints!$E$13+Resumen_Sprints!$D$13),INDEX('Sprint N°8'!$C$7:$M$7,BF$4-Resumen_Sprints!$E$13),0)</f>
        <v>0</v>
      </c>
      <c r="BG47" s="23">
        <f t="array" ref="BG47">IF(AND(BG$4&gt;Resumen_Sprints!$E$13,BG$4&lt;=Resumen_Sprints!$E$13+Resumen_Sprints!$D$13),INDEX('Sprint N°8'!$C$7:$M$7,BG$4-Resumen_Sprints!$E$13),0)</f>
        <v>0</v>
      </c>
      <c r="BH47" s="23">
        <f t="array" ref="BH47">IF(AND(BH$4&gt;Resumen_Sprints!$E$13,BH$4&lt;=Resumen_Sprints!$E$13+Resumen_Sprints!$D$13),INDEX('Sprint N°8'!$C$7:$M$7,BH$4-Resumen_Sprints!$E$13),0)</f>
        <v>0</v>
      </c>
      <c r="BI47" s="23">
        <f t="array" ref="BI47">IF(AND(BI$4&gt;Resumen_Sprints!$E$13,BI$4&lt;=Resumen_Sprints!$E$13+Resumen_Sprints!$D$13),INDEX('Sprint N°8'!$C$7:$M$7,BI$4-Resumen_Sprints!$E$13),0)</f>
        <v>0</v>
      </c>
      <c r="BJ47" s="23">
        <f t="array" ref="BJ47">IF(AND(BJ$4&gt;Resumen_Sprints!$E$13,BJ$4&lt;=Resumen_Sprints!$E$13+Resumen_Sprints!$D$13),INDEX('Sprint N°8'!$C$7:$M$7,BJ$4-Resumen_Sprints!$E$13),0)</f>
        <v>0</v>
      </c>
      <c r="BK47" s="23">
        <f t="array" ref="BK47">IF(AND(BK$4&gt;Resumen_Sprints!$E$13,BK$4&lt;=Resumen_Sprints!$E$13+Resumen_Sprints!$D$13),INDEX('Sprint N°8'!$C$7:$M$7,BK$4-Resumen_Sprints!$E$13),0)</f>
        <v>0</v>
      </c>
      <c r="BL47" s="23">
        <f t="array" ref="BL47">IF(AND(BL$4&gt;Resumen_Sprints!$E$13,BL$4&lt;=Resumen_Sprints!$E$13+Resumen_Sprints!$D$13),INDEX('Sprint N°8'!$C$7:$M$7,BL$4-Resumen_Sprints!$E$13),0)</f>
        <v>0</v>
      </c>
      <c r="BM47" s="23">
        <f t="array" ref="BM47">IF(AND(BM$4&gt;Resumen_Sprints!$E$13,BM$4&lt;=Resumen_Sprints!$E$13+Resumen_Sprints!$D$13),INDEX('Sprint N°8'!$C$7:$M$7,BM$4-Resumen_Sprints!$E$13),0)</f>
        <v>0</v>
      </c>
      <c r="BN47" s="23">
        <f t="array" ref="BN47">IF(AND(BN$4&gt;Resumen_Sprints!$E$13,BN$4&lt;=Resumen_Sprints!$E$13+Resumen_Sprints!$D$13),INDEX('Sprint N°8'!$C$7:$M$7,BN$4-Resumen_Sprints!$E$13),0)</f>
        <v>0</v>
      </c>
      <c r="BO47" s="23">
        <f t="array" ref="BO47">IF(AND(BO$4&gt;Resumen_Sprints!$E$13,BO$4&lt;=Resumen_Sprints!$E$13+Resumen_Sprints!$D$13),INDEX('Sprint N°8'!$C$7:$M$7,BO$4-Resumen_Sprints!$E$13),0)</f>
        <v>0</v>
      </c>
      <c r="BP47" s="23">
        <f t="array" ref="BP47">IF(AND(BP$4&gt;Resumen_Sprints!$E$13,BP$4&lt;=Resumen_Sprints!$E$13+Resumen_Sprints!$D$13),INDEX('Sprint N°8'!$C$7:$M$7,BP$4-Resumen_Sprints!$E$13),0)</f>
        <v>0</v>
      </c>
      <c r="BQ47" s="23">
        <f t="array" ref="BQ47">IF(AND(BQ$4&gt;Resumen_Sprints!$E$13,BQ$4&lt;=Resumen_Sprints!$E$13+Resumen_Sprints!$D$13),INDEX('Sprint N°8'!$C$7:$M$7,BQ$4-Resumen_Sprints!$E$13),0)</f>
        <v>0</v>
      </c>
      <c r="BR47" s="23">
        <f t="array" ref="BR47">IF(AND(BR$4&gt;Resumen_Sprints!$E$13,BR$4&lt;=Resumen_Sprints!$E$13+Resumen_Sprints!$D$13),INDEX('Sprint N°8'!$C$7:$M$7,BR$4-Resumen_Sprints!$E$13),0)</f>
        <v>0</v>
      </c>
      <c r="BS47" s="23">
        <f t="array" ref="BS47">IF(AND(BS$4&gt;Resumen_Sprints!$E$13,BS$4&lt;=Resumen_Sprints!$E$13+Resumen_Sprints!$D$13),INDEX('Sprint N°8'!$C$7:$M$7,BS$4-Resumen_Sprints!$E$13),0)</f>
        <v>0</v>
      </c>
      <c r="BT47" s="23">
        <f t="array" ref="BT47">IF(AND(BT$4&gt;Resumen_Sprints!$E$13,BT$4&lt;=Resumen_Sprints!$E$13+Resumen_Sprints!$D$13),INDEX('Sprint N°8'!$C$7:$M$7,BT$4-Resumen_Sprints!$E$13),0)</f>
        <v>0</v>
      </c>
      <c r="BU47" s="23">
        <f t="array" ref="BU47">IF(AND(BU$4&gt;Resumen_Sprints!$E$13,BU$4&lt;=Resumen_Sprints!$E$13+Resumen_Sprints!$D$13),INDEX('Sprint N°8'!$C$7:$M$7,BU$4-Resumen_Sprints!$E$13),0)</f>
        <v>0</v>
      </c>
      <c r="BV47" s="23">
        <f t="array" ref="BV47">IF(AND(BV$4&gt;Resumen_Sprints!$E$13,BV$4&lt;=Resumen_Sprints!$E$13+Resumen_Sprints!$D$13),INDEX('Sprint N°8'!$C$7:$M$7,BV$4-Resumen_Sprints!$E$13),0)</f>
        <v>0</v>
      </c>
      <c r="BW47" s="23">
        <f t="array" ref="BW47">IF(AND(BW$4&gt;Resumen_Sprints!$E$13,BW$4&lt;=Resumen_Sprints!$E$13+Resumen_Sprints!$D$13),INDEX('Sprint N°8'!$C$7:$M$7,BW$4-Resumen_Sprints!$E$13),0)</f>
        <v>0</v>
      </c>
      <c r="BX47" s="23">
        <f t="array" ref="BX47">IF(AND(BX$4&gt;Resumen_Sprints!$E$13,BX$4&lt;=Resumen_Sprints!$E$13+Resumen_Sprints!$D$13),INDEX('Sprint N°8'!$C$7:$M$7,BX$4-Resumen_Sprints!$E$13),0)</f>
        <v>0</v>
      </c>
      <c r="BY47" s="23">
        <f t="array" ref="BY47">IF(AND(BY$4&gt;Resumen_Sprints!$E$13,BY$4&lt;=Resumen_Sprints!$E$13+Resumen_Sprints!$D$13),INDEX('Sprint N°8'!$C$7:$M$7,BY$4-Resumen_Sprints!$E$13),0)</f>
        <v>0</v>
      </c>
      <c r="BZ47" s="23">
        <f t="array" ref="BZ47">IF(AND(BZ$4&gt;Resumen_Sprints!$E$13,BZ$4&lt;=Resumen_Sprints!$E$13+Resumen_Sprints!$D$13),INDEX('Sprint N°8'!$C$7:$M$7,BZ$4-Resumen_Sprints!$E$13),0)</f>
        <v>0</v>
      </c>
      <c r="CA47" s="23">
        <f t="array" ref="CA47">IF(AND(CA$4&gt;Resumen_Sprints!$E$13,CA$4&lt;=Resumen_Sprints!$E$13+Resumen_Sprints!$D$13),INDEX('Sprint N°8'!$C$7:$M$7,CA$4-Resumen_Sprints!$E$13),0)</f>
        <v>0</v>
      </c>
      <c r="CB47" s="23">
        <f t="array" ref="CB47">IF(AND(CB$4&gt;Resumen_Sprints!$E$13,CB$4&lt;=Resumen_Sprints!$E$13+Resumen_Sprints!$D$13),INDEX('Sprint N°8'!$C$7:$M$7,CB$4-Resumen_Sprints!$E$13),0)</f>
        <v>0</v>
      </c>
      <c r="CC47" s="23">
        <f t="array" ref="CC47">IF(AND(CC$4&gt;Resumen_Sprints!$E$13,CC$4&lt;=Resumen_Sprints!$E$13+Resumen_Sprints!$D$13),INDEX('Sprint N°8'!$C$7:$M$7,CC$4-Resumen_Sprints!$E$13),0)</f>
        <v>0</v>
      </c>
      <c r="CD47" s="23">
        <f t="array" ref="CD47">IF(AND(CD$4&gt;Resumen_Sprints!$E$13,CD$4&lt;=Resumen_Sprints!$E$13+Resumen_Sprints!$D$13),INDEX('Sprint N°8'!$C$7:$M$7,CD$4-Resumen_Sprints!$E$13),0)</f>
        <v>0</v>
      </c>
      <c r="CE47" s="23">
        <f t="array" ref="CE47">IF(AND(CE$4&gt;Resumen_Sprints!$E$13,CE$4&lt;=Resumen_Sprints!$E$13+Resumen_Sprints!$D$13),INDEX('Sprint N°8'!$C$7:$M$7,CE$4-Resumen_Sprints!$E$13),0)</f>
        <v>0</v>
      </c>
      <c r="CF47" s="23">
        <f t="array" ref="CF47">IF(AND(CF$4&gt;Resumen_Sprints!$E$13,CF$4&lt;=Resumen_Sprints!$E$13+Resumen_Sprints!$D$13),INDEX('Sprint N°8'!$C$7:$M$7,CF$4-Resumen_Sprints!$E$13),0)</f>
        <v>0</v>
      </c>
      <c r="CG47" s="23">
        <f t="array" ref="CG47">IF(AND(CG$4&gt;Resumen_Sprints!$E$13,CG$4&lt;=Resumen_Sprints!$E$13+Resumen_Sprints!$D$13),INDEX('Sprint N°8'!$C$7:$M$7,CG$4-Resumen_Sprints!$E$13),0)</f>
        <v>0</v>
      </c>
      <c r="CH47" s="23" t="str">
        <f t="array" ref="CH47">IF(AND(CH$4&gt;Resumen_Sprints!$E$13,CH$4&lt;=Resumen_Sprints!$E$13+Resumen_Sprints!$D$13),INDEX('Sprint N°8'!$C$7:$M$7,CH$4-Resumen_Sprints!$E$13),0)</f>
        <v/>
      </c>
      <c r="CI47" s="23" t="str">
        <f t="array" ref="CI47">IF(AND(CI$4&gt;Resumen_Sprints!$E$13,CI$4&lt;=Resumen_Sprints!$E$13+Resumen_Sprints!$D$13),INDEX('Sprint N°8'!$C$7:$M$7,CI$4-Resumen_Sprints!$E$13),0)</f>
        <v/>
      </c>
      <c r="CJ47" s="23">
        <f t="array" ref="CJ47">IF(AND(CJ$4&gt;Resumen_Sprints!$E$13,CJ$4&lt;=Resumen_Sprints!$E$13+Resumen_Sprints!$D$13),INDEX('Sprint N°8'!$C$7:$M$7,CJ$4-Resumen_Sprints!$E$13),0)</f>
        <v>6</v>
      </c>
      <c r="CK47" s="23">
        <f t="array" ref="CK47">IF(AND(CK$4&gt;Resumen_Sprints!$E$13,CK$4&lt;=Resumen_Sprints!$E$13+Resumen_Sprints!$D$13),INDEX('Sprint N°8'!$C$7:$M$7,CK$4-Resumen_Sprints!$E$13),0)</f>
        <v>7</v>
      </c>
      <c r="CL47" s="23">
        <f t="array" ref="CL47">IF(AND(CL$4&gt;Resumen_Sprints!$E$13,CL$4&lt;=Resumen_Sprints!$E$13+Resumen_Sprints!$D$13),INDEX('Sprint N°8'!$C$7:$M$7,CL$4-Resumen_Sprints!$E$13),0)</f>
        <v>5</v>
      </c>
      <c r="CM47" s="23" t="str">
        <f t="array" ref="CM47">IF(AND(CM$4&gt;Resumen_Sprints!$E$13,CM$4&lt;=Resumen_Sprints!$E$13+Resumen_Sprints!$D$13),INDEX('Sprint N°8'!$C$7:$M$7,CM$4-Resumen_Sprints!$E$13),0)</f>
        <v/>
      </c>
      <c r="CN47" s="23" t="str">
        <f t="array" ref="CN47">IF(AND(CN$4&gt;Resumen_Sprints!$E$13,CN$4&lt;=Resumen_Sprints!$E$13+Resumen_Sprints!$D$13),INDEX('Sprint N°8'!$C$7:$M$7,CN$4-Resumen_Sprints!$E$13),0)</f>
        <v/>
      </c>
      <c r="CO47" s="23" t="str">
        <f t="array" ref="CO47">IF(AND(CO$4&gt;Resumen_Sprints!$E$13,CO$4&lt;=Resumen_Sprints!$E$13+Resumen_Sprints!$D$13),INDEX('Sprint N°8'!$C$7:$M$7,CO$4-Resumen_Sprints!$E$13),0)</f>
        <v/>
      </c>
      <c r="CP47" s="23" t="str">
        <f t="array" ref="CP47">IF(AND(CP$4&gt;Resumen_Sprints!$E$13,CP$4&lt;=Resumen_Sprints!$E$13+Resumen_Sprints!$D$13),INDEX('Sprint N°8'!$C$7:$M$7,CP$4-Resumen_Sprints!$E$13),0)</f>
        <v/>
      </c>
      <c r="CQ47" s="23" t="str">
        <f t="array" ref="CQ47">IF(AND(CQ$4&gt;Resumen_Sprints!$E$13,CQ$4&lt;=Resumen_Sprints!$E$13+Resumen_Sprints!$D$13),INDEX('Sprint N°8'!$C$7:$M$7,CQ$4-Resumen_Sprints!$E$13),0)</f>
        <v/>
      </c>
      <c r="CR47" s="23" t="str">
        <f t="array" ref="CR47">IF(AND(CR$4&gt;Resumen_Sprints!$E$13,CR$4&lt;=Resumen_Sprints!$E$13+Resumen_Sprints!$D$13),INDEX('Sprint N°8'!$C$7:$M$7,CR$4-Resumen_Sprints!$E$13),0)</f>
        <v/>
      </c>
      <c r="CS47" s="23">
        <f t="array" ref="CS47">IF(AND(CS$4&gt;Resumen_Sprints!$E$13,CS$4&lt;=Resumen_Sprints!$E$13+Resumen_Sprints!$D$13),INDEX('Sprint N°8'!$C$7:$M$7,CS$4-Resumen_Sprints!$E$13),0)</f>
        <v>0</v>
      </c>
      <c r="CT47" s="23">
        <f t="array" ref="CT47">IF(AND(CT$4&gt;Resumen_Sprints!$E$13,CT$4&lt;=Resumen_Sprints!$E$13+Resumen_Sprints!$D$13),INDEX('Sprint N°8'!$C$7:$M$7,CT$4-Resumen_Sprints!$E$13),0)</f>
        <v>0</v>
      </c>
      <c r="CU47" s="25">
        <f t="shared" si="8"/>
        <v>18</v>
      </c>
    </row>
    <row r="48" ht="14.25" customHeight="1">
      <c r="A48" s="11" t="str">
        <f>'Sprint N°8'!A8</f>
        <v>Marcha Blanca</v>
      </c>
      <c r="B48" s="11">
        <f>'Sprint N°8'!B8</f>
        <v>29</v>
      </c>
      <c r="C48" s="23">
        <f t="array" ref="C48">IF(AND(C$4&gt;Resumen_Sprints!$E$13,C$4&lt;=Resumen_Sprints!$E$13+Resumen_Sprints!$D$13),INDEX('Sprint N°8'!$C$8:$M$8,C$4-Resumen_Sprints!$E$13),0)</f>
        <v>0</v>
      </c>
      <c r="D48" s="23">
        <f t="array" ref="D48">IF(AND(D$4&gt;Resumen_Sprints!$E$13,D$4&lt;=Resumen_Sprints!$E$13+Resumen_Sprints!$D$13),INDEX('Sprint N°8'!$C$8:$M$8,D$4-Resumen_Sprints!$E$13),0)</f>
        <v>0</v>
      </c>
      <c r="E48" s="23">
        <f t="array" ref="E48">IF(AND(E$4&gt;Resumen_Sprints!$E$13,E$4&lt;=Resumen_Sprints!$E$13+Resumen_Sprints!$D$13),INDEX('Sprint N°8'!$C$8:$M$8,E$4-Resumen_Sprints!$E$13),0)</f>
        <v>0</v>
      </c>
      <c r="F48" s="23">
        <f t="array" ref="F48">IF(AND(F$4&gt;Resumen_Sprints!$E$13,F$4&lt;=Resumen_Sprints!$E$13+Resumen_Sprints!$D$13),INDEX('Sprint N°8'!$C$8:$M$8,F$4-Resumen_Sprints!$E$13),0)</f>
        <v>0</v>
      </c>
      <c r="G48" s="23">
        <f t="array" ref="G48">IF(AND(G$4&gt;Resumen_Sprints!$E$13,G$4&lt;=Resumen_Sprints!$E$13+Resumen_Sprints!$D$13),INDEX('Sprint N°8'!$C$8:$M$8,G$4-Resumen_Sprints!$E$13),0)</f>
        <v>0</v>
      </c>
      <c r="H48" s="23">
        <f t="array" ref="H48">IF(AND(H$4&gt;Resumen_Sprints!$E$13,H$4&lt;=Resumen_Sprints!$E$13+Resumen_Sprints!$D$13),INDEX('Sprint N°8'!$C$8:$M$8,H$4-Resumen_Sprints!$E$13),0)</f>
        <v>0</v>
      </c>
      <c r="I48" s="23">
        <f t="array" ref="I48">IF(AND(I$4&gt;Resumen_Sprints!$E$13,I$4&lt;=Resumen_Sprints!$E$13+Resumen_Sprints!$D$13),INDEX('Sprint N°8'!$C$8:$M$8,I$4-Resumen_Sprints!$E$13),0)</f>
        <v>0</v>
      </c>
      <c r="J48" s="23">
        <f t="array" ref="J48">IF(AND(J$4&gt;Resumen_Sprints!$E$13,J$4&lt;=Resumen_Sprints!$E$13+Resumen_Sprints!$D$13),INDEX('Sprint N°8'!$C$8:$M$8,J$4-Resumen_Sprints!$E$13),0)</f>
        <v>0</v>
      </c>
      <c r="K48" s="23">
        <f t="array" ref="K48">IF(AND(K$4&gt;Resumen_Sprints!$E$13,K$4&lt;=Resumen_Sprints!$E$13+Resumen_Sprints!$D$13),INDEX('Sprint N°8'!$C$8:$M$8,K$4-Resumen_Sprints!$E$13),0)</f>
        <v>0</v>
      </c>
      <c r="L48" s="23">
        <f t="array" ref="L48">IF(AND(L$4&gt;Resumen_Sprints!$E$13,L$4&lt;=Resumen_Sprints!$E$13+Resumen_Sprints!$D$13),INDEX('Sprint N°8'!$C$8:$M$8,L$4-Resumen_Sprints!$E$13),0)</f>
        <v>0</v>
      </c>
      <c r="M48" s="23">
        <f t="array" ref="M48">IF(AND(M$4&gt;Resumen_Sprints!$E$13,M$4&lt;=Resumen_Sprints!$E$13+Resumen_Sprints!$D$13),INDEX('Sprint N°8'!$C$8:$M$8,M$4-Resumen_Sprints!$E$13),0)</f>
        <v>0</v>
      </c>
      <c r="N48" s="23">
        <f t="array" ref="N48">IF(AND(N$4&gt;Resumen_Sprints!$E$13,N$4&lt;=Resumen_Sprints!$E$13+Resumen_Sprints!$D$13),INDEX('Sprint N°8'!$C$8:$M$8,N$4-Resumen_Sprints!$E$13),0)</f>
        <v>0</v>
      </c>
      <c r="O48" s="23">
        <f t="array" ref="O48">IF(AND(O$4&gt;Resumen_Sprints!$E$13,O$4&lt;=Resumen_Sprints!$E$13+Resumen_Sprints!$D$13),INDEX('Sprint N°8'!$C$8:$M$8,O$4-Resumen_Sprints!$E$13),0)</f>
        <v>0</v>
      </c>
      <c r="P48" s="23">
        <f t="array" ref="P48">IF(AND(P$4&gt;Resumen_Sprints!$E$13,P$4&lt;=Resumen_Sprints!$E$13+Resumen_Sprints!$D$13),INDEX('Sprint N°8'!$C$8:$M$8,P$4-Resumen_Sprints!$E$13),0)</f>
        <v>0</v>
      </c>
      <c r="Q48" s="23">
        <f t="array" ref="Q48">IF(AND(Q$4&gt;Resumen_Sprints!$E$13,Q$4&lt;=Resumen_Sprints!$E$13+Resumen_Sprints!$D$13),INDEX('Sprint N°8'!$C$8:$M$8,Q$4-Resumen_Sprints!$E$13),0)</f>
        <v>0</v>
      </c>
      <c r="R48" s="23">
        <f t="array" ref="R48">IF(AND(R$4&gt;Resumen_Sprints!$E$13,R$4&lt;=Resumen_Sprints!$E$13+Resumen_Sprints!$D$13),INDEX('Sprint N°8'!$C$8:$M$8,R$4-Resumen_Sprints!$E$13),0)</f>
        <v>0</v>
      </c>
      <c r="S48" s="23">
        <f t="array" ref="S48">IF(AND(S$4&gt;Resumen_Sprints!$E$13,S$4&lt;=Resumen_Sprints!$E$13+Resumen_Sprints!$D$13),INDEX('Sprint N°8'!$C$8:$M$8,S$4-Resumen_Sprints!$E$13),0)</f>
        <v>0</v>
      </c>
      <c r="T48" s="23">
        <f t="array" ref="T48">IF(AND(T$4&gt;Resumen_Sprints!$E$13,T$4&lt;=Resumen_Sprints!$E$13+Resumen_Sprints!$D$13),INDEX('Sprint N°8'!$C$8:$M$8,T$4-Resumen_Sprints!$E$13),0)</f>
        <v>0</v>
      </c>
      <c r="U48" s="23">
        <f t="array" ref="U48">IF(AND(U$4&gt;Resumen_Sprints!$E$13,U$4&lt;=Resumen_Sprints!$E$13+Resumen_Sprints!$D$13),INDEX('Sprint N°8'!$C$8:$M$8,U$4-Resumen_Sprints!$E$13),0)</f>
        <v>0</v>
      </c>
      <c r="V48" s="23">
        <f t="array" ref="V48">IF(AND(V$4&gt;Resumen_Sprints!$E$13,V$4&lt;=Resumen_Sprints!$E$13+Resumen_Sprints!$D$13),INDEX('Sprint N°8'!$C$8:$M$8,V$4-Resumen_Sprints!$E$13),0)</f>
        <v>0</v>
      </c>
      <c r="W48" s="23">
        <f t="array" ref="W48">IF(AND(W$4&gt;Resumen_Sprints!$E$13,W$4&lt;=Resumen_Sprints!$E$13+Resumen_Sprints!$D$13),INDEX('Sprint N°8'!$C$8:$M$8,W$4-Resumen_Sprints!$E$13),0)</f>
        <v>0</v>
      </c>
      <c r="X48" s="23">
        <f t="array" ref="X48">IF(AND(X$4&gt;Resumen_Sprints!$E$13,X$4&lt;=Resumen_Sprints!$E$13+Resumen_Sprints!$D$13),INDEX('Sprint N°8'!$C$8:$M$8,X$4-Resumen_Sprints!$E$13),0)</f>
        <v>0</v>
      </c>
      <c r="Y48" s="23">
        <f t="array" ref="Y48">IF(AND(Y$4&gt;Resumen_Sprints!$E$13,Y$4&lt;=Resumen_Sprints!$E$13+Resumen_Sprints!$D$13),INDEX('Sprint N°8'!$C$8:$M$8,Y$4-Resumen_Sprints!$E$13),0)</f>
        <v>0</v>
      </c>
      <c r="Z48" s="23">
        <f t="array" ref="Z48">IF(AND(Z$4&gt;Resumen_Sprints!$E$13,Z$4&lt;=Resumen_Sprints!$E$13+Resumen_Sprints!$D$13),INDEX('Sprint N°8'!$C$8:$M$8,Z$4-Resumen_Sprints!$E$13),0)</f>
        <v>0</v>
      </c>
      <c r="AA48" s="23">
        <f t="array" ref="AA48">IF(AND(AA$4&gt;Resumen_Sprints!$E$13,AA$4&lt;=Resumen_Sprints!$E$13+Resumen_Sprints!$D$13),INDEX('Sprint N°8'!$C$8:$M$8,AA$4-Resumen_Sprints!$E$13),0)</f>
        <v>0</v>
      </c>
      <c r="AB48" s="23">
        <f t="array" ref="AB48">IF(AND(AB$4&gt;Resumen_Sprints!$E$13,AB$4&lt;=Resumen_Sprints!$E$13+Resumen_Sprints!$D$13),INDEX('Sprint N°8'!$C$8:$M$8,AB$4-Resumen_Sprints!$E$13),0)</f>
        <v>0</v>
      </c>
      <c r="AC48" s="23">
        <f t="array" ref="AC48">IF(AND(AC$4&gt;Resumen_Sprints!$E$13,AC$4&lt;=Resumen_Sprints!$E$13+Resumen_Sprints!$D$13),INDEX('Sprint N°8'!$C$8:$M$8,AC$4-Resumen_Sprints!$E$13),0)</f>
        <v>0</v>
      </c>
      <c r="AD48" s="23">
        <f t="array" ref="AD48">IF(AND(AD$4&gt;Resumen_Sprints!$E$13,AD$4&lt;=Resumen_Sprints!$E$13+Resumen_Sprints!$D$13),INDEX('Sprint N°8'!$C$8:$M$8,AD$4-Resumen_Sprints!$E$13),0)</f>
        <v>0</v>
      </c>
      <c r="AE48" s="23">
        <f t="array" ref="AE48">IF(AND(AE$4&gt;Resumen_Sprints!$E$13,AE$4&lt;=Resumen_Sprints!$E$13+Resumen_Sprints!$D$13),INDEX('Sprint N°8'!$C$8:$M$8,AE$4-Resumen_Sprints!$E$13),0)</f>
        <v>0</v>
      </c>
      <c r="AF48" s="23">
        <f t="array" ref="AF48">IF(AND(AF$4&gt;Resumen_Sprints!$E$13,AF$4&lt;=Resumen_Sprints!$E$13+Resumen_Sprints!$D$13),INDEX('Sprint N°8'!$C$8:$M$8,AF$4-Resumen_Sprints!$E$13),0)</f>
        <v>0</v>
      </c>
      <c r="AG48" s="23">
        <f t="array" ref="AG48">IF(AND(AG$4&gt;Resumen_Sprints!$E$13,AG$4&lt;=Resumen_Sprints!$E$13+Resumen_Sprints!$D$13),INDEX('Sprint N°8'!$C$8:$M$8,AG$4-Resumen_Sprints!$E$13),0)</f>
        <v>0</v>
      </c>
      <c r="AH48" s="23">
        <f t="array" ref="AH48">IF(AND(AH$4&gt;Resumen_Sprints!$E$13,AH$4&lt;=Resumen_Sprints!$E$13+Resumen_Sprints!$D$13),INDEX('Sprint N°8'!$C$8:$M$8,AH$4-Resumen_Sprints!$E$13),0)</f>
        <v>0</v>
      </c>
      <c r="AI48" s="23">
        <f t="array" ref="AI48">IF(AND(AI$4&gt;Resumen_Sprints!$E$13,AI$4&lt;=Resumen_Sprints!$E$13+Resumen_Sprints!$D$13),INDEX('Sprint N°8'!$C$8:$M$8,AI$4-Resumen_Sprints!$E$13),0)</f>
        <v>0</v>
      </c>
      <c r="AJ48" s="23">
        <f t="array" ref="AJ48">IF(AND(AJ$4&gt;Resumen_Sprints!$E$13,AJ$4&lt;=Resumen_Sprints!$E$13+Resumen_Sprints!$D$13),INDEX('Sprint N°8'!$C$8:$M$8,AJ$4-Resumen_Sprints!$E$13),0)</f>
        <v>0</v>
      </c>
      <c r="AK48" s="23">
        <f t="array" ref="AK48">IF(AND(AK$4&gt;Resumen_Sprints!$E$13,AK$4&lt;=Resumen_Sprints!$E$13+Resumen_Sprints!$D$13),INDEX('Sprint N°8'!$C$8:$M$8,AK$4-Resumen_Sprints!$E$13),0)</f>
        <v>0</v>
      </c>
      <c r="AL48" s="23">
        <f t="array" ref="AL48">IF(AND(AL$4&gt;Resumen_Sprints!$E$13,AL$4&lt;=Resumen_Sprints!$E$13+Resumen_Sprints!$D$13),INDEX('Sprint N°8'!$C$8:$M$8,AL$4-Resumen_Sprints!$E$13),0)</f>
        <v>0</v>
      </c>
      <c r="AM48" s="23">
        <f t="array" ref="AM48">IF(AND(AM$4&gt;Resumen_Sprints!$E$13,AM$4&lt;=Resumen_Sprints!$E$13+Resumen_Sprints!$D$13),INDEX('Sprint N°8'!$C$8:$M$8,AM$4-Resumen_Sprints!$E$13),0)</f>
        <v>0</v>
      </c>
      <c r="AN48" s="23">
        <f t="array" ref="AN48">IF(AND(AN$4&gt;Resumen_Sprints!$E$13,AN$4&lt;=Resumen_Sprints!$E$13+Resumen_Sprints!$D$13),INDEX('Sprint N°8'!$C$8:$M$8,AN$4-Resumen_Sprints!$E$13),0)</f>
        <v>0</v>
      </c>
      <c r="AO48" s="23">
        <f t="array" ref="AO48">IF(AND(AO$4&gt;Resumen_Sprints!$E$13,AO$4&lt;=Resumen_Sprints!$E$13+Resumen_Sprints!$D$13),INDEX('Sprint N°8'!$C$8:$M$8,AO$4-Resumen_Sprints!$E$13),0)</f>
        <v>0</v>
      </c>
      <c r="AP48" s="23">
        <f t="array" ref="AP48">IF(AND(AP$4&gt;Resumen_Sprints!$E$13,AP$4&lt;=Resumen_Sprints!$E$13+Resumen_Sprints!$D$13),INDEX('Sprint N°8'!$C$8:$M$8,AP$4-Resumen_Sprints!$E$13),0)</f>
        <v>0</v>
      </c>
      <c r="AQ48" s="23">
        <f t="array" ref="AQ48">IF(AND(AQ$4&gt;Resumen_Sprints!$E$13,AQ$4&lt;=Resumen_Sprints!$E$13+Resumen_Sprints!$D$13),INDEX('Sprint N°8'!$C$8:$M$8,AQ$4-Resumen_Sprints!$E$13),0)</f>
        <v>0</v>
      </c>
      <c r="AR48" s="23">
        <f t="array" ref="AR48">IF(AND(AR$4&gt;Resumen_Sprints!$E$13,AR$4&lt;=Resumen_Sprints!$E$13+Resumen_Sprints!$D$13),INDEX('Sprint N°8'!$C$8:$M$8,AR$4-Resumen_Sprints!$E$13),0)</f>
        <v>0</v>
      </c>
      <c r="AS48" s="23">
        <f t="array" ref="AS48">IF(AND(AS$4&gt;Resumen_Sprints!$E$13,AS$4&lt;=Resumen_Sprints!$E$13+Resumen_Sprints!$D$13),INDEX('Sprint N°8'!$C$8:$M$8,AS$4-Resumen_Sprints!$E$13),0)</f>
        <v>0</v>
      </c>
      <c r="AT48" s="23">
        <f t="array" ref="AT48">IF(AND(AT$4&gt;Resumen_Sprints!$E$13,AT$4&lt;=Resumen_Sprints!$E$13+Resumen_Sprints!$D$13),INDEX('Sprint N°8'!$C$8:$M$8,AT$4-Resumen_Sprints!$E$13),0)</f>
        <v>0</v>
      </c>
      <c r="AU48" s="23">
        <f t="array" ref="AU48">IF(AND(AU$4&gt;Resumen_Sprints!$E$13,AU$4&lt;=Resumen_Sprints!$E$13+Resumen_Sprints!$D$13),INDEX('Sprint N°8'!$C$8:$M$8,AU$4-Resumen_Sprints!$E$13),0)</f>
        <v>0</v>
      </c>
      <c r="AV48" s="23">
        <f t="array" ref="AV48">IF(AND(AV$4&gt;Resumen_Sprints!$E$13,AV$4&lt;=Resumen_Sprints!$E$13+Resumen_Sprints!$D$13),INDEX('Sprint N°8'!$C$8:$M$8,AV$4-Resumen_Sprints!$E$13),0)</f>
        <v>0</v>
      </c>
      <c r="AW48" s="23">
        <f t="array" ref="AW48">IF(AND(AW$4&gt;Resumen_Sprints!$E$13,AW$4&lt;=Resumen_Sprints!$E$13+Resumen_Sprints!$D$13),INDEX('Sprint N°8'!$C$8:$M$8,AW$4-Resumen_Sprints!$E$13),0)</f>
        <v>0</v>
      </c>
      <c r="AX48" s="23">
        <f t="array" ref="AX48">IF(AND(AX$4&gt;Resumen_Sprints!$E$13,AX$4&lt;=Resumen_Sprints!$E$13+Resumen_Sprints!$D$13),INDEX('Sprint N°8'!$C$8:$M$8,AX$4-Resumen_Sprints!$E$13),0)</f>
        <v>0</v>
      </c>
      <c r="AY48" s="23">
        <f t="array" ref="AY48">IF(AND(AY$4&gt;Resumen_Sprints!$E$13,AY$4&lt;=Resumen_Sprints!$E$13+Resumen_Sprints!$D$13),INDEX('Sprint N°8'!$C$8:$M$8,AY$4-Resumen_Sprints!$E$13),0)</f>
        <v>0</v>
      </c>
      <c r="AZ48" s="23">
        <f t="array" ref="AZ48">IF(AND(AZ$4&gt;Resumen_Sprints!$E$13,AZ$4&lt;=Resumen_Sprints!$E$13+Resumen_Sprints!$D$13),INDEX('Sprint N°8'!$C$8:$M$8,AZ$4-Resumen_Sprints!$E$13),0)</f>
        <v>0</v>
      </c>
      <c r="BA48" s="23">
        <f t="array" ref="BA48">IF(AND(BA$4&gt;Resumen_Sprints!$E$13,BA$4&lt;=Resumen_Sprints!$E$13+Resumen_Sprints!$D$13),INDEX('Sprint N°8'!$C$8:$M$8,BA$4-Resumen_Sprints!$E$13),0)</f>
        <v>0</v>
      </c>
      <c r="BB48" s="23">
        <f t="array" ref="BB48">IF(AND(BB$4&gt;Resumen_Sprints!$E$13,BB$4&lt;=Resumen_Sprints!$E$13+Resumen_Sprints!$D$13),INDEX('Sprint N°8'!$C$8:$M$8,BB$4-Resumen_Sprints!$E$13),0)</f>
        <v>0</v>
      </c>
      <c r="BC48" s="23">
        <f t="array" ref="BC48">IF(AND(BC$4&gt;Resumen_Sprints!$E$13,BC$4&lt;=Resumen_Sprints!$E$13+Resumen_Sprints!$D$13),INDEX('Sprint N°8'!$C$8:$M$8,BC$4-Resumen_Sprints!$E$13),0)</f>
        <v>0</v>
      </c>
      <c r="BD48" s="23">
        <f t="array" ref="BD48">IF(AND(BD$4&gt;Resumen_Sprints!$E$13,BD$4&lt;=Resumen_Sprints!$E$13+Resumen_Sprints!$D$13),INDEX('Sprint N°8'!$C$8:$M$8,BD$4-Resumen_Sprints!$E$13),0)</f>
        <v>0</v>
      </c>
      <c r="BE48" s="23">
        <f t="array" ref="BE48">IF(AND(BE$4&gt;Resumen_Sprints!$E$13,BE$4&lt;=Resumen_Sprints!$E$13+Resumen_Sprints!$D$13),INDEX('Sprint N°8'!$C$8:$M$8,BE$4-Resumen_Sprints!$E$13),0)</f>
        <v>0</v>
      </c>
      <c r="BF48" s="23">
        <f t="array" ref="BF48">IF(AND(BF$4&gt;Resumen_Sprints!$E$13,BF$4&lt;=Resumen_Sprints!$E$13+Resumen_Sprints!$D$13),INDEX('Sprint N°8'!$C$8:$M$8,BF$4-Resumen_Sprints!$E$13),0)</f>
        <v>0</v>
      </c>
      <c r="BG48" s="23">
        <f t="array" ref="BG48">IF(AND(BG$4&gt;Resumen_Sprints!$E$13,BG$4&lt;=Resumen_Sprints!$E$13+Resumen_Sprints!$D$13),INDEX('Sprint N°8'!$C$8:$M$8,BG$4-Resumen_Sprints!$E$13),0)</f>
        <v>0</v>
      </c>
      <c r="BH48" s="23">
        <f t="array" ref="BH48">IF(AND(BH$4&gt;Resumen_Sprints!$E$13,BH$4&lt;=Resumen_Sprints!$E$13+Resumen_Sprints!$D$13),INDEX('Sprint N°8'!$C$8:$M$8,BH$4-Resumen_Sprints!$E$13),0)</f>
        <v>0</v>
      </c>
      <c r="BI48" s="23">
        <f t="array" ref="BI48">IF(AND(BI$4&gt;Resumen_Sprints!$E$13,BI$4&lt;=Resumen_Sprints!$E$13+Resumen_Sprints!$D$13),INDEX('Sprint N°8'!$C$8:$M$8,BI$4-Resumen_Sprints!$E$13),0)</f>
        <v>0</v>
      </c>
      <c r="BJ48" s="23">
        <f t="array" ref="BJ48">IF(AND(BJ$4&gt;Resumen_Sprints!$E$13,BJ$4&lt;=Resumen_Sprints!$E$13+Resumen_Sprints!$D$13),INDEX('Sprint N°8'!$C$8:$M$8,BJ$4-Resumen_Sprints!$E$13),0)</f>
        <v>0</v>
      </c>
      <c r="BK48" s="23">
        <f t="array" ref="BK48">IF(AND(BK$4&gt;Resumen_Sprints!$E$13,BK$4&lt;=Resumen_Sprints!$E$13+Resumen_Sprints!$D$13),INDEX('Sprint N°8'!$C$8:$M$8,BK$4-Resumen_Sprints!$E$13),0)</f>
        <v>0</v>
      </c>
      <c r="BL48" s="23">
        <f t="array" ref="BL48">IF(AND(BL$4&gt;Resumen_Sprints!$E$13,BL$4&lt;=Resumen_Sprints!$E$13+Resumen_Sprints!$D$13),INDEX('Sprint N°8'!$C$8:$M$8,BL$4-Resumen_Sprints!$E$13),0)</f>
        <v>0</v>
      </c>
      <c r="BM48" s="23">
        <f t="array" ref="BM48">IF(AND(BM$4&gt;Resumen_Sprints!$E$13,BM$4&lt;=Resumen_Sprints!$E$13+Resumen_Sprints!$D$13),INDEX('Sprint N°8'!$C$8:$M$8,BM$4-Resumen_Sprints!$E$13),0)</f>
        <v>0</v>
      </c>
      <c r="BN48" s="23">
        <f t="array" ref="BN48">IF(AND(BN$4&gt;Resumen_Sprints!$E$13,BN$4&lt;=Resumen_Sprints!$E$13+Resumen_Sprints!$D$13),INDEX('Sprint N°8'!$C$8:$M$8,BN$4-Resumen_Sprints!$E$13),0)</f>
        <v>0</v>
      </c>
      <c r="BO48" s="23">
        <f t="array" ref="BO48">IF(AND(BO$4&gt;Resumen_Sprints!$E$13,BO$4&lt;=Resumen_Sprints!$E$13+Resumen_Sprints!$D$13),INDEX('Sprint N°8'!$C$8:$M$8,BO$4-Resumen_Sprints!$E$13),0)</f>
        <v>0</v>
      </c>
      <c r="BP48" s="23">
        <f t="array" ref="BP48">IF(AND(BP$4&gt;Resumen_Sprints!$E$13,BP$4&lt;=Resumen_Sprints!$E$13+Resumen_Sprints!$D$13),INDEX('Sprint N°8'!$C$8:$M$8,BP$4-Resumen_Sprints!$E$13),0)</f>
        <v>0</v>
      </c>
      <c r="BQ48" s="23">
        <f t="array" ref="BQ48">IF(AND(BQ$4&gt;Resumen_Sprints!$E$13,BQ$4&lt;=Resumen_Sprints!$E$13+Resumen_Sprints!$D$13),INDEX('Sprint N°8'!$C$8:$M$8,BQ$4-Resumen_Sprints!$E$13),0)</f>
        <v>0</v>
      </c>
      <c r="BR48" s="23">
        <f t="array" ref="BR48">IF(AND(BR$4&gt;Resumen_Sprints!$E$13,BR$4&lt;=Resumen_Sprints!$E$13+Resumen_Sprints!$D$13),INDEX('Sprint N°8'!$C$8:$M$8,BR$4-Resumen_Sprints!$E$13),0)</f>
        <v>0</v>
      </c>
      <c r="BS48" s="23">
        <f t="array" ref="BS48">IF(AND(BS$4&gt;Resumen_Sprints!$E$13,BS$4&lt;=Resumen_Sprints!$E$13+Resumen_Sprints!$D$13),INDEX('Sprint N°8'!$C$8:$M$8,BS$4-Resumen_Sprints!$E$13),0)</f>
        <v>0</v>
      </c>
      <c r="BT48" s="23">
        <f t="array" ref="BT48">IF(AND(BT$4&gt;Resumen_Sprints!$E$13,BT$4&lt;=Resumen_Sprints!$E$13+Resumen_Sprints!$D$13),INDEX('Sprint N°8'!$C$8:$M$8,BT$4-Resumen_Sprints!$E$13),0)</f>
        <v>0</v>
      </c>
      <c r="BU48" s="23">
        <f t="array" ref="BU48">IF(AND(BU$4&gt;Resumen_Sprints!$E$13,BU$4&lt;=Resumen_Sprints!$E$13+Resumen_Sprints!$D$13),INDEX('Sprint N°8'!$C$8:$M$8,BU$4-Resumen_Sprints!$E$13),0)</f>
        <v>0</v>
      </c>
      <c r="BV48" s="23">
        <f t="array" ref="BV48">IF(AND(BV$4&gt;Resumen_Sprints!$E$13,BV$4&lt;=Resumen_Sprints!$E$13+Resumen_Sprints!$D$13),INDEX('Sprint N°8'!$C$8:$M$8,BV$4-Resumen_Sprints!$E$13),0)</f>
        <v>0</v>
      </c>
      <c r="BW48" s="23">
        <f t="array" ref="BW48">IF(AND(BW$4&gt;Resumen_Sprints!$E$13,BW$4&lt;=Resumen_Sprints!$E$13+Resumen_Sprints!$D$13),INDEX('Sprint N°8'!$C$8:$M$8,BW$4-Resumen_Sprints!$E$13),0)</f>
        <v>0</v>
      </c>
      <c r="BX48" s="23">
        <f t="array" ref="BX48">IF(AND(BX$4&gt;Resumen_Sprints!$E$13,BX$4&lt;=Resumen_Sprints!$E$13+Resumen_Sprints!$D$13),INDEX('Sprint N°8'!$C$8:$M$8,BX$4-Resumen_Sprints!$E$13),0)</f>
        <v>0</v>
      </c>
      <c r="BY48" s="23">
        <f t="array" ref="BY48">IF(AND(BY$4&gt;Resumen_Sprints!$E$13,BY$4&lt;=Resumen_Sprints!$E$13+Resumen_Sprints!$D$13),INDEX('Sprint N°8'!$C$8:$M$8,BY$4-Resumen_Sprints!$E$13),0)</f>
        <v>0</v>
      </c>
      <c r="BZ48" s="23">
        <f t="array" ref="BZ48">IF(AND(BZ$4&gt;Resumen_Sprints!$E$13,BZ$4&lt;=Resumen_Sprints!$E$13+Resumen_Sprints!$D$13),INDEX('Sprint N°8'!$C$8:$M$8,BZ$4-Resumen_Sprints!$E$13),0)</f>
        <v>0</v>
      </c>
      <c r="CA48" s="23">
        <f t="array" ref="CA48">IF(AND(CA$4&gt;Resumen_Sprints!$E$13,CA$4&lt;=Resumen_Sprints!$E$13+Resumen_Sprints!$D$13),INDEX('Sprint N°8'!$C$8:$M$8,CA$4-Resumen_Sprints!$E$13),0)</f>
        <v>0</v>
      </c>
      <c r="CB48" s="23">
        <f t="array" ref="CB48">IF(AND(CB$4&gt;Resumen_Sprints!$E$13,CB$4&lt;=Resumen_Sprints!$E$13+Resumen_Sprints!$D$13),INDEX('Sprint N°8'!$C$8:$M$8,CB$4-Resumen_Sprints!$E$13),0)</f>
        <v>0</v>
      </c>
      <c r="CC48" s="23">
        <f t="array" ref="CC48">IF(AND(CC$4&gt;Resumen_Sprints!$E$13,CC$4&lt;=Resumen_Sprints!$E$13+Resumen_Sprints!$D$13),INDEX('Sprint N°8'!$C$8:$M$8,CC$4-Resumen_Sprints!$E$13),0)</f>
        <v>0</v>
      </c>
      <c r="CD48" s="23">
        <f t="array" ref="CD48">IF(AND(CD$4&gt;Resumen_Sprints!$E$13,CD$4&lt;=Resumen_Sprints!$E$13+Resumen_Sprints!$D$13),INDEX('Sprint N°8'!$C$8:$M$8,CD$4-Resumen_Sprints!$E$13),0)</f>
        <v>0</v>
      </c>
      <c r="CE48" s="23">
        <f t="array" ref="CE48">IF(AND(CE$4&gt;Resumen_Sprints!$E$13,CE$4&lt;=Resumen_Sprints!$E$13+Resumen_Sprints!$D$13),INDEX('Sprint N°8'!$C$8:$M$8,CE$4-Resumen_Sprints!$E$13),0)</f>
        <v>0</v>
      </c>
      <c r="CF48" s="23">
        <f t="array" ref="CF48">IF(AND(CF$4&gt;Resumen_Sprints!$E$13,CF$4&lt;=Resumen_Sprints!$E$13+Resumen_Sprints!$D$13),INDEX('Sprint N°8'!$C$8:$M$8,CF$4-Resumen_Sprints!$E$13),0)</f>
        <v>0</v>
      </c>
      <c r="CG48" s="23">
        <f t="array" ref="CG48">IF(AND(CG$4&gt;Resumen_Sprints!$E$13,CG$4&lt;=Resumen_Sprints!$E$13+Resumen_Sprints!$D$13),INDEX('Sprint N°8'!$C$8:$M$8,CG$4-Resumen_Sprints!$E$13),0)</f>
        <v>0</v>
      </c>
      <c r="CH48" s="23" t="str">
        <f t="array" ref="CH48">IF(AND(CH$4&gt;Resumen_Sprints!$E$13,CH$4&lt;=Resumen_Sprints!$E$13+Resumen_Sprints!$D$13),INDEX('Sprint N°8'!$C$8:$M$8,CH$4-Resumen_Sprints!$E$13),0)</f>
        <v/>
      </c>
      <c r="CI48" s="23" t="str">
        <f t="array" ref="CI48">IF(AND(CI$4&gt;Resumen_Sprints!$E$13,CI$4&lt;=Resumen_Sprints!$E$13+Resumen_Sprints!$D$13),INDEX('Sprint N°8'!$C$8:$M$8,CI$4-Resumen_Sprints!$E$13),0)</f>
        <v/>
      </c>
      <c r="CJ48" s="23" t="str">
        <f t="array" ref="CJ48">IF(AND(CJ$4&gt;Resumen_Sprints!$E$13,CJ$4&lt;=Resumen_Sprints!$E$13+Resumen_Sprints!$D$13),INDEX('Sprint N°8'!$C$8:$M$8,CJ$4-Resumen_Sprints!$E$13),0)</f>
        <v/>
      </c>
      <c r="CK48" s="23" t="str">
        <f t="array" ref="CK48">IF(AND(CK$4&gt;Resumen_Sprints!$E$13,CK$4&lt;=Resumen_Sprints!$E$13+Resumen_Sprints!$D$13),INDEX('Sprint N°8'!$C$8:$M$8,CK$4-Resumen_Sprints!$E$13),0)</f>
        <v/>
      </c>
      <c r="CL48" s="23">
        <f t="array" ref="CL48">IF(AND(CL$4&gt;Resumen_Sprints!$E$13,CL$4&lt;=Resumen_Sprints!$E$13+Resumen_Sprints!$D$13),INDEX('Sprint N°8'!$C$8:$M$8,CL$4-Resumen_Sprints!$E$13),0)</f>
        <v>3</v>
      </c>
      <c r="CM48" s="23">
        <f t="array" ref="CM48">IF(AND(CM$4&gt;Resumen_Sprints!$E$13,CM$4&lt;=Resumen_Sprints!$E$13+Resumen_Sprints!$D$13),INDEX('Sprint N°8'!$C$8:$M$8,CM$4-Resumen_Sprints!$E$13),0)</f>
        <v>8</v>
      </c>
      <c r="CN48" s="23">
        <f t="array" ref="CN48">IF(AND(CN$4&gt;Resumen_Sprints!$E$13,CN$4&lt;=Resumen_Sprints!$E$13+Resumen_Sprints!$D$13),INDEX('Sprint N°8'!$C$8:$M$8,CN$4-Resumen_Sprints!$E$13),0)</f>
        <v>8</v>
      </c>
      <c r="CO48" s="23">
        <f t="array" ref="CO48">IF(AND(CO$4&gt;Resumen_Sprints!$E$13,CO$4&lt;=Resumen_Sprints!$E$13+Resumen_Sprints!$D$13),INDEX('Sprint N°8'!$C$8:$M$8,CO$4-Resumen_Sprints!$E$13),0)</f>
        <v>6</v>
      </c>
      <c r="CP48" s="23">
        <f t="array" ref="CP48">IF(AND(CP$4&gt;Resumen_Sprints!$E$13,CP$4&lt;=Resumen_Sprints!$E$13+Resumen_Sprints!$D$13),INDEX('Sprint N°8'!$C$8:$M$8,CP$4-Resumen_Sprints!$E$13),0)</f>
        <v>5</v>
      </c>
      <c r="CQ48" s="23" t="str">
        <f t="array" ref="CQ48">IF(AND(CQ$4&gt;Resumen_Sprints!$E$13,CQ$4&lt;=Resumen_Sprints!$E$13+Resumen_Sprints!$D$13),INDEX('Sprint N°8'!$C$8:$M$8,CQ$4-Resumen_Sprints!$E$13),0)</f>
        <v/>
      </c>
      <c r="CR48" s="23" t="str">
        <f t="array" ref="CR48">IF(AND(CR$4&gt;Resumen_Sprints!$E$13,CR$4&lt;=Resumen_Sprints!$E$13+Resumen_Sprints!$D$13),INDEX('Sprint N°8'!$C$8:$M$8,CR$4-Resumen_Sprints!$E$13),0)</f>
        <v/>
      </c>
      <c r="CS48" s="23">
        <f t="array" ref="CS48">IF(AND(CS$4&gt;Resumen_Sprints!$E$13,CS$4&lt;=Resumen_Sprints!$E$13+Resumen_Sprints!$D$13),INDEX('Sprint N°8'!$C$8:$M$8,CS$4-Resumen_Sprints!$E$13),0)</f>
        <v>0</v>
      </c>
      <c r="CT48" s="23">
        <f t="array" ref="CT48">IF(AND(CT$4&gt;Resumen_Sprints!$E$13,CT$4&lt;=Resumen_Sprints!$E$13+Resumen_Sprints!$D$13),INDEX('Sprint N°8'!$C$8:$M$8,CT$4-Resumen_Sprints!$E$13),0)</f>
        <v>0</v>
      </c>
      <c r="CU48" s="25">
        <f t="shared" si="8"/>
        <v>30</v>
      </c>
    </row>
    <row r="49" ht="14.25" customHeight="1">
      <c r="A49" s="11" t="str">
        <f>'Sprint N°8'!A9</f>
        <v>Capacitación y Entrega</v>
      </c>
      <c r="B49" s="11">
        <f>'Sprint N°8'!B9</f>
        <v>7</v>
      </c>
      <c r="C49" s="23">
        <f t="array" ref="C49">IF(AND(C$4&gt;Resumen_Sprints!$E$13,C$4&lt;=Resumen_Sprints!$E$13+Resumen_Sprints!$D$13),INDEX('Sprint N°8'!$C$9:$M$9,C$4-Resumen_Sprints!$E$13),0)</f>
        <v>0</v>
      </c>
      <c r="D49" s="23">
        <f t="array" ref="D49">IF(AND(D$4&gt;Resumen_Sprints!$E$13,D$4&lt;=Resumen_Sprints!$E$13+Resumen_Sprints!$D$13),INDEX('Sprint N°8'!$C$9:$M$9,D$4-Resumen_Sprints!$E$13),0)</f>
        <v>0</v>
      </c>
      <c r="E49" s="23">
        <f t="array" ref="E49">IF(AND(E$4&gt;Resumen_Sprints!$E$13,E$4&lt;=Resumen_Sprints!$E$13+Resumen_Sprints!$D$13),INDEX('Sprint N°8'!$C$9:$M$9,E$4-Resumen_Sprints!$E$13),0)</f>
        <v>0</v>
      </c>
      <c r="F49" s="23">
        <f t="array" ref="F49">IF(AND(F$4&gt;Resumen_Sprints!$E$13,F$4&lt;=Resumen_Sprints!$E$13+Resumen_Sprints!$D$13),INDEX('Sprint N°8'!$C$9:$M$9,F$4-Resumen_Sprints!$E$13),0)</f>
        <v>0</v>
      </c>
      <c r="G49" s="23">
        <f t="array" ref="G49">IF(AND(G$4&gt;Resumen_Sprints!$E$13,G$4&lt;=Resumen_Sprints!$E$13+Resumen_Sprints!$D$13),INDEX('Sprint N°8'!$C$9:$M$9,G$4-Resumen_Sprints!$E$13),0)</f>
        <v>0</v>
      </c>
      <c r="H49" s="23">
        <f t="array" ref="H49">IF(AND(H$4&gt;Resumen_Sprints!$E$13,H$4&lt;=Resumen_Sprints!$E$13+Resumen_Sprints!$D$13),INDEX('Sprint N°8'!$C$9:$M$9,H$4-Resumen_Sprints!$E$13),0)</f>
        <v>0</v>
      </c>
      <c r="I49" s="23">
        <f t="array" ref="I49">IF(AND(I$4&gt;Resumen_Sprints!$E$13,I$4&lt;=Resumen_Sprints!$E$13+Resumen_Sprints!$D$13),INDEX('Sprint N°8'!$C$9:$M$9,I$4-Resumen_Sprints!$E$13),0)</f>
        <v>0</v>
      </c>
      <c r="J49" s="23">
        <f t="array" ref="J49">IF(AND(J$4&gt;Resumen_Sprints!$E$13,J$4&lt;=Resumen_Sprints!$E$13+Resumen_Sprints!$D$13),INDEX('Sprint N°8'!$C$9:$M$9,J$4-Resumen_Sprints!$E$13),0)</f>
        <v>0</v>
      </c>
      <c r="K49" s="23">
        <f t="array" ref="K49">IF(AND(K$4&gt;Resumen_Sprints!$E$13,K$4&lt;=Resumen_Sprints!$E$13+Resumen_Sprints!$D$13),INDEX('Sprint N°8'!$C$9:$M$9,K$4-Resumen_Sprints!$E$13),0)</f>
        <v>0</v>
      </c>
      <c r="L49" s="23">
        <f t="array" ref="L49">IF(AND(L$4&gt;Resumen_Sprints!$E$13,L$4&lt;=Resumen_Sprints!$E$13+Resumen_Sprints!$D$13),INDEX('Sprint N°8'!$C$9:$M$9,L$4-Resumen_Sprints!$E$13),0)</f>
        <v>0</v>
      </c>
      <c r="M49" s="23">
        <f t="array" ref="M49">IF(AND(M$4&gt;Resumen_Sprints!$E$13,M$4&lt;=Resumen_Sprints!$E$13+Resumen_Sprints!$D$13),INDEX('Sprint N°8'!$C$9:$M$9,M$4-Resumen_Sprints!$E$13),0)</f>
        <v>0</v>
      </c>
      <c r="N49" s="23">
        <f t="array" ref="N49">IF(AND(N$4&gt;Resumen_Sprints!$E$13,N$4&lt;=Resumen_Sprints!$E$13+Resumen_Sprints!$D$13),INDEX('Sprint N°8'!$C$9:$M$9,N$4-Resumen_Sprints!$E$13),0)</f>
        <v>0</v>
      </c>
      <c r="O49" s="23">
        <f t="array" ref="O49">IF(AND(O$4&gt;Resumen_Sprints!$E$13,O$4&lt;=Resumen_Sprints!$E$13+Resumen_Sprints!$D$13),INDEX('Sprint N°8'!$C$9:$M$9,O$4-Resumen_Sprints!$E$13),0)</f>
        <v>0</v>
      </c>
      <c r="P49" s="23">
        <f t="array" ref="P49">IF(AND(P$4&gt;Resumen_Sprints!$E$13,P$4&lt;=Resumen_Sprints!$E$13+Resumen_Sprints!$D$13),INDEX('Sprint N°8'!$C$9:$M$9,P$4-Resumen_Sprints!$E$13),0)</f>
        <v>0</v>
      </c>
      <c r="Q49" s="23">
        <f t="array" ref="Q49">IF(AND(Q$4&gt;Resumen_Sprints!$E$13,Q$4&lt;=Resumen_Sprints!$E$13+Resumen_Sprints!$D$13),INDEX('Sprint N°8'!$C$9:$M$9,Q$4-Resumen_Sprints!$E$13),0)</f>
        <v>0</v>
      </c>
      <c r="R49" s="23">
        <f t="array" ref="R49">IF(AND(R$4&gt;Resumen_Sprints!$E$13,R$4&lt;=Resumen_Sprints!$E$13+Resumen_Sprints!$D$13),INDEX('Sprint N°8'!$C$9:$M$9,R$4-Resumen_Sprints!$E$13),0)</f>
        <v>0</v>
      </c>
      <c r="S49" s="23">
        <f t="array" ref="S49">IF(AND(S$4&gt;Resumen_Sprints!$E$13,S$4&lt;=Resumen_Sprints!$E$13+Resumen_Sprints!$D$13),INDEX('Sprint N°8'!$C$9:$M$9,S$4-Resumen_Sprints!$E$13),0)</f>
        <v>0</v>
      </c>
      <c r="T49" s="23">
        <f t="array" ref="T49">IF(AND(T$4&gt;Resumen_Sprints!$E$13,T$4&lt;=Resumen_Sprints!$E$13+Resumen_Sprints!$D$13),INDEX('Sprint N°8'!$C$9:$M$9,T$4-Resumen_Sprints!$E$13),0)</f>
        <v>0</v>
      </c>
      <c r="U49" s="23">
        <f t="array" ref="U49">IF(AND(U$4&gt;Resumen_Sprints!$E$13,U$4&lt;=Resumen_Sprints!$E$13+Resumen_Sprints!$D$13),INDEX('Sprint N°8'!$C$9:$M$9,U$4-Resumen_Sprints!$E$13),0)</f>
        <v>0</v>
      </c>
      <c r="V49" s="23">
        <f t="array" ref="V49">IF(AND(V$4&gt;Resumen_Sprints!$E$13,V$4&lt;=Resumen_Sprints!$E$13+Resumen_Sprints!$D$13),INDEX('Sprint N°8'!$C$9:$M$9,V$4-Resumen_Sprints!$E$13),0)</f>
        <v>0</v>
      </c>
      <c r="W49" s="23">
        <f t="array" ref="W49">IF(AND(W$4&gt;Resumen_Sprints!$E$13,W$4&lt;=Resumen_Sprints!$E$13+Resumen_Sprints!$D$13),INDEX('Sprint N°8'!$C$9:$M$9,W$4-Resumen_Sprints!$E$13),0)</f>
        <v>0</v>
      </c>
      <c r="X49" s="23">
        <f t="array" ref="X49">IF(AND(X$4&gt;Resumen_Sprints!$E$13,X$4&lt;=Resumen_Sprints!$E$13+Resumen_Sprints!$D$13),INDEX('Sprint N°8'!$C$9:$M$9,X$4-Resumen_Sprints!$E$13),0)</f>
        <v>0</v>
      </c>
      <c r="Y49" s="23">
        <f t="array" ref="Y49">IF(AND(Y$4&gt;Resumen_Sprints!$E$13,Y$4&lt;=Resumen_Sprints!$E$13+Resumen_Sprints!$D$13),INDEX('Sprint N°8'!$C$9:$M$9,Y$4-Resumen_Sprints!$E$13),0)</f>
        <v>0</v>
      </c>
      <c r="Z49" s="23">
        <f t="array" ref="Z49">IF(AND(Z$4&gt;Resumen_Sprints!$E$13,Z$4&lt;=Resumen_Sprints!$E$13+Resumen_Sprints!$D$13),INDEX('Sprint N°8'!$C$9:$M$9,Z$4-Resumen_Sprints!$E$13),0)</f>
        <v>0</v>
      </c>
      <c r="AA49" s="23">
        <f t="array" ref="AA49">IF(AND(AA$4&gt;Resumen_Sprints!$E$13,AA$4&lt;=Resumen_Sprints!$E$13+Resumen_Sprints!$D$13),INDEX('Sprint N°8'!$C$9:$M$9,AA$4-Resumen_Sprints!$E$13),0)</f>
        <v>0</v>
      </c>
      <c r="AB49" s="23">
        <f t="array" ref="AB49">IF(AND(AB$4&gt;Resumen_Sprints!$E$13,AB$4&lt;=Resumen_Sprints!$E$13+Resumen_Sprints!$D$13),INDEX('Sprint N°8'!$C$9:$M$9,AB$4-Resumen_Sprints!$E$13),0)</f>
        <v>0</v>
      </c>
      <c r="AC49" s="23">
        <f t="array" ref="AC49">IF(AND(AC$4&gt;Resumen_Sprints!$E$13,AC$4&lt;=Resumen_Sprints!$E$13+Resumen_Sprints!$D$13),INDEX('Sprint N°8'!$C$9:$M$9,AC$4-Resumen_Sprints!$E$13),0)</f>
        <v>0</v>
      </c>
      <c r="AD49" s="23">
        <f t="array" ref="AD49">IF(AND(AD$4&gt;Resumen_Sprints!$E$13,AD$4&lt;=Resumen_Sprints!$E$13+Resumen_Sprints!$D$13),INDEX('Sprint N°8'!$C$9:$M$9,AD$4-Resumen_Sprints!$E$13),0)</f>
        <v>0</v>
      </c>
      <c r="AE49" s="23">
        <f t="array" ref="AE49">IF(AND(AE$4&gt;Resumen_Sprints!$E$13,AE$4&lt;=Resumen_Sprints!$E$13+Resumen_Sprints!$D$13),INDEX('Sprint N°8'!$C$9:$M$9,AE$4-Resumen_Sprints!$E$13),0)</f>
        <v>0</v>
      </c>
      <c r="AF49" s="23">
        <f t="array" ref="AF49">IF(AND(AF$4&gt;Resumen_Sprints!$E$13,AF$4&lt;=Resumen_Sprints!$E$13+Resumen_Sprints!$D$13),INDEX('Sprint N°8'!$C$9:$M$9,AF$4-Resumen_Sprints!$E$13),0)</f>
        <v>0</v>
      </c>
      <c r="AG49" s="23">
        <f t="array" ref="AG49">IF(AND(AG$4&gt;Resumen_Sprints!$E$13,AG$4&lt;=Resumen_Sprints!$E$13+Resumen_Sprints!$D$13),INDEX('Sprint N°8'!$C$9:$M$9,AG$4-Resumen_Sprints!$E$13),0)</f>
        <v>0</v>
      </c>
      <c r="AH49" s="23">
        <f t="array" ref="AH49">IF(AND(AH$4&gt;Resumen_Sprints!$E$13,AH$4&lt;=Resumen_Sprints!$E$13+Resumen_Sprints!$D$13),INDEX('Sprint N°8'!$C$9:$M$9,AH$4-Resumen_Sprints!$E$13),0)</f>
        <v>0</v>
      </c>
      <c r="AI49" s="23">
        <f t="array" ref="AI49">IF(AND(AI$4&gt;Resumen_Sprints!$E$13,AI$4&lt;=Resumen_Sprints!$E$13+Resumen_Sprints!$D$13),INDEX('Sprint N°8'!$C$9:$M$9,AI$4-Resumen_Sprints!$E$13),0)</f>
        <v>0</v>
      </c>
      <c r="AJ49" s="23">
        <f t="array" ref="AJ49">IF(AND(AJ$4&gt;Resumen_Sprints!$E$13,AJ$4&lt;=Resumen_Sprints!$E$13+Resumen_Sprints!$D$13),INDEX('Sprint N°8'!$C$9:$M$9,AJ$4-Resumen_Sprints!$E$13),0)</f>
        <v>0</v>
      </c>
      <c r="AK49" s="23">
        <f t="array" ref="AK49">IF(AND(AK$4&gt;Resumen_Sprints!$E$13,AK$4&lt;=Resumen_Sprints!$E$13+Resumen_Sprints!$D$13),INDEX('Sprint N°8'!$C$9:$M$9,AK$4-Resumen_Sprints!$E$13),0)</f>
        <v>0</v>
      </c>
      <c r="AL49" s="23">
        <f t="array" ref="AL49">IF(AND(AL$4&gt;Resumen_Sprints!$E$13,AL$4&lt;=Resumen_Sprints!$E$13+Resumen_Sprints!$D$13),INDEX('Sprint N°8'!$C$9:$M$9,AL$4-Resumen_Sprints!$E$13),0)</f>
        <v>0</v>
      </c>
      <c r="AM49" s="23">
        <f t="array" ref="AM49">IF(AND(AM$4&gt;Resumen_Sprints!$E$13,AM$4&lt;=Resumen_Sprints!$E$13+Resumen_Sprints!$D$13),INDEX('Sprint N°8'!$C$9:$M$9,AM$4-Resumen_Sprints!$E$13),0)</f>
        <v>0</v>
      </c>
      <c r="AN49" s="23">
        <f t="array" ref="AN49">IF(AND(AN$4&gt;Resumen_Sprints!$E$13,AN$4&lt;=Resumen_Sprints!$E$13+Resumen_Sprints!$D$13),INDEX('Sprint N°8'!$C$9:$M$9,AN$4-Resumen_Sprints!$E$13),0)</f>
        <v>0</v>
      </c>
      <c r="AO49" s="23">
        <f t="array" ref="AO49">IF(AND(AO$4&gt;Resumen_Sprints!$E$13,AO$4&lt;=Resumen_Sprints!$E$13+Resumen_Sprints!$D$13),INDEX('Sprint N°8'!$C$9:$M$9,AO$4-Resumen_Sprints!$E$13),0)</f>
        <v>0</v>
      </c>
      <c r="AP49" s="23">
        <f t="array" ref="AP49">IF(AND(AP$4&gt;Resumen_Sprints!$E$13,AP$4&lt;=Resumen_Sprints!$E$13+Resumen_Sprints!$D$13),INDEX('Sprint N°8'!$C$9:$M$9,AP$4-Resumen_Sprints!$E$13),0)</f>
        <v>0</v>
      </c>
      <c r="AQ49" s="23">
        <f t="array" ref="AQ49">IF(AND(AQ$4&gt;Resumen_Sprints!$E$13,AQ$4&lt;=Resumen_Sprints!$E$13+Resumen_Sprints!$D$13),INDEX('Sprint N°8'!$C$9:$M$9,AQ$4-Resumen_Sprints!$E$13),0)</f>
        <v>0</v>
      </c>
      <c r="AR49" s="23">
        <f t="array" ref="AR49">IF(AND(AR$4&gt;Resumen_Sprints!$E$13,AR$4&lt;=Resumen_Sprints!$E$13+Resumen_Sprints!$D$13),INDEX('Sprint N°8'!$C$9:$M$9,AR$4-Resumen_Sprints!$E$13),0)</f>
        <v>0</v>
      </c>
      <c r="AS49" s="23">
        <f t="array" ref="AS49">IF(AND(AS$4&gt;Resumen_Sprints!$E$13,AS$4&lt;=Resumen_Sprints!$E$13+Resumen_Sprints!$D$13),INDEX('Sprint N°8'!$C$9:$M$9,AS$4-Resumen_Sprints!$E$13),0)</f>
        <v>0</v>
      </c>
      <c r="AT49" s="23">
        <f t="array" ref="AT49">IF(AND(AT$4&gt;Resumen_Sprints!$E$13,AT$4&lt;=Resumen_Sprints!$E$13+Resumen_Sprints!$D$13),INDEX('Sprint N°8'!$C$9:$M$9,AT$4-Resumen_Sprints!$E$13),0)</f>
        <v>0</v>
      </c>
      <c r="AU49" s="23">
        <f t="array" ref="AU49">IF(AND(AU$4&gt;Resumen_Sprints!$E$13,AU$4&lt;=Resumen_Sprints!$E$13+Resumen_Sprints!$D$13),INDEX('Sprint N°8'!$C$9:$M$9,AU$4-Resumen_Sprints!$E$13),0)</f>
        <v>0</v>
      </c>
      <c r="AV49" s="23">
        <f t="array" ref="AV49">IF(AND(AV$4&gt;Resumen_Sprints!$E$13,AV$4&lt;=Resumen_Sprints!$E$13+Resumen_Sprints!$D$13),INDEX('Sprint N°8'!$C$9:$M$9,AV$4-Resumen_Sprints!$E$13),0)</f>
        <v>0</v>
      </c>
      <c r="AW49" s="23">
        <f t="array" ref="AW49">IF(AND(AW$4&gt;Resumen_Sprints!$E$13,AW$4&lt;=Resumen_Sprints!$E$13+Resumen_Sprints!$D$13),INDEX('Sprint N°8'!$C$9:$M$9,AW$4-Resumen_Sprints!$E$13),0)</f>
        <v>0</v>
      </c>
      <c r="AX49" s="23">
        <f t="array" ref="AX49">IF(AND(AX$4&gt;Resumen_Sprints!$E$13,AX$4&lt;=Resumen_Sprints!$E$13+Resumen_Sprints!$D$13),INDEX('Sprint N°8'!$C$9:$M$9,AX$4-Resumen_Sprints!$E$13),0)</f>
        <v>0</v>
      </c>
      <c r="AY49" s="23">
        <f t="array" ref="AY49">IF(AND(AY$4&gt;Resumen_Sprints!$E$13,AY$4&lt;=Resumen_Sprints!$E$13+Resumen_Sprints!$D$13),INDEX('Sprint N°8'!$C$9:$M$9,AY$4-Resumen_Sprints!$E$13),0)</f>
        <v>0</v>
      </c>
      <c r="AZ49" s="23">
        <f t="array" ref="AZ49">IF(AND(AZ$4&gt;Resumen_Sprints!$E$13,AZ$4&lt;=Resumen_Sprints!$E$13+Resumen_Sprints!$D$13),INDEX('Sprint N°8'!$C$9:$M$9,AZ$4-Resumen_Sprints!$E$13),0)</f>
        <v>0</v>
      </c>
      <c r="BA49" s="23">
        <f t="array" ref="BA49">IF(AND(BA$4&gt;Resumen_Sprints!$E$13,BA$4&lt;=Resumen_Sprints!$E$13+Resumen_Sprints!$D$13),INDEX('Sprint N°8'!$C$9:$M$9,BA$4-Resumen_Sprints!$E$13),0)</f>
        <v>0</v>
      </c>
      <c r="BB49" s="23">
        <f t="array" ref="BB49">IF(AND(BB$4&gt;Resumen_Sprints!$E$13,BB$4&lt;=Resumen_Sprints!$E$13+Resumen_Sprints!$D$13),INDEX('Sprint N°8'!$C$9:$M$9,BB$4-Resumen_Sprints!$E$13),0)</f>
        <v>0</v>
      </c>
      <c r="BC49" s="23">
        <f t="array" ref="BC49">IF(AND(BC$4&gt;Resumen_Sprints!$E$13,BC$4&lt;=Resumen_Sprints!$E$13+Resumen_Sprints!$D$13),INDEX('Sprint N°8'!$C$9:$M$9,BC$4-Resumen_Sprints!$E$13),0)</f>
        <v>0</v>
      </c>
      <c r="BD49" s="23">
        <f t="array" ref="BD49">IF(AND(BD$4&gt;Resumen_Sprints!$E$13,BD$4&lt;=Resumen_Sprints!$E$13+Resumen_Sprints!$D$13),INDEX('Sprint N°8'!$C$9:$M$9,BD$4-Resumen_Sprints!$E$13),0)</f>
        <v>0</v>
      </c>
      <c r="BE49" s="23">
        <f t="array" ref="BE49">IF(AND(BE$4&gt;Resumen_Sprints!$E$13,BE$4&lt;=Resumen_Sprints!$E$13+Resumen_Sprints!$D$13),INDEX('Sprint N°8'!$C$9:$M$9,BE$4-Resumen_Sprints!$E$13),0)</f>
        <v>0</v>
      </c>
      <c r="BF49" s="23">
        <f t="array" ref="BF49">IF(AND(BF$4&gt;Resumen_Sprints!$E$13,BF$4&lt;=Resumen_Sprints!$E$13+Resumen_Sprints!$D$13),INDEX('Sprint N°8'!$C$9:$M$9,BF$4-Resumen_Sprints!$E$13),0)</f>
        <v>0</v>
      </c>
      <c r="BG49" s="23">
        <f t="array" ref="BG49">IF(AND(BG$4&gt;Resumen_Sprints!$E$13,BG$4&lt;=Resumen_Sprints!$E$13+Resumen_Sprints!$D$13),INDEX('Sprint N°8'!$C$9:$M$9,BG$4-Resumen_Sprints!$E$13),0)</f>
        <v>0</v>
      </c>
      <c r="BH49" s="23">
        <f t="array" ref="BH49">IF(AND(BH$4&gt;Resumen_Sprints!$E$13,BH$4&lt;=Resumen_Sprints!$E$13+Resumen_Sprints!$D$13),INDEX('Sprint N°8'!$C$9:$M$9,BH$4-Resumen_Sprints!$E$13),0)</f>
        <v>0</v>
      </c>
      <c r="BI49" s="23">
        <f t="array" ref="BI49">IF(AND(BI$4&gt;Resumen_Sprints!$E$13,BI$4&lt;=Resumen_Sprints!$E$13+Resumen_Sprints!$D$13),INDEX('Sprint N°8'!$C$9:$M$9,BI$4-Resumen_Sprints!$E$13),0)</f>
        <v>0</v>
      </c>
      <c r="BJ49" s="23">
        <f t="array" ref="BJ49">IF(AND(BJ$4&gt;Resumen_Sprints!$E$13,BJ$4&lt;=Resumen_Sprints!$E$13+Resumen_Sprints!$D$13),INDEX('Sprint N°8'!$C$9:$M$9,BJ$4-Resumen_Sprints!$E$13),0)</f>
        <v>0</v>
      </c>
      <c r="BK49" s="23">
        <f t="array" ref="BK49">IF(AND(BK$4&gt;Resumen_Sprints!$E$13,BK$4&lt;=Resumen_Sprints!$E$13+Resumen_Sprints!$D$13),INDEX('Sprint N°8'!$C$9:$M$9,BK$4-Resumen_Sprints!$E$13),0)</f>
        <v>0</v>
      </c>
      <c r="BL49" s="23">
        <f t="array" ref="BL49">IF(AND(BL$4&gt;Resumen_Sprints!$E$13,BL$4&lt;=Resumen_Sprints!$E$13+Resumen_Sprints!$D$13),INDEX('Sprint N°8'!$C$9:$M$9,BL$4-Resumen_Sprints!$E$13),0)</f>
        <v>0</v>
      </c>
      <c r="BM49" s="23">
        <f t="array" ref="BM49">IF(AND(BM$4&gt;Resumen_Sprints!$E$13,BM$4&lt;=Resumen_Sprints!$E$13+Resumen_Sprints!$D$13),INDEX('Sprint N°8'!$C$9:$M$9,BM$4-Resumen_Sprints!$E$13),0)</f>
        <v>0</v>
      </c>
      <c r="BN49" s="23">
        <f t="array" ref="BN49">IF(AND(BN$4&gt;Resumen_Sprints!$E$13,BN$4&lt;=Resumen_Sprints!$E$13+Resumen_Sprints!$D$13),INDEX('Sprint N°8'!$C$9:$M$9,BN$4-Resumen_Sprints!$E$13),0)</f>
        <v>0</v>
      </c>
      <c r="BO49" s="23">
        <f t="array" ref="BO49">IF(AND(BO$4&gt;Resumen_Sprints!$E$13,BO$4&lt;=Resumen_Sprints!$E$13+Resumen_Sprints!$D$13),INDEX('Sprint N°8'!$C$9:$M$9,BO$4-Resumen_Sprints!$E$13),0)</f>
        <v>0</v>
      </c>
      <c r="BP49" s="23">
        <f t="array" ref="BP49">IF(AND(BP$4&gt;Resumen_Sprints!$E$13,BP$4&lt;=Resumen_Sprints!$E$13+Resumen_Sprints!$D$13),INDEX('Sprint N°8'!$C$9:$M$9,BP$4-Resumen_Sprints!$E$13),0)</f>
        <v>0</v>
      </c>
      <c r="BQ49" s="23">
        <f t="array" ref="BQ49">IF(AND(BQ$4&gt;Resumen_Sprints!$E$13,BQ$4&lt;=Resumen_Sprints!$E$13+Resumen_Sprints!$D$13),INDEX('Sprint N°8'!$C$9:$M$9,BQ$4-Resumen_Sprints!$E$13),0)</f>
        <v>0</v>
      </c>
      <c r="BR49" s="23">
        <f t="array" ref="BR49">IF(AND(BR$4&gt;Resumen_Sprints!$E$13,BR$4&lt;=Resumen_Sprints!$E$13+Resumen_Sprints!$D$13),INDEX('Sprint N°8'!$C$9:$M$9,BR$4-Resumen_Sprints!$E$13),0)</f>
        <v>0</v>
      </c>
      <c r="BS49" s="23">
        <f t="array" ref="BS49">IF(AND(BS$4&gt;Resumen_Sprints!$E$13,BS$4&lt;=Resumen_Sprints!$E$13+Resumen_Sprints!$D$13),INDEX('Sprint N°8'!$C$9:$M$9,BS$4-Resumen_Sprints!$E$13),0)</f>
        <v>0</v>
      </c>
      <c r="BT49" s="23">
        <f t="array" ref="BT49">IF(AND(BT$4&gt;Resumen_Sprints!$E$13,BT$4&lt;=Resumen_Sprints!$E$13+Resumen_Sprints!$D$13),INDEX('Sprint N°8'!$C$9:$M$9,BT$4-Resumen_Sprints!$E$13),0)</f>
        <v>0</v>
      </c>
      <c r="BU49" s="23">
        <f t="array" ref="BU49">IF(AND(BU$4&gt;Resumen_Sprints!$E$13,BU$4&lt;=Resumen_Sprints!$E$13+Resumen_Sprints!$D$13),INDEX('Sprint N°8'!$C$9:$M$9,BU$4-Resumen_Sprints!$E$13),0)</f>
        <v>0</v>
      </c>
      <c r="BV49" s="23">
        <f t="array" ref="BV49">IF(AND(BV$4&gt;Resumen_Sprints!$E$13,BV$4&lt;=Resumen_Sprints!$E$13+Resumen_Sprints!$D$13),INDEX('Sprint N°8'!$C$9:$M$9,BV$4-Resumen_Sprints!$E$13),0)</f>
        <v>0</v>
      </c>
      <c r="BW49" s="23">
        <f t="array" ref="BW49">IF(AND(BW$4&gt;Resumen_Sprints!$E$13,BW$4&lt;=Resumen_Sprints!$E$13+Resumen_Sprints!$D$13),INDEX('Sprint N°8'!$C$9:$M$9,BW$4-Resumen_Sprints!$E$13),0)</f>
        <v>0</v>
      </c>
      <c r="BX49" s="23">
        <f t="array" ref="BX49">IF(AND(BX$4&gt;Resumen_Sprints!$E$13,BX$4&lt;=Resumen_Sprints!$E$13+Resumen_Sprints!$D$13),INDEX('Sprint N°8'!$C$9:$M$9,BX$4-Resumen_Sprints!$E$13),0)</f>
        <v>0</v>
      </c>
      <c r="BY49" s="23">
        <f t="array" ref="BY49">IF(AND(BY$4&gt;Resumen_Sprints!$E$13,BY$4&lt;=Resumen_Sprints!$E$13+Resumen_Sprints!$D$13),INDEX('Sprint N°8'!$C$9:$M$9,BY$4-Resumen_Sprints!$E$13),0)</f>
        <v>0</v>
      </c>
      <c r="BZ49" s="23">
        <f t="array" ref="BZ49">IF(AND(BZ$4&gt;Resumen_Sprints!$E$13,BZ$4&lt;=Resumen_Sprints!$E$13+Resumen_Sprints!$D$13),INDEX('Sprint N°8'!$C$9:$M$9,BZ$4-Resumen_Sprints!$E$13),0)</f>
        <v>0</v>
      </c>
      <c r="CA49" s="23">
        <f t="array" ref="CA49">IF(AND(CA$4&gt;Resumen_Sprints!$E$13,CA$4&lt;=Resumen_Sprints!$E$13+Resumen_Sprints!$D$13),INDEX('Sprint N°8'!$C$9:$M$9,CA$4-Resumen_Sprints!$E$13),0)</f>
        <v>0</v>
      </c>
      <c r="CB49" s="23">
        <f t="array" ref="CB49">IF(AND(CB$4&gt;Resumen_Sprints!$E$13,CB$4&lt;=Resumen_Sprints!$E$13+Resumen_Sprints!$D$13),INDEX('Sprint N°8'!$C$9:$M$9,CB$4-Resumen_Sprints!$E$13),0)</f>
        <v>0</v>
      </c>
      <c r="CC49" s="23">
        <f t="array" ref="CC49">IF(AND(CC$4&gt;Resumen_Sprints!$E$13,CC$4&lt;=Resumen_Sprints!$E$13+Resumen_Sprints!$D$13),INDEX('Sprint N°8'!$C$9:$M$9,CC$4-Resumen_Sprints!$E$13),0)</f>
        <v>0</v>
      </c>
      <c r="CD49" s="23">
        <f t="array" ref="CD49">IF(AND(CD$4&gt;Resumen_Sprints!$E$13,CD$4&lt;=Resumen_Sprints!$E$13+Resumen_Sprints!$D$13),INDEX('Sprint N°8'!$C$9:$M$9,CD$4-Resumen_Sprints!$E$13),0)</f>
        <v>0</v>
      </c>
      <c r="CE49" s="23">
        <f t="array" ref="CE49">IF(AND(CE$4&gt;Resumen_Sprints!$E$13,CE$4&lt;=Resumen_Sprints!$E$13+Resumen_Sprints!$D$13),INDEX('Sprint N°8'!$C$9:$M$9,CE$4-Resumen_Sprints!$E$13),0)</f>
        <v>0</v>
      </c>
      <c r="CF49" s="23">
        <f t="array" ref="CF49">IF(AND(CF$4&gt;Resumen_Sprints!$E$13,CF$4&lt;=Resumen_Sprints!$E$13+Resumen_Sprints!$D$13),INDEX('Sprint N°8'!$C$9:$M$9,CF$4-Resumen_Sprints!$E$13),0)</f>
        <v>0</v>
      </c>
      <c r="CG49" s="23">
        <f t="array" ref="CG49">IF(AND(CG$4&gt;Resumen_Sprints!$E$13,CG$4&lt;=Resumen_Sprints!$E$13+Resumen_Sprints!$D$13),INDEX('Sprint N°8'!$C$9:$M$9,CG$4-Resumen_Sprints!$E$13),0)</f>
        <v>0</v>
      </c>
      <c r="CH49" s="23" t="str">
        <f t="array" ref="CH49">IF(AND(CH$4&gt;Resumen_Sprints!$E$13,CH$4&lt;=Resumen_Sprints!$E$13+Resumen_Sprints!$D$13),INDEX('Sprint N°8'!$C$9:$M$9,CH$4-Resumen_Sprints!$E$13),0)</f>
        <v/>
      </c>
      <c r="CI49" s="23" t="str">
        <f t="array" ref="CI49">IF(AND(CI$4&gt;Resumen_Sprints!$E$13,CI$4&lt;=Resumen_Sprints!$E$13+Resumen_Sprints!$D$13),INDEX('Sprint N°8'!$C$9:$M$9,CI$4-Resumen_Sprints!$E$13),0)</f>
        <v/>
      </c>
      <c r="CJ49" s="23" t="str">
        <f t="array" ref="CJ49">IF(AND(CJ$4&gt;Resumen_Sprints!$E$13,CJ$4&lt;=Resumen_Sprints!$E$13+Resumen_Sprints!$D$13),INDEX('Sprint N°8'!$C$9:$M$9,CJ$4-Resumen_Sprints!$E$13),0)</f>
        <v/>
      </c>
      <c r="CK49" s="23" t="str">
        <f t="array" ref="CK49">IF(AND(CK$4&gt;Resumen_Sprints!$E$13,CK$4&lt;=Resumen_Sprints!$E$13+Resumen_Sprints!$D$13),INDEX('Sprint N°8'!$C$9:$M$9,CK$4-Resumen_Sprints!$E$13),0)</f>
        <v/>
      </c>
      <c r="CL49" s="23" t="str">
        <f t="array" ref="CL49">IF(AND(CL$4&gt;Resumen_Sprints!$E$13,CL$4&lt;=Resumen_Sprints!$E$13+Resumen_Sprints!$D$13),INDEX('Sprint N°8'!$C$9:$M$9,CL$4-Resumen_Sprints!$E$13),0)</f>
        <v/>
      </c>
      <c r="CM49" s="23" t="str">
        <f t="array" ref="CM49">IF(AND(CM$4&gt;Resumen_Sprints!$E$13,CM$4&lt;=Resumen_Sprints!$E$13+Resumen_Sprints!$D$13),INDEX('Sprint N°8'!$C$9:$M$9,CM$4-Resumen_Sprints!$E$13),0)</f>
        <v/>
      </c>
      <c r="CN49" s="23" t="str">
        <f t="array" ref="CN49">IF(AND(CN$4&gt;Resumen_Sprints!$E$13,CN$4&lt;=Resumen_Sprints!$E$13+Resumen_Sprints!$D$13),INDEX('Sprint N°8'!$C$9:$M$9,CN$4-Resumen_Sprints!$E$13),0)</f>
        <v/>
      </c>
      <c r="CO49" s="23" t="str">
        <f t="array" ref="CO49">IF(AND(CO$4&gt;Resumen_Sprints!$E$13,CO$4&lt;=Resumen_Sprints!$E$13+Resumen_Sprints!$D$13),INDEX('Sprint N°8'!$C$9:$M$9,CO$4-Resumen_Sprints!$E$13),0)</f>
        <v/>
      </c>
      <c r="CP49" s="23">
        <f t="array" ref="CP49">IF(AND(CP$4&gt;Resumen_Sprints!$E$13,CP$4&lt;=Resumen_Sprints!$E$13+Resumen_Sprints!$D$13),INDEX('Sprint N°8'!$C$9:$M$9,CP$4-Resumen_Sprints!$E$13),0)</f>
        <v>4</v>
      </c>
      <c r="CQ49" s="23">
        <f t="array" ref="CQ49">IF(AND(CQ$4&gt;Resumen_Sprints!$E$13,CQ$4&lt;=Resumen_Sprints!$E$13+Resumen_Sprints!$D$13),INDEX('Sprint N°8'!$C$9:$M$9,CQ$4-Resumen_Sprints!$E$13),0)</f>
        <v>7</v>
      </c>
      <c r="CR49" s="23" t="str">
        <f t="array" ref="CR49">IF(AND(CR$4&gt;Resumen_Sprints!$E$13,CR$4&lt;=Resumen_Sprints!$E$13+Resumen_Sprints!$D$13),INDEX('Sprint N°8'!$C$9:$M$9,CR$4-Resumen_Sprints!$E$13),0)</f>
        <v/>
      </c>
      <c r="CS49" s="23">
        <f t="array" ref="CS49">IF(AND(CS$4&gt;Resumen_Sprints!$E$13,CS$4&lt;=Resumen_Sprints!$E$13+Resumen_Sprints!$D$13),INDEX('Sprint N°8'!$C$9:$M$9,CS$4-Resumen_Sprints!$E$13),0)</f>
        <v>0</v>
      </c>
      <c r="CT49" s="23">
        <f t="array" ref="CT49">IF(AND(CT$4&gt;Resumen_Sprints!$E$13,CT$4&lt;=Resumen_Sprints!$E$13+Resumen_Sprints!$D$13),INDEX('Sprint N°8'!$C$9:$M$9,CT$4-Resumen_Sprints!$E$13),0)</f>
        <v>0</v>
      </c>
      <c r="CU49" s="25">
        <f t="shared" si="8"/>
        <v>11</v>
      </c>
    </row>
    <row r="50" ht="14.25" customHeight="1">
      <c r="A50" s="15" t="str">
        <f>'Sprint N°8'!A10</f>
        <v>Cierre de Proyecto</v>
      </c>
      <c r="B50" s="11">
        <f>'Sprint N°8'!B10</f>
        <v>6</v>
      </c>
      <c r="C50" s="29">
        <f t="array" ref="C50">IF(AND(C$4&gt;Resumen_Sprints!$E$13,C$4&lt;=Resumen_Sprints!$E$13+Resumen_Sprints!$D$13),INDEX('Sprint N°8'!$C$10:$M$10,C$4-Resumen_Sprints!$E$13),0)</f>
        <v>0</v>
      </c>
      <c r="D50" s="29">
        <f t="array" ref="D50">IF(AND(D$4&gt;Resumen_Sprints!$E$13,D$4&lt;=Resumen_Sprints!$E$13+Resumen_Sprints!$D$13),INDEX('Sprint N°8'!$C$10:$M$10,D$4-Resumen_Sprints!$E$13),0)</f>
        <v>0</v>
      </c>
      <c r="E50" s="29">
        <f t="array" ref="E50">IF(AND(E$4&gt;Resumen_Sprints!$E$13,E$4&lt;=Resumen_Sprints!$E$13+Resumen_Sprints!$D$13),INDEX('Sprint N°8'!$C$10:$M$10,E$4-Resumen_Sprints!$E$13),0)</f>
        <v>0</v>
      </c>
      <c r="F50" s="29">
        <f t="array" ref="F50">IF(AND(F$4&gt;Resumen_Sprints!$E$13,F$4&lt;=Resumen_Sprints!$E$13+Resumen_Sprints!$D$13),INDEX('Sprint N°8'!$C$10:$M$10,F$4-Resumen_Sprints!$E$13),0)</f>
        <v>0</v>
      </c>
      <c r="G50" s="29">
        <f t="array" ref="G50">IF(AND(G$4&gt;Resumen_Sprints!$E$13,G$4&lt;=Resumen_Sprints!$E$13+Resumen_Sprints!$D$13),INDEX('Sprint N°8'!$C$10:$M$10,G$4-Resumen_Sprints!$E$13),0)</f>
        <v>0</v>
      </c>
      <c r="H50" s="29">
        <f t="array" ref="H50">IF(AND(H$4&gt;Resumen_Sprints!$E$13,H$4&lt;=Resumen_Sprints!$E$13+Resumen_Sprints!$D$13),INDEX('Sprint N°8'!$C$10:$M$10,H$4-Resumen_Sprints!$E$13),0)</f>
        <v>0</v>
      </c>
      <c r="I50" s="29">
        <f t="array" ref="I50">IF(AND(I$4&gt;Resumen_Sprints!$E$13,I$4&lt;=Resumen_Sprints!$E$13+Resumen_Sprints!$D$13),INDEX('Sprint N°8'!$C$10:$M$10,I$4-Resumen_Sprints!$E$13),0)</f>
        <v>0</v>
      </c>
      <c r="J50" s="29">
        <f t="array" ref="J50">IF(AND(J$4&gt;Resumen_Sprints!$E$13,J$4&lt;=Resumen_Sprints!$E$13+Resumen_Sprints!$D$13),INDEX('Sprint N°8'!$C$10:$M$10,J$4-Resumen_Sprints!$E$13),0)</f>
        <v>0</v>
      </c>
      <c r="K50" s="29">
        <f t="array" ref="K50">IF(AND(K$4&gt;Resumen_Sprints!$E$13,K$4&lt;=Resumen_Sprints!$E$13+Resumen_Sprints!$D$13),INDEX('Sprint N°8'!$C$10:$M$10,K$4-Resumen_Sprints!$E$13),0)</f>
        <v>0</v>
      </c>
      <c r="L50" s="29">
        <f t="array" ref="L50">IF(AND(L$4&gt;Resumen_Sprints!$E$13,L$4&lt;=Resumen_Sprints!$E$13+Resumen_Sprints!$D$13),INDEX('Sprint N°8'!$C$10:$M$10,L$4-Resumen_Sprints!$E$13),0)</f>
        <v>0</v>
      </c>
      <c r="M50" s="29">
        <f t="array" ref="M50">IF(AND(M$4&gt;Resumen_Sprints!$E$13,M$4&lt;=Resumen_Sprints!$E$13+Resumen_Sprints!$D$13),INDEX('Sprint N°8'!$C$10:$M$10,M$4-Resumen_Sprints!$E$13),0)</f>
        <v>0</v>
      </c>
      <c r="N50" s="29">
        <f t="array" ref="N50">IF(AND(N$4&gt;Resumen_Sprints!$E$13,N$4&lt;=Resumen_Sprints!$E$13+Resumen_Sprints!$D$13),INDEX('Sprint N°8'!$C$10:$M$10,N$4-Resumen_Sprints!$E$13),0)</f>
        <v>0</v>
      </c>
      <c r="O50" s="29">
        <f t="array" ref="O50">IF(AND(O$4&gt;Resumen_Sprints!$E$13,O$4&lt;=Resumen_Sprints!$E$13+Resumen_Sprints!$D$13),INDEX('Sprint N°8'!$C$10:$M$10,O$4-Resumen_Sprints!$E$13),0)</f>
        <v>0</v>
      </c>
      <c r="P50" s="29">
        <f t="array" ref="P50">IF(AND(P$4&gt;Resumen_Sprints!$E$13,P$4&lt;=Resumen_Sprints!$E$13+Resumen_Sprints!$D$13),INDEX('Sprint N°8'!$C$10:$M$10,P$4-Resumen_Sprints!$E$13),0)</f>
        <v>0</v>
      </c>
      <c r="Q50" s="29">
        <f t="array" ref="Q50">IF(AND(Q$4&gt;Resumen_Sprints!$E$13,Q$4&lt;=Resumen_Sprints!$E$13+Resumen_Sprints!$D$13),INDEX('Sprint N°8'!$C$10:$M$10,Q$4-Resumen_Sprints!$E$13),0)</f>
        <v>0</v>
      </c>
      <c r="R50" s="29">
        <f t="array" ref="R50">IF(AND(R$4&gt;Resumen_Sprints!$E$13,R$4&lt;=Resumen_Sprints!$E$13+Resumen_Sprints!$D$13),INDEX('Sprint N°8'!$C$10:$M$10,R$4-Resumen_Sprints!$E$13),0)</f>
        <v>0</v>
      </c>
      <c r="S50" s="29">
        <f t="array" ref="S50">IF(AND(S$4&gt;Resumen_Sprints!$E$13,S$4&lt;=Resumen_Sprints!$E$13+Resumen_Sprints!$D$13),INDEX('Sprint N°8'!$C$10:$M$10,S$4-Resumen_Sprints!$E$13),0)</f>
        <v>0</v>
      </c>
      <c r="T50" s="29">
        <f t="array" ref="T50">IF(AND(T$4&gt;Resumen_Sprints!$E$13,T$4&lt;=Resumen_Sprints!$E$13+Resumen_Sprints!$D$13),INDEX('Sprint N°8'!$C$10:$M$10,T$4-Resumen_Sprints!$E$13),0)</f>
        <v>0</v>
      </c>
      <c r="U50" s="29">
        <f t="array" ref="U50">IF(AND(U$4&gt;Resumen_Sprints!$E$13,U$4&lt;=Resumen_Sprints!$E$13+Resumen_Sprints!$D$13),INDEX('Sprint N°8'!$C$10:$M$10,U$4-Resumen_Sprints!$E$13),0)</f>
        <v>0</v>
      </c>
      <c r="V50" s="29">
        <f t="array" ref="V50">IF(AND(V$4&gt;Resumen_Sprints!$E$13,V$4&lt;=Resumen_Sprints!$E$13+Resumen_Sprints!$D$13),INDEX('Sprint N°8'!$C$10:$M$10,V$4-Resumen_Sprints!$E$13),0)</f>
        <v>0</v>
      </c>
      <c r="W50" s="29">
        <f t="array" ref="W50">IF(AND(W$4&gt;Resumen_Sprints!$E$13,W$4&lt;=Resumen_Sprints!$E$13+Resumen_Sprints!$D$13),INDEX('Sprint N°8'!$C$10:$M$10,W$4-Resumen_Sprints!$E$13),0)</f>
        <v>0</v>
      </c>
      <c r="X50" s="29">
        <f t="array" ref="X50">IF(AND(X$4&gt;Resumen_Sprints!$E$13,X$4&lt;=Resumen_Sprints!$E$13+Resumen_Sprints!$D$13),INDEX('Sprint N°8'!$C$10:$M$10,X$4-Resumen_Sprints!$E$13),0)</f>
        <v>0</v>
      </c>
      <c r="Y50" s="29">
        <f t="array" ref="Y50">IF(AND(Y$4&gt;Resumen_Sprints!$E$13,Y$4&lt;=Resumen_Sprints!$E$13+Resumen_Sprints!$D$13),INDEX('Sprint N°8'!$C$10:$M$10,Y$4-Resumen_Sprints!$E$13),0)</f>
        <v>0</v>
      </c>
      <c r="Z50" s="29">
        <f t="array" ref="Z50">IF(AND(Z$4&gt;Resumen_Sprints!$E$13,Z$4&lt;=Resumen_Sprints!$E$13+Resumen_Sprints!$D$13),INDEX('Sprint N°8'!$C$10:$M$10,Z$4-Resumen_Sprints!$E$13),0)</f>
        <v>0</v>
      </c>
      <c r="AA50" s="29">
        <f t="array" ref="AA50">IF(AND(AA$4&gt;Resumen_Sprints!$E$13,AA$4&lt;=Resumen_Sprints!$E$13+Resumen_Sprints!$D$13),INDEX('Sprint N°8'!$C$10:$M$10,AA$4-Resumen_Sprints!$E$13),0)</f>
        <v>0</v>
      </c>
      <c r="AB50" s="29">
        <f t="array" ref="AB50">IF(AND(AB$4&gt;Resumen_Sprints!$E$13,AB$4&lt;=Resumen_Sprints!$E$13+Resumen_Sprints!$D$13),INDEX('Sprint N°8'!$C$10:$M$10,AB$4-Resumen_Sprints!$E$13),0)</f>
        <v>0</v>
      </c>
      <c r="AC50" s="29">
        <f t="array" ref="AC50">IF(AND(AC$4&gt;Resumen_Sprints!$E$13,AC$4&lt;=Resumen_Sprints!$E$13+Resumen_Sprints!$D$13),INDEX('Sprint N°8'!$C$10:$M$10,AC$4-Resumen_Sprints!$E$13),0)</f>
        <v>0</v>
      </c>
      <c r="AD50" s="29">
        <f t="array" ref="AD50">IF(AND(AD$4&gt;Resumen_Sprints!$E$13,AD$4&lt;=Resumen_Sprints!$E$13+Resumen_Sprints!$D$13),INDEX('Sprint N°8'!$C$10:$M$10,AD$4-Resumen_Sprints!$E$13),0)</f>
        <v>0</v>
      </c>
      <c r="AE50" s="29">
        <f t="array" ref="AE50">IF(AND(AE$4&gt;Resumen_Sprints!$E$13,AE$4&lt;=Resumen_Sprints!$E$13+Resumen_Sprints!$D$13),INDEX('Sprint N°8'!$C$10:$M$10,AE$4-Resumen_Sprints!$E$13),0)</f>
        <v>0</v>
      </c>
      <c r="AF50" s="29">
        <f t="array" ref="AF50">IF(AND(AF$4&gt;Resumen_Sprints!$E$13,AF$4&lt;=Resumen_Sprints!$E$13+Resumen_Sprints!$D$13),INDEX('Sprint N°8'!$C$10:$M$10,AF$4-Resumen_Sprints!$E$13),0)</f>
        <v>0</v>
      </c>
      <c r="AG50" s="29">
        <f t="array" ref="AG50">IF(AND(AG$4&gt;Resumen_Sprints!$E$13,AG$4&lt;=Resumen_Sprints!$E$13+Resumen_Sprints!$D$13),INDEX('Sprint N°8'!$C$10:$M$10,AG$4-Resumen_Sprints!$E$13),0)</f>
        <v>0</v>
      </c>
      <c r="AH50" s="29">
        <f t="array" ref="AH50">IF(AND(AH$4&gt;Resumen_Sprints!$E$13,AH$4&lt;=Resumen_Sprints!$E$13+Resumen_Sprints!$D$13),INDEX('Sprint N°8'!$C$10:$M$10,AH$4-Resumen_Sprints!$E$13),0)</f>
        <v>0</v>
      </c>
      <c r="AI50" s="29">
        <f t="array" ref="AI50">IF(AND(AI$4&gt;Resumen_Sprints!$E$13,AI$4&lt;=Resumen_Sprints!$E$13+Resumen_Sprints!$D$13),INDEX('Sprint N°8'!$C$10:$M$10,AI$4-Resumen_Sprints!$E$13),0)</f>
        <v>0</v>
      </c>
      <c r="AJ50" s="29">
        <f t="array" ref="AJ50">IF(AND(AJ$4&gt;Resumen_Sprints!$E$13,AJ$4&lt;=Resumen_Sprints!$E$13+Resumen_Sprints!$D$13),INDEX('Sprint N°8'!$C$10:$M$10,AJ$4-Resumen_Sprints!$E$13),0)</f>
        <v>0</v>
      </c>
      <c r="AK50" s="29">
        <f t="array" ref="AK50">IF(AND(AK$4&gt;Resumen_Sprints!$E$13,AK$4&lt;=Resumen_Sprints!$E$13+Resumen_Sprints!$D$13),INDEX('Sprint N°8'!$C$10:$M$10,AK$4-Resumen_Sprints!$E$13),0)</f>
        <v>0</v>
      </c>
      <c r="AL50" s="29">
        <f t="array" ref="AL50">IF(AND(AL$4&gt;Resumen_Sprints!$E$13,AL$4&lt;=Resumen_Sprints!$E$13+Resumen_Sprints!$D$13),INDEX('Sprint N°8'!$C$10:$M$10,AL$4-Resumen_Sprints!$E$13),0)</f>
        <v>0</v>
      </c>
      <c r="AM50" s="29">
        <f t="array" ref="AM50">IF(AND(AM$4&gt;Resumen_Sprints!$E$13,AM$4&lt;=Resumen_Sprints!$E$13+Resumen_Sprints!$D$13),INDEX('Sprint N°8'!$C$10:$M$10,AM$4-Resumen_Sprints!$E$13),0)</f>
        <v>0</v>
      </c>
      <c r="AN50" s="29">
        <f t="array" ref="AN50">IF(AND(AN$4&gt;Resumen_Sprints!$E$13,AN$4&lt;=Resumen_Sprints!$E$13+Resumen_Sprints!$D$13),INDEX('Sprint N°8'!$C$10:$M$10,AN$4-Resumen_Sprints!$E$13),0)</f>
        <v>0</v>
      </c>
      <c r="AO50" s="29">
        <f t="array" ref="AO50">IF(AND(AO$4&gt;Resumen_Sprints!$E$13,AO$4&lt;=Resumen_Sprints!$E$13+Resumen_Sprints!$D$13),INDEX('Sprint N°8'!$C$10:$M$10,AO$4-Resumen_Sprints!$E$13),0)</f>
        <v>0</v>
      </c>
      <c r="AP50" s="29">
        <f t="array" ref="AP50">IF(AND(AP$4&gt;Resumen_Sprints!$E$13,AP$4&lt;=Resumen_Sprints!$E$13+Resumen_Sprints!$D$13),INDEX('Sprint N°8'!$C$10:$M$10,AP$4-Resumen_Sprints!$E$13),0)</f>
        <v>0</v>
      </c>
      <c r="AQ50" s="29">
        <f t="array" ref="AQ50">IF(AND(AQ$4&gt;Resumen_Sprints!$E$13,AQ$4&lt;=Resumen_Sprints!$E$13+Resumen_Sprints!$D$13),INDEX('Sprint N°8'!$C$10:$M$10,AQ$4-Resumen_Sprints!$E$13),0)</f>
        <v>0</v>
      </c>
      <c r="AR50" s="29">
        <f t="array" ref="AR50">IF(AND(AR$4&gt;Resumen_Sprints!$E$13,AR$4&lt;=Resumen_Sprints!$E$13+Resumen_Sprints!$D$13),INDEX('Sprint N°8'!$C$10:$M$10,AR$4-Resumen_Sprints!$E$13),0)</f>
        <v>0</v>
      </c>
      <c r="AS50" s="29">
        <f t="array" ref="AS50">IF(AND(AS$4&gt;Resumen_Sprints!$E$13,AS$4&lt;=Resumen_Sprints!$E$13+Resumen_Sprints!$D$13),INDEX('Sprint N°8'!$C$10:$M$10,AS$4-Resumen_Sprints!$E$13),0)</f>
        <v>0</v>
      </c>
      <c r="AT50" s="29">
        <f t="array" ref="AT50">IF(AND(AT$4&gt;Resumen_Sprints!$E$13,AT$4&lt;=Resumen_Sprints!$E$13+Resumen_Sprints!$D$13),INDEX('Sprint N°8'!$C$10:$M$10,AT$4-Resumen_Sprints!$E$13),0)</f>
        <v>0</v>
      </c>
      <c r="AU50" s="29">
        <f t="array" ref="AU50">IF(AND(AU$4&gt;Resumen_Sprints!$E$13,AU$4&lt;=Resumen_Sprints!$E$13+Resumen_Sprints!$D$13),INDEX('Sprint N°8'!$C$10:$M$10,AU$4-Resumen_Sprints!$E$13),0)</f>
        <v>0</v>
      </c>
      <c r="AV50" s="29">
        <f t="array" ref="AV50">IF(AND(AV$4&gt;Resumen_Sprints!$E$13,AV$4&lt;=Resumen_Sprints!$E$13+Resumen_Sprints!$D$13),INDEX('Sprint N°8'!$C$10:$M$10,AV$4-Resumen_Sprints!$E$13),0)</f>
        <v>0</v>
      </c>
      <c r="AW50" s="29">
        <f t="array" ref="AW50">IF(AND(AW$4&gt;Resumen_Sprints!$E$13,AW$4&lt;=Resumen_Sprints!$E$13+Resumen_Sprints!$D$13),INDEX('Sprint N°8'!$C$10:$M$10,AW$4-Resumen_Sprints!$E$13),0)</f>
        <v>0</v>
      </c>
      <c r="AX50" s="29">
        <f t="array" ref="AX50">IF(AND(AX$4&gt;Resumen_Sprints!$E$13,AX$4&lt;=Resumen_Sprints!$E$13+Resumen_Sprints!$D$13),INDEX('Sprint N°8'!$C$10:$M$10,AX$4-Resumen_Sprints!$E$13),0)</f>
        <v>0</v>
      </c>
      <c r="AY50" s="29">
        <f t="array" ref="AY50">IF(AND(AY$4&gt;Resumen_Sprints!$E$13,AY$4&lt;=Resumen_Sprints!$E$13+Resumen_Sprints!$D$13),INDEX('Sprint N°8'!$C$10:$M$10,AY$4-Resumen_Sprints!$E$13),0)</f>
        <v>0</v>
      </c>
      <c r="AZ50" s="29">
        <f t="array" ref="AZ50">IF(AND(AZ$4&gt;Resumen_Sprints!$E$13,AZ$4&lt;=Resumen_Sprints!$E$13+Resumen_Sprints!$D$13),INDEX('Sprint N°8'!$C$10:$M$10,AZ$4-Resumen_Sprints!$E$13),0)</f>
        <v>0</v>
      </c>
      <c r="BA50" s="29">
        <f t="array" ref="BA50">IF(AND(BA$4&gt;Resumen_Sprints!$E$13,BA$4&lt;=Resumen_Sprints!$E$13+Resumen_Sprints!$D$13),INDEX('Sprint N°8'!$C$10:$M$10,BA$4-Resumen_Sprints!$E$13),0)</f>
        <v>0</v>
      </c>
      <c r="BB50" s="29">
        <f t="array" ref="BB50">IF(AND(BB$4&gt;Resumen_Sprints!$E$13,BB$4&lt;=Resumen_Sprints!$E$13+Resumen_Sprints!$D$13),INDEX('Sprint N°8'!$C$10:$M$10,BB$4-Resumen_Sprints!$E$13),0)</f>
        <v>0</v>
      </c>
      <c r="BC50" s="29">
        <f t="array" ref="BC50">IF(AND(BC$4&gt;Resumen_Sprints!$E$13,BC$4&lt;=Resumen_Sprints!$E$13+Resumen_Sprints!$D$13),INDEX('Sprint N°8'!$C$10:$M$10,BC$4-Resumen_Sprints!$E$13),0)</f>
        <v>0</v>
      </c>
      <c r="BD50" s="29">
        <f t="array" ref="BD50">IF(AND(BD$4&gt;Resumen_Sprints!$E$13,BD$4&lt;=Resumen_Sprints!$E$13+Resumen_Sprints!$D$13),INDEX('Sprint N°8'!$C$10:$M$10,BD$4-Resumen_Sprints!$E$13),0)</f>
        <v>0</v>
      </c>
      <c r="BE50" s="29">
        <f t="array" ref="BE50">IF(AND(BE$4&gt;Resumen_Sprints!$E$13,BE$4&lt;=Resumen_Sprints!$E$13+Resumen_Sprints!$D$13),INDEX('Sprint N°8'!$C$10:$M$10,BE$4-Resumen_Sprints!$E$13),0)</f>
        <v>0</v>
      </c>
      <c r="BF50" s="29">
        <f t="array" ref="BF50">IF(AND(BF$4&gt;Resumen_Sprints!$E$13,BF$4&lt;=Resumen_Sprints!$E$13+Resumen_Sprints!$D$13),INDEX('Sprint N°8'!$C$10:$M$10,BF$4-Resumen_Sprints!$E$13),0)</f>
        <v>0</v>
      </c>
      <c r="BG50" s="29">
        <f t="array" ref="BG50">IF(AND(BG$4&gt;Resumen_Sprints!$E$13,BG$4&lt;=Resumen_Sprints!$E$13+Resumen_Sprints!$D$13),INDEX('Sprint N°8'!$C$10:$M$10,BG$4-Resumen_Sprints!$E$13),0)</f>
        <v>0</v>
      </c>
      <c r="BH50" s="29">
        <f t="array" ref="BH50">IF(AND(BH$4&gt;Resumen_Sprints!$E$13,BH$4&lt;=Resumen_Sprints!$E$13+Resumen_Sprints!$D$13),INDEX('Sprint N°8'!$C$10:$M$10,BH$4-Resumen_Sprints!$E$13),0)</f>
        <v>0</v>
      </c>
      <c r="BI50" s="29">
        <f t="array" ref="BI50">IF(AND(BI$4&gt;Resumen_Sprints!$E$13,BI$4&lt;=Resumen_Sprints!$E$13+Resumen_Sprints!$D$13),INDEX('Sprint N°8'!$C$10:$M$10,BI$4-Resumen_Sprints!$E$13),0)</f>
        <v>0</v>
      </c>
      <c r="BJ50" s="29">
        <f t="array" ref="BJ50">IF(AND(BJ$4&gt;Resumen_Sprints!$E$13,BJ$4&lt;=Resumen_Sprints!$E$13+Resumen_Sprints!$D$13),INDEX('Sprint N°8'!$C$10:$M$10,BJ$4-Resumen_Sprints!$E$13),0)</f>
        <v>0</v>
      </c>
      <c r="BK50" s="29">
        <f t="array" ref="BK50">IF(AND(BK$4&gt;Resumen_Sprints!$E$13,BK$4&lt;=Resumen_Sprints!$E$13+Resumen_Sprints!$D$13),INDEX('Sprint N°8'!$C$10:$M$10,BK$4-Resumen_Sprints!$E$13),0)</f>
        <v>0</v>
      </c>
      <c r="BL50" s="29">
        <f t="array" ref="BL50">IF(AND(BL$4&gt;Resumen_Sprints!$E$13,BL$4&lt;=Resumen_Sprints!$E$13+Resumen_Sprints!$D$13),INDEX('Sprint N°8'!$C$10:$M$10,BL$4-Resumen_Sprints!$E$13),0)</f>
        <v>0</v>
      </c>
      <c r="BM50" s="29">
        <f t="array" ref="BM50">IF(AND(BM$4&gt;Resumen_Sprints!$E$13,BM$4&lt;=Resumen_Sprints!$E$13+Resumen_Sprints!$D$13),INDEX('Sprint N°8'!$C$10:$M$10,BM$4-Resumen_Sprints!$E$13),0)</f>
        <v>0</v>
      </c>
      <c r="BN50" s="29">
        <f t="array" ref="BN50">IF(AND(BN$4&gt;Resumen_Sprints!$E$13,BN$4&lt;=Resumen_Sprints!$E$13+Resumen_Sprints!$D$13),INDEX('Sprint N°8'!$C$10:$M$10,BN$4-Resumen_Sprints!$E$13),0)</f>
        <v>0</v>
      </c>
      <c r="BO50" s="29">
        <f t="array" ref="BO50">IF(AND(BO$4&gt;Resumen_Sprints!$E$13,BO$4&lt;=Resumen_Sprints!$E$13+Resumen_Sprints!$D$13),INDEX('Sprint N°8'!$C$10:$M$10,BO$4-Resumen_Sprints!$E$13),0)</f>
        <v>0</v>
      </c>
      <c r="BP50" s="29">
        <f t="array" ref="BP50">IF(AND(BP$4&gt;Resumen_Sprints!$E$13,BP$4&lt;=Resumen_Sprints!$E$13+Resumen_Sprints!$D$13),INDEX('Sprint N°8'!$C$10:$M$10,BP$4-Resumen_Sprints!$E$13),0)</f>
        <v>0</v>
      </c>
      <c r="BQ50" s="29">
        <f t="array" ref="BQ50">IF(AND(BQ$4&gt;Resumen_Sprints!$E$13,BQ$4&lt;=Resumen_Sprints!$E$13+Resumen_Sprints!$D$13),INDEX('Sprint N°8'!$C$10:$M$10,BQ$4-Resumen_Sprints!$E$13),0)</f>
        <v>0</v>
      </c>
      <c r="BR50" s="29">
        <f t="array" ref="BR50">IF(AND(BR$4&gt;Resumen_Sprints!$E$13,BR$4&lt;=Resumen_Sprints!$E$13+Resumen_Sprints!$D$13),INDEX('Sprint N°8'!$C$10:$M$10,BR$4-Resumen_Sprints!$E$13),0)</f>
        <v>0</v>
      </c>
      <c r="BS50" s="29">
        <f t="array" ref="BS50">IF(AND(BS$4&gt;Resumen_Sprints!$E$13,BS$4&lt;=Resumen_Sprints!$E$13+Resumen_Sprints!$D$13),INDEX('Sprint N°8'!$C$10:$M$10,BS$4-Resumen_Sprints!$E$13),0)</f>
        <v>0</v>
      </c>
      <c r="BT50" s="29">
        <f t="array" ref="BT50">IF(AND(BT$4&gt;Resumen_Sprints!$E$13,BT$4&lt;=Resumen_Sprints!$E$13+Resumen_Sprints!$D$13),INDEX('Sprint N°8'!$C$10:$M$10,BT$4-Resumen_Sprints!$E$13),0)</f>
        <v>0</v>
      </c>
      <c r="BU50" s="29">
        <f t="array" ref="BU50">IF(AND(BU$4&gt;Resumen_Sprints!$E$13,BU$4&lt;=Resumen_Sprints!$E$13+Resumen_Sprints!$D$13),INDEX('Sprint N°8'!$C$10:$M$10,BU$4-Resumen_Sprints!$E$13),0)</f>
        <v>0</v>
      </c>
      <c r="BV50" s="29">
        <f t="array" ref="BV50">IF(AND(BV$4&gt;Resumen_Sprints!$E$13,BV$4&lt;=Resumen_Sprints!$E$13+Resumen_Sprints!$D$13),INDEX('Sprint N°8'!$C$10:$M$10,BV$4-Resumen_Sprints!$E$13),0)</f>
        <v>0</v>
      </c>
      <c r="BW50" s="29">
        <f t="array" ref="BW50">IF(AND(BW$4&gt;Resumen_Sprints!$E$13,BW$4&lt;=Resumen_Sprints!$E$13+Resumen_Sprints!$D$13),INDEX('Sprint N°8'!$C$10:$M$10,BW$4-Resumen_Sprints!$E$13),0)</f>
        <v>0</v>
      </c>
      <c r="BX50" s="29">
        <f t="array" ref="BX50">IF(AND(BX$4&gt;Resumen_Sprints!$E$13,BX$4&lt;=Resumen_Sprints!$E$13+Resumen_Sprints!$D$13),INDEX('Sprint N°8'!$C$10:$M$10,BX$4-Resumen_Sprints!$E$13),0)</f>
        <v>0</v>
      </c>
      <c r="BY50" s="29">
        <f t="array" ref="BY50">IF(AND(BY$4&gt;Resumen_Sprints!$E$13,BY$4&lt;=Resumen_Sprints!$E$13+Resumen_Sprints!$D$13),INDEX('Sprint N°8'!$C$10:$M$10,BY$4-Resumen_Sprints!$E$13),0)</f>
        <v>0</v>
      </c>
      <c r="BZ50" s="29">
        <f t="array" ref="BZ50">IF(AND(BZ$4&gt;Resumen_Sprints!$E$13,BZ$4&lt;=Resumen_Sprints!$E$13+Resumen_Sprints!$D$13),INDEX('Sprint N°8'!$C$10:$M$10,BZ$4-Resumen_Sprints!$E$13),0)</f>
        <v>0</v>
      </c>
      <c r="CA50" s="29">
        <f t="array" ref="CA50">IF(AND(CA$4&gt;Resumen_Sprints!$E$13,CA$4&lt;=Resumen_Sprints!$E$13+Resumen_Sprints!$D$13),INDEX('Sprint N°8'!$C$10:$M$10,CA$4-Resumen_Sprints!$E$13),0)</f>
        <v>0</v>
      </c>
      <c r="CB50" s="29">
        <f t="array" ref="CB50">IF(AND(CB$4&gt;Resumen_Sprints!$E$13,CB$4&lt;=Resumen_Sprints!$E$13+Resumen_Sprints!$D$13),INDEX('Sprint N°8'!$C$10:$M$10,CB$4-Resumen_Sprints!$E$13),0)</f>
        <v>0</v>
      </c>
      <c r="CC50" s="29">
        <f t="array" ref="CC50">IF(AND(CC$4&gt;Resumen_Sprints!$E$13,CC$4&lt;=Resumen_Sprints!$E$13+Resumen_Sprints!$D$13),INDEX('Sprint N°8'!$C$10:$M$10,CC$4-Resumen_Sprints!$E$13),0)</f>
        <v>0</v>
      </c>
      <c r="CD50" s="29">
        <f t="array" ref="CD50">IF(AND(CD$4&gt;Resumen_Sprints!$E$13,CD$4&lt;=Resumen_Sprints!$E$13+Resumen_Sprints!$D$13),INDEX('Sprint N°8'!$C$10:$M$10,CD$4-Resumen_Sprints!$E$13),0)</f>
        <v>0</v>
      </c>
      <c r="CE50" s="29">
        <f t="array" ref="CE50">IF(AND(CE$4&gt;Resumen_Sprints!$E$13,CE$4&lt;=Resumen_Sprints!$E$13+Resumen_Sprints!$D$13),INDEX('Sprint N°8'!$C$10:$M$10,CE$4-Resumen_Sprints!$E$13),0)</f>
        <v>0</v>
      </c>
      <c r="CF50" s="29">
        <f t="array" ref="CF50">IF(AND(CF$4&gt;Resumen_Sprints!$E$13,CF$4&lt;=Resumen_Sprints!$E$13+Resumen_Sprints!$D$13),INDEX('Sprint N°8'!$C$10:$M$10,CF$4-Resumen_Sprints!$E$13),0)</f>
        <v>0</v>
      </c>
      <c r="CG50" s="29">
        <f t="array" ref="CG50">IF(AND(CG$4&gt;Resumen_Sprints!$E$13,CG$4&lt;=Resumen_Sprints!$E$13+Resumen_Sprints!$D$13),INDEX('Sprint N°8'!$C$10:$M$10,CG$4-Resumen_Sprints!$E$13),0)</f>
        <v>0</v>
      </c>
      <c r="CH50" s="29" t="str">
        <f t="array" ref="CH50">IF(AND(CH$4&gt;Resumen_Sprints!$E$13,CH$4&lt;=Resumen_Sprints!$E$13+Resumen_Sprints!$D$13),INDEX('Sprint N°8'!$C$10:$M$10,CH$4-Resumen_Sprints!$E$13),0)</f>
        <v/>
      </c>
      <c r="CI50" s="29" t="str">
        <f t="array" ref="CI50">IF(AND(CI$4&gt;Resumen_Sprints!$E$13,CI$4&lt;=Resumen_Sprints!$E$13+Resumen_Sprints!$D$13),INDEX('Sprint N°8'!$C$10:$M$10,CI$4-Resumen_Sprints!$E$13),0)</f>
        <v/>
      </c>
      <c r="CJ50" s="29" t="str">
        <f t="array" ref="CJ50">IF(AND(CJ$4&gt;Resumen_Sprints!$E$13,CJ$4&lt;=Resumen_Sprints!$E$13+Resumen_Sprints!$D$13),INDEX('Sprint N°8'!$C$10:$M$10,CJ$4-Resumen_Sprints!$E$13),0)</f>
        <v/>
      </c>
      <c r="CK50" s="29" t="str">
        <f t="array" ref="CK50">IF(AND(CK$4&gt;Resumen_Sprints!$E$13,CK$4&lt;=Resumen_Sprints!$E$13+Resumen_Sprints!$D$13),INDEX('Sprint N°8'!$C$10:$M$10,CK$4-Resumen_Sprints!$E$13),0)</f>
        <v/>
      </c>
      <c r="CL50" s="29" t="str">
        <f t="array" ref="CL50">IF(AND(CL$4&gt;Resumen_Sprints!$E$13,CL$4&lt;=Resumen_Sprints!$E$13+Resumen_Sprints!$D$13),INDEX('Sprint N°8'!$C$10:$M$10,CL$4-Resumen_Sprints!$E$13),0)</f>
        <v/>
      </c>
      <c r="CM50" s="29" t="str">
        <f t="array" ref="CM50">IF(AND(CM$4&gt;Resumen_Sprints!$E$13,CM$4&lt;=Resumen_Sprints!$E$13+Resumen_Sprints!$D$13),INDEX('Sprint N°8'!$C$10:$M$10,CM$4-Resumen_Sprints!$E$13),0)</f>
        <v/>
      </c>
      <c r="CN50" s="29" t="str">
        <f t="array" ref="CN50">IF(AND(CN$4&gt;Resumen_Sprints!$E$13,CN$4&lt;=Resumen_Sprints!$E$13+Resumen_Sprints!$D$13),INDEX('Sprint N°8'!$C$10:$M$10,CN$4-Resumen_Sprints!$E$13),0)</f>
        <v/>
      </c>
      <c r="CO50" s="29" t="str">
        <f t="array" ref="CO50">IF(AND(CO$4&gt;Resumen_Sprints!$E$13,CO$4&lt;=Resumen_Sprints!$E$13+Resumen_Sprints!$D$13),INDEX('Sprint N°8'!$C$10:$M$10,CO$4-Resumen_Sprints!$E$13),0)</f>
        <v/>
      </c>
      <c r="CP50" s="29" t="str">
        <f t="array" ref="CP50">IF(AND(CP$4&gt;Resumen_Sprints!$E$13,CP$4&lt;=Resumen_Sprints!$E$13+Resumen_Sprints!$D$13),INDEX('Sprint N°8'!$C$10:$M$10,CP$4-Resumen_Sprints!$E$13),0)</f>
        <v/>
      </c>
      <c r="CQ50" s="29">
        <f t="array" ref="CQ50">IF(AND(CQ$4&gt;Resumen_Sprints!$E$13,CQ$4&lt;=Resumen_Sprints!$E$13+Resumen_Sprints!$D$13),INDEX('Sprint N°8'!$C$10:$M$10,CQ$4-Resumen_Sprints!$E$13),0)</f>
        <v>1</v>
      </c>
      <c r="CR50" s="29">
        <f t="array" ref="CR50">IF(AND(CR$4&gt;Resumen_Sprints!$E$13,CR$4&lt;=Resumen_Sprints!$E$13+Resumen_Sprints!$D$13),INDEX('Sprint N°8'!$C$10:$M$10,CR$4-Resumen_Sprints!$E$13),0)</f>
        <v>11</v>
      </c>
      <c r="CS50" s="29">
        <f t="array" ref="CS50">IF(AND(CS$4&gt;Resumen_Sprints!$E$13,CS$4&lt;=Resumen_Sprints!$E$13+Resumen_Sprints!$D$13),INDEX('Sprint N°8'!$C$10:$M$10,CS$4-Resumen_Sprints!$E$13),0)</f>
        <v>0</v>
      </c>
      <c r="CT50" s="29">
        <f t="array" ref="CT50">IF(AND(CT$4&gt;Resumen_Sprints!$E$13,CT$4&lt;=Resumen_Sprints!$E$13+Resumen_Sprints!$D$13),INDEX('Sprint N°8'!$C$10:$M$10,CT$4-Resumen_Sprints!$E$13),0)</f>
        <v>0</v>
      </c>
      <c r="CU50" s="25">
        <f t="shared" si="8"/>
        <v>12</v>
      </c>
    </row>
    <row r="51" ht="14.25" customHeight="1"/>
    <row r="52" ht="14.25" customHeight="1"/>
    <row r="53" ht="14.25" customHeight="1">
      <c r="A53" s="2" t="s">
        <v>56</v>
      </c>
      <c r="B53" s="18">
        <v>0.0</v>
      </c>
      <c r="C53" s="18">
        <f t="shared" ref="C53:CT53" si="9">C$4</f>
        <v>1</v>
      </c>
      <c r="D53" s="18">
        <f t="shared" si="9"/>
        <v>2</v>
      </c>
      <c r="E53" s="18">
        <f t="shared" si="9"/>
        <v>3</v>
      </c>
      <c r="F53" s="18">
        <f t="shared" si="9"/>
        <v>4</v>
      </c>
      <c r="G53" s="18">
        <f t="shared" si="9"/>
        <v>5</v>
      </c>
      <c r="H53" s="18">
        <f t="shared" si="9"/>
        <v>6</v>
      </c>
      <c r="I53" s="18">
        <f t="shared" si="9"/>
        <v>7</v>
      </c>
      <c r="J53" s="18">
        <f t="shared" si="9"/>
        <v>8</v>
      </c>
      <c r="K53" s="18">
        <f t="shared" si="9"/>
        <v>9</v>
      </c>
      <c r="L53" s="18">
        <f t="shared" si="9"/>
        <v>10</v>
      </c>
      <c r="M53" s="18">
        <f t="shared" si="9"/>
        <v>11</v>
      </c>
      <c r="N53" s="18">
        <f t="shared" si="9"/>
        <v>12</v>
      </c>
      <c r="O53" s="18">
        <f t="shared" si="9"/>
        <v>13</v>
      </c>
      <c r="P53" s="18">
        <f t="shared" si="9"/>
        <v>14</v>
      </c>
      <c r="Q53" s="18">
        <f t="shared" si="9"/>
        <v>15</v>
      </c>
      <c r="R53" s="18">
        <f t="shared" si="9"/>
        <v>16</v>
      </c>
      <c r="S53" s="18">
        <f t="shared" si="9"/>
        <v>17</v>
      </c>
      <c r="T53" s="18">
        <f t="shared" si="9"/>
        <v>18</v>
      </c>
      <c r="U53" s="18">
        <f t="shared" si="9"/>
        <v>19</v>
      </c>
      <c r="V53" s="18">
        <f t="shared" si="9"/>
        <v>20</v>
      </c>
      <c r="W53" s="18">
        <f t="shared" si="9"/>
        <v>21</v>
      </c>
      <c r="X53" s="18">
        <f t="shared" si="9"/>
        <v>22</v>
      </c>
      <c r="Y53" s="18">
        <f t="shared" si="9"/>
        <v>23</v>
      </c>
      <c r="Z53" s="18">
        <f t="shared" si="9"/>
        <v>24</v>
      </c>
      <c r="AA53" s="18">
        <f t="shared" si="9"/>
        <v>25</v>
      </c>
      <c r="AB53" s="18">
        <f t="shared" si="9"/>
        <v>26</v>
      </c>
      <c r="AC53" s="18">
        <f t="shared" si="9"/>
        <v>27</v>
      </c>
      <c r="AD53" s="18">
        <f t="shared" si="9"/>
        <v>28</v>
      </c>
      <c r="AE53" s="18">
        <f t="shared" si="9"/>
        <v>29</v>
      </c>
      <c r="AF53" s="18">
        <f t="shared" si="9"/>
        <v>30</v>
      </c>
      <c r="AG53" s="18">
        <f t="shared" si="9"/>
        <v>31</v>
      </c>
      <c r="AH53" s="18">
        <f t="shared" si="9"/>
        <v>32</v>
      </c>
      <c r="AI53" s="18">
        <f t="shared" si="9"/>
        <v>33</v>
      </c>
      <c r="AJ53" s="18">
        <f t="shared" si="9"/>
        <v>34</v>
      </c>
      <c r="AK53" s="18">
        <f t="shared" si="9"/>
        <v>35</v>
      </c>
      <c r="AL53" s="18">
        <f t="shared" si="9"/>
        <v>36</v>
      </c>
      <c r="AM53" s="18">
        <f t="shared" si="9"/>
        <v>37</v>
      </c>
      <c r="AN53" s="18">
        <f t="shared" si="9"/>
        <v>38</v>
      </c>
      <c r="AO53" s="18">
        <f t="shared" si="9"/>
        <v>39</v>
      </c>
      <c r="AP53" s="18">
        <f t="shared" si="9"/>
        <v>40</v>
      </c>
      <c r="AQ53" s="18">
        <f t="shared" si="9"/>
        <v>41</v>
      </c>
      <c r="AR53" s="18">
        <f t="shared" si="9"/>
        <v>42</v>
      </c>
      <c r="AS53" s="18">
        <f t="shared" si="9"/>
        <v>43</v>
      </c>
      <c r="AT53" s="18">
        <f t="shared" si="9"/>
        <v>44</v>
      </c>
      <c r="AU53" s="18">
        <f t="shared" si="9"/>
        <v>45</v>
      </c>
      <c r="AV53" s="18">
        <f t="shared" si="9"/>
        <v>46</v>
      </c>
      <c r="AW53" s="18">
        <f t="shared" si="9"/>
        <v>47</v>
      </c>
      <c r="AX53" s="18">
        <f t="shared" si="9"/>
        <v>48</v>
      </c>
      <c r="AY53" s="18">
        <f t="shared" si="9"/>
        <v>49</v>
      </c>
      <c r="AZ53" s="18">
        <f t="shared" si="9"/>
        <v>50</v>
      </c>
      <c r="BA53" s="18">
        <f t="shared" si="9"/>
        <v>51</v>
      </c>
      <c r="BB53" s="18">
        <f t="shared" si="9"/>
        <v>52</v>
      </c>
      <c r="BC53" s="18">
        <f t="shared" si="9"/>
        <v>53</v>
      </c>
      <c r="BD53" s="18">
        <f t="shared" si="9"/>
        <v>54</v>
      </c>
      <c r="BE53" s="18">
        <f t="shared" si="9"/>
        <v>55</v>
      </c>
      <c r="BF53" s="18">
        <f t="shared" si="9"/>
        <v>56</v>
      </c>
      <c r="BG53" s="18">
        <f t="shared" si="9"/>
        <v>57</v>
      </c>
      <c r="BH53" s="18">
        <f t="shared" si="9"/>
        <v>58</v>
      </c>
      <c r="BI53" s="18">
        <f t="shared" si="9"/>
        <v>59</v>
      </c>
      <c r="BJ53" s="18">
        <f t="shared" si="9"/>
        <v>60</v>
      </c>
      <c r="BK53" s="18">
        <f t="shared" si="9"/>
        <v>61</v>
      </c>
      <c r="BL53" s="18">
        <f t="shared" si="9"/>
        <v>62</v>
      </c>
      <c r="BM53" s="18">
        <f t="shared" si="9"/>
        <v>63</v>
      </c>
      <c r="BN53" s="18">
        <f t="shared" si="9"/>
        <v>64</v>
      </c>
      <c r="BO53" s="18">
        <f t="shared" si="9"/>
        <v>65</v>
      </c>
      <c r="BP53" s="18">
        <f t="shared" si="9"/>
        <v>66</v>
      </c>
      <c r="BQ53" s="18">
        <f t="shared" si="9"/>
        <v>67</v>
      </c>
      <c r="BR53" s="18">
        <f t="shared" si="9"/>
        <v>68</v>
      </c>
      <c r="BS53" s="18">
        <f t="shared" si="9"/>
        <v>69</v>
      </c>
      <c r="BT53" s="18">
        <f t="shared" si="9"/>
        <v>70</v>
      </c>
      <c r="BU53" s="18">
        <f t="shared" si="9"/>
        <v>71</v>
      </c>
      <c r="BV53" s="18">
        <f t="shared" si="9"/>
        <v>72</v>
      </c>
      <c r="BW53" s="18">
        <f t="shared" si="9"/>
        <v>73</v>
      </c>
      <c r="BX53" s="18">
        <f t="shared" si="9"/>
        <v>74</v>
      </c>
      <c r="BY53" s="18">
        <f t="shared" si="9"/>
        <v>75</v>
      </c>
      <c r="BZ53" s="18">
        <f t="shared" si="9"/>
        <v>76</v>
      </c>
      <c r="CA53" s="18">
        <f t="shared" si="9"/>
        <v>77</v>
      </c>
      <c r="CB53" s="18">
        <f t="shared" si="9"/>
        <v>78</v>
      </c>
      <c r="CC53" s="18">
        <f t="shared" si="9"/>
        <v>79</v>
      </c>
      <c r="CD53" s="18">
        <f t="shared" si="9"/>
        <v>80</v>
      </c>
      <c r="CE53" s="18">
        <f t="shared" si="9"/>
        <v>81</v>
      </c>
      <c r="CF53" s="18">
        <f t="shared" si="9"/>
        <v>82</v>
      </c>
      <c r="CG53" s="18">
        <f t="shared" si="9"/>
        <v>83</v>
      </c>
      <c r="CH53" s="18">
        <f t="shared" si="9"/>
        <v>84</v>
      </c>
      <c r="CI53" s="18">
        <f t="shared" si="9"/>
        <v>85</v>
      </c>
      <c r="CJ53" s="18">
        <f t="shared" si="9"/>
        <v>86</v>
      </c>
      <c r="CK53" s="18">
        <f t="shared" si="9"/>
        <v>87</v>
      </c>
      <c r="CL53" s="18">
        <f t="shared" si="9"/>
        <v>88</v>
      </c>
      <c r="CM53" s="18">
        <f t="shared" si="9"/>
        <v>89</v>
      </c>
      <c r="CN53" s="18">
        <f t="shared" si="9"/>
        <v>90</v>
      </c>
      <c r="CO53" s="18">
        <f t="shared" si="9"/>
        <v>91</v>
      </c>
      <c r="CP53" s="18">
        <f t="shared" si="9"/>
        <v>92</v>
      </c>
      <c r="CQ53" s="18">
        <f t="shared" si="9"/>
        <v>93</v>
      </c>
      <c r="CR53" s="18">
        <f t="shared" si="9"/>
        <v>94</v>
      </c>
      <c r="CS53" s="18">
        <f t="shared" si="9"/>
        <v>95</v>
      </c>
      <c r="CT53" s="18">
        <f t="shared" si="9"/>
        <v>96</v>
      </c>
    </row>
    <row r="54" ht="14.25" customHeight="1">
      <c r="A54" s="19" t="s">
        <v>11</v>
      </c>
      <c r="B54" s="20">
        <f>B5+B11+B18+B23+B28+B33+B39+B45</f>
        <v>711</v>
      </c>
      <c r="C54" s="20">
        <f t="shared" ref="C54:CT54" si="10">B54-SUM(C5:C50)</f>
        <v>704</v>
      </c>
      <c r="D54" s="20">
        <f t="shared" si="10"/>
        <v>698</v>
      </c>
      <c r="E54" s="20">
        <f t="shared" si="10"/>
        <v>691</v>
      </c>
      <c r="F54" s="20">
        <f t="shared" si="10"/>
        <v>686</v>
      </c>
      <c r="G54" s="20">
        <f t="shared" si="10"/>
        <v>679</v>
      </c>
      <c r="H54" s="20">
        <f t="shared" si="10"/>
        <v>673</v>
      </c>
      <c r="I54" s="20">
        <f t="shared" si="10"/>
        <v>668</v>
      </c>
      <c r="J54" s="20">
        <f t="shared" si="10"/>
        <v>661</v>
      </c>
      <c r="K54" s="20">
        <f t="shared" si="10"/>
        <v>655</v>
      </c>
      <c r="L54" s="20">
        <f t="shared" si="10"/>
        <v>648</v>
      </c>
      <c r="M54" s="20">
        <f t="shared" si="10"/>
        <v>641</v>
      </c>
      <c r="N54" s="20">
        <f t="shared" si="10"/>
        <v>631</v>
      </c>
      <c r="O54" s="20">
        <f t="shared" si="10"/>
        <v>625</v>
      </c>
      <c r="P54" s="20">
        <f t="shared" si="10"/>
        <v>618</v>
      </c>
      <c r="Q54" s="20">
        <f t="shared" si="10"/>
        <v>610</v>
      </c>
      <c r="R54" s="20">
        <f t="shared" si="10"/>
        <v>600</v>
      </c>
      <c r="S54" s="20">
        <f t="shared" si="10"/>
        <v>592</v>
      </c>
      <c r="T54" s="20">
        <f t="shared" si="10"/>
        <v>585</v>
      </c>
      <c r="U54" s="20">
        <f t="shared" si="10"/>
        <v>575</v>
      </c>
      <c r="V54" s="20">
        <f t="shared" si="10"/>
        <v>570</v>
      </c>
      <c r="W54" s="20">
        <f t="shared" si="10"/>
        <v>564</v>
      </c>
      <c r="X54" s="20">
        <f t="shared" si="10"/>
        <v>559</v>
      </c>
      <c r="Y54" s="20">
        <f t="shared" si="10"/>
        <v>552</v>
      </c>
      <c r="Z54" s="20">
        <f t="shared" si="10"/>
        <v>544</v>
      </c>
      <c r="AA54" s="20">
        <f t="shared" si="10"/>
        <v>538</v>
      </c>
      <c r="AB54" s="20">
        <f t="shared" si="10"/>
        <v>530</v>
      </c>
      <c r="AC54" s="20">
        <f t="shared" si="10"/>
        <v>523</v>
      </c>
      <c r="AD54" s="20">
        <f t="shared" si="10"/>
        <v>518</v>
      </c>
      <c r="AE54" s="20">
        <f t="shared" si="10"/>
        <v>513</v>
      </c>
      <c r="AF54" s="20">
        <f t="shared" si="10"/>
        <v>508</v>
      </c>
      <c r="AG54" s="20">
        <f t="shared" si="10"/>
        <v>501</v>
      </c>
      <c r="AH54" s="20">
        <f t="shared" si="10"/>
        <v>495</v>
      </c>
      <c r="AI54" s="20">
        <f t="shared" si="10"/>
        <v>488</v>
      </c>
      <c r="AJ54" s="20">
        <f t="shared" si="10"/>
        <v>481</v>
      </c>
      <c r="AK54" s="20">
        <f t="shared" si="10"/>
        <v>474</v>
      </c>
      <c r="AL54" s="20">
        <f t="shared" si="10"/>
        <v>468</v>
      </c>
      <c r="AM54" s="20">
        <f t="shared" si="10"/>
        <v>460</v>
      </c>
      <c r="AN54" s="20">
        <f t="shared" si="10"/>
        <v>453</v>
      </c>
      <c r="AO54" s="20">
        <f t="shared" si="10"/>
        <v>446</v>
      </c>
      <c r="AP54" s="20">
        <f t="shared" si="10"/>
        <v>439</v>
      </c>
      <c r="AQ54" s="20">
        <f t="shared" si="10"/>
        <v>432</v>
      </c>
      <c r="AR54" s="20">
        <f t="shared" si="10"/>
        <v>427</v>
      </c>
      <c r="AS54" s="20">
        <f t="shared" si="10"/>
        <v>419</v>
      </c>
      <c r="AT54" s="20">
        <f t="shared" si="10"/>
        <v>414</v>
      </c>
      <c r="AU54" s="20">
        <f t="shared" si="10"/>
        <v>408</v>
      </c>
      <c r="AV54" s="20">
        <f t="shared" si="10"/>
        <v>401</v>
      </c>
      <c r="AW54" s="20">
        <f t="shared" si="10"/>
        <v>396</v>
      </c>
      <c r="AX54" s="20">
        <f t="shared" si="10"/>
        <v>390</v>
      </c>
      <c r="AY54" s="20">
        <f t="shared" si="10"/>
        <v>386</v>
      </c>
      <c r="AZ54" s="20">
        <f t="shared" si="10"/>
        <v>379</v>
      </c>
      <c r="BA54" s="20">
        <f t="shared" si="10"/>
        <v>372</v>
      </c>
      <c r="BB54" s="20">
        <f t="shared" si="10"/>
        <v>366</v>
      </c>
      <c r="BC54" s="20">
        <f t="shared" si="10"/>
        <v>359</v>
      </c>
      <c r="BD54" s="20">
        <f t="shared" si="10"/>
        <v>354</v>
      </c>
      <c r="BE54" s="20">
        <f t="shared" si="10"/>
        <v>347</v>
      </c>
      <c r="BF54" s="20">
        <f t="shared" si="10"/>
        <v>341</v>
      </c>
      <c r="BG54" s="20">
        <f t="shared" si="10"/>
        <v>335</v>
      </c>
      <c r="BH54" s="20">
        <f t="shared" si="10"/>
        <v>325</v>
      </c>
      <c r="BI54" s="20">
        <f t="shared" si="10"/>
        <v>312</v>
      </c>
      <c r="BJ54" s="20">
        <f t="shared" si="10"/>
        <v>299</v>
      </c>
      <c r="BK54" s="20">
        <f t="shared" si="10"/>
        <v>288</v>
      </c>
      <c r="BL54" s="20">
        <f t="shared" si="10"/>
        <v>276</v>
      </c>
      <c r="BM54" s="20">
        <f t="shared" si="10"/>
        <v>270</v>
      </c>
      <c r="BN54" s="20">
        <f t="shared" si="10"/>
        <v>257</v>
      </c>
      <c r="BO54" s="20">
        <f t="shared" si="10"/>
        <v>246</v>
      </c>
      <c r="BP54" s="20">
        <f t="shared" si="10"/>
        <v>231</v>
      </c>
      <c r="BQ54" s="20">
        <f t="shared" si="10"/>
        <v>219</v>
      </c>
      <c r="BR54" s="20">
        <f t="shared" si="10"/>
        <v>210</v>
      </c>
      <c r="BS54" s="20">
        <f t="shared" si="10"/>
        <v>200</v>
      </c>
      <c r="BT54" s="20">
        <f t="shared" si="10"/>
        <v>192</v>
      </c>
      <c r="BU54" s="20">
        <f t="shared" si="10"/>
        <v>185</v>
      </c>
      <c r="BV54" s="20">
        <f t="shared" si="10"/>
        <v>178</v>
      </c>
      <c r="BW54" s="20">
        <f t="shared" si="10"/>
        <v>168</v>
      </c>
      <c r="BX54" s="20">
        <f t="shared" si="10"/>
        <v>160</v>
      </c>
      <c r="BY54" s="20">
        <f t="shared" si="10"/>
        <v>149</v>
      </c>
      <c r="BZ54" s="20">
        <f t="shared" si="10"/>
        <v>140</v>
      </c>
      <c r="CA54" s="20">
        <f t="shared" si="10"/>
        <v>133</v>
      </c>
      <c r="CB54" s="20">
        <f t="shared" si="10"/>
        <v>125</v>
      </c>
      <c r="CC54" s="20">
        <f t="shared" si="10"/>
        <v>118</v>
      </c>
      <c r="CD54" s="20">
        <f t="shared" si="10"/>
        <v>111</v>
      </c>
      <c r="CE54" s="20">
        <f t="shared" si="10"/>
        <v>103</v>
      </c>
      <c r="CF54" s="20">
        <f t="shared" si="10"/>
        <v>95</v>
      </c>
      <c r="CG54" s="20">
        <f t="shared" si="10"/>
        <v>86</v>
      </c>
      <c r="CH54" s="20">
        <f t="shared" si="10"/>
        <v>79</v>
      </c>
      <c r="CI54" s="20">
        <f t="shared" si="10"/>
        <v>73</v>
      </c>
      <c r="CJ54" s="20">
        <f t="shared" si="10"/>
        <v>65</v>
      </c>
      <c r="CK54" s="20">
        <f t="shared" si="10"/>
        <v>58</v>
      </c>
      <c r="CL54" s="20">
        <f t="shared" si="10"/>
        <v>50</v>
      </c>
      <c r="CM54" s="20">
        <f t="shared" si="10"/>
        <v>42</v>
      </c>
      <c r="CN54" s="20">
        <f t="shared" si="10"/>
        <v>34</v>
      </c>
      <c r="CO54" s="20">
        <f t="shared" si="10"/>
        <v>28</v>
      </c>
      <c r="CP54" s="20">
        <f t="shared" si="10"/>
        <v>19</v>
      </c>
      <c r="CQ54" s="20">
        <f t="shared" si="10"/>
        <v>11</v>
      </c>
      <c r="CR54" s="20">
        <f t="shared" si="10"/>
        <v>0</v>
      </c>
      <c r="CS54" s="20">
        <f t="shared" si="10"/>
        <v>0</v>
      </c>
      <c r="CT54" s="20">
        <f t="shared" si="10"/>
        <v>0</v>
      </c>
    </row>
    <row r="55" ht="14.25" customHeight="1"/>
    <row r="56" ht="14.25" customHeight="1">
      <c r="A56" s="19" t="s">
        <v>57</v>
      </c>
      <c r="B56" s="20">
        <f>B54</f>
        <v>711</v>
      </c>
      <c r="C56" s="20">
        <f t="shared" ref="C56:CT56" si="11">$B$56*(1-C$4/COUNT($C$4:$CT$4))</f>
        <v>703.59375</v>
      </c>
      <c r="D56" s="20">
        <f t="shared" si="11"/>
        <v>696.1875</v>
      </c>
      <c r="E56" s="20">
        <f t="shared" si="11"/>
        <v>688.78125</v>
      </c>
      <c r="F56" s="20">
        <f t="shared" si="11"/>
        <v>681.375</v>
      </c>
      <c r="G56" s="20">
        <f t="shared" si="11"/>
        <v>673.96875</v>
      </c>
      <c r="H56" s="20">
        <f t="shared" si="11"/>
        <v>666.5625</v>
      </c>
      <c r="I56" s="20">
        <f t="shared" si="11"/>
        <v>659.15625</v>
      </c>
      <c r="J56" s="20">
        <f t="shared" si="11"/>
        <v>651.75</v>
      </c>
      <c r="K56" s="20">
        <f t="shared" si="11"/>
        <v>644.34375</v>
      </c>
      <c r="L56" s="20">
        <f t="shared" si="11"/>
        <v>636.9375</v>
      </c>
      <c r="M56" s="20">
        <f t="shared" si="11"/>
        <v>629.53125</v>
      </c>
      <c r="N56" s="20">
        <f t="shared" si="11"/>
        <v>622.125</v>
      </c>
      <c r="O56" s="20">
        <f t="shared" si="11"/>
        <v>614.71875</v>
      </c>
      <c r="P56" s="20">
        <f t="shared" si="11"/>
        <v>607.3125</v>
      </c>
      <c r="Q56" s="20">
        <f t="shared" si="11"/>
        <v>599.90625</v>
      </c>
      <c r="R56" s="20">
        <f t="shared" si="11"/>
        <v>592.5</v>
      </c>
      <c r="S56" s="20">
        <f t="shared" si="11"/>
        <v>585.09375</v>
      </c>
      <c r="T56" s="20">
        <f t="shared" si="11"/>
        <v>577.6875</v>
      </c>
      <c r="U56" s="20">
        <f t="shared" si="11"/>
        <v>570.28125</v>
      </c>
      <c r="V56" s="20">
        <f t="shared" si="11"/>
        <v>562.875</v>
      </c>
      <c r="W56" s="20">
        <f t="shared" si="11"/>
        <v>555.46875</v>
      </c>
      <c r="X56" s="20">
        <f t="shared" si="11"/>
        <v>548.0625</v>
      </c>
      <c r="Y56" s="20">
        <f t="shared" si="11"/>
        <v>540.65625</v>
      </c>
      <c r="Z56" s="20">
        <f t="shared" si="11"/>
        <v>533.25</v>
      </c>
      <c r="AA56" s="20">
        <f t="shared" si="11"/>
        <v>525.84375</v>
      </c>
      <c r="AB56" s="20">
        <f t="shared" si="11"/>
        <v>518.4375</v>
      </c>
      <c r="AC56" s="20">
        <f t="shared" si="11"/>
        <v>511.03125</v>
      </c>
      <c r="AD56" s="20">
        <f t="shared" si="11"/>
        <v>503.625</v>
      </c>
      <c r="AE56" s="20">
        <f t="shared" si="11"/>
        <v>496.21875</v>
      </c>
      <c r="AF56" s="20">
        <f t="shared" si="11"/>
        <v>488.8125</v>
      </c>
      <c r="AG56" s="20">
        <f t="shared" si="11"/>
        <v>481.40625</v>
      </c>
      <c r="AH56" s="20">
        <f t="shared" si="11"/>
        <v>474</v>
      </c>
      <c r="AI56" s="20">
        <f t="shared" si="11"/>
        <v>466.59375</v>
      </c>
      <c r="AJ56" s="20">
        <f t="shared" si="11"/>
        <v>459.1875</v>
      </c>
      <c r="AK56" s="20">
        <f t="shared" si="11"/>
        <v>451.78125</v>
      </c>
      <c r="AL56" s="20">
        <f t="shared" si="11"/>
        <v>444.375</v>
      </c>
      <c r="AM56" s="20">
        <f t="shared" si="11"/>
        <v>436.96875</v>
      </c>
      <c r="AN56" s="20">
        <f t="shared" si="11"/>
        <v>429.5625</v>
      </c>
      <c r="AO56" s="20">
        <f t="shared" si="11"/>
        <v>422.15625</v>
      </c>
      <c r="AP56" s="20">
        <f t="shared" si="11"/>
        <v>414.75</v>
      </c>
      <c r="AQ56" s="20">
        <f t="shared" si="11"/>
        <v>407.34375</v>
      </c>
      <c r="AR56" s="20">
        <f t="shared" si="11"/>
        <v>399.9375</v>
      </c>
      <c r="AS56" s="20">
        <f t="shared" si="11"/>
        <v>392.53125</v>
      </c>
      <c r="AT56" s="20">
        <f t="shared" si="11"/>
        <v>385.125</v>
      </c>
      <c r="AU56" s="20">
        <f t="shared" si="11"/>
        <v>377.71875</v>
      </c>
      <c r="AV56" s="20">
        <f t="shared" si="11"/>
        <v>370.3125</v>
      </c>
      <c r="AW56" s="20">
        <f t="shared" si="11"/>
        <v>362.90625</v>
      </c>
      <c r="AX56" s="20">
        <f t="shared" si="11"/>
        <v>355.5</v>
      </c>
      <c r="AY56" s="20">
        <f t="shared" si="11"/>
        <v>348.09375</v>
      </c>
      <c r="AZ56" s="20">
        <f t="shared" si="11"/>
        <v>340.6875</v>
      </c>
      <c r="BA56" s="20">
        <f t="shared" si="11"/>
        <v>333.28125</v>
      </c>
      <c r="BB56" s="20">
        <f t="shared" si="11"/>
        <v>325.875</v>
      </c>
      <c r="BC56" s="20">
        <f t="shared" si="11"/>
        <v>318.46875</v>
      </c>
      <c r="BD56" s="20">
        <f t="shared" si="11"/>
        <v>311.0625</v>
      </c>
      <c r="BE56" s="20">
        <f t="shared" si="11"/>
        <v>303.65625</v>
      </c>
      <c r="BF56" s="20">
        <f t="shared" si="11"/>
        <v>296.25</v>
      </c>
      <c r="BG56" s="20">
        <f t="shared" si="11"/>
        <v>288.84375</v>
      </c>
      <c r="BH56" s="20">
        <f t="shared" si="11"/>
        <v>281.4375</v>
      </c>
      <c r="BI56" s="20">
        <f t="shared" si="11"/>
        <v>274.03125</v>
      </c>
      <c r="BJ56" s="20">
        <f t="shared" si="11"/>
        <v>266.625</v>
      </c>
      <c r="BK56" s="20">
        <f t="shared" si="11"/>
        <v>259.21875</v>
      </c>
      <c r="BL56" s="20">
        <f t="shared" si="11"/>
        <v>251.8125</v>
      </c>
      <c r="BM56" s="20">
        <f t="shared" si="11"/>
        <v>244.40625</v>
      </c>
      <c r="BN56" s="20">
        <f t="shared" si="11"/>
        <v>237</v>
      </c>
      <c r="BO56" s="20">
        <f t="shared" si="11"/>
        <v>229.59375</v>
      </c>
      <c r="BP56" s="20">
        <f t="shared" si="11"/>
        <v>222.1875</v>
      </c>
      <c r="BQ56" s="20">
        <f t="shared" si="11"/>
        <v>214.78125</v>
      </c>
      <c r="BR56" s="20">
        <f t="shared" si="11"/>
        <v>207.375</v>
      </c>
      <c r="BS56" s="20">
        <f t="shared" si="11"/>
        <v>199.96875</v>
      </c>
      <c r="BT56" s="20">
        <f t="shared" si="11"/>
        <v>192.5625</v>
      </c>
      <c r="BU56" s="20">
        <f t="shared" si="11"/>
        <v>185.15625</v>
      </c>
      <c r="BV56" s="20">
        <f t="shared" si="11"/>
        <v>177.75</v>
      </c>
      <c r="BW56" s="20">
        <f t="shared" si="11"/>
        <v>170.34375</v>
      </c>
      <c r="BX56" s="20">
        <f t="shared" si="11"/>
        <v>162.9375</v>
      </c>
      <c r="BY56" s="20">
        <f t="shared" si="11"/>
        <v>155.53125</v>
      </c>
      <c r="BZ56" s="20">
        <f t="shared" si="11"/>
        <v>148.125</v>
      </c>
      <c r="CA56" s="20">
        <f t="shared" si="11"/>
        <v>140.71875</v>
      </c>
      <c r="CB56" s="20">
        <f t="shared" si="11"/>
        <v>133.3125</v>
      </c>
      <c r="CC56" s="20">
        <f t="shared" si="11"/>
        <v>125.90625</v>
      </c>
      <c r="CD56" s="20">
        <f t="shared" si="11"/>
        <v>118.5</v>
      </c>
      <c r="CE56" s="20">
        <f t="shared" si="11"/>
        <v>111.09375</v>
      </c>
      <c r="CF56" s="20">
        <f t="shared" si="11"/>
        <v>103.6875</v>
      </c>
      <c r="CG56" s="20">
        <f t="shared" si="11"/>
        <v>96.28125</v>
      </c>
      <c r="CH56" s="20">
        <f t="shared" si="11"/>
        <v>88.875</v>
      </c>
      <c r="CI56" s="20">
        <f t="shared" si="11"/>
        <v>81.46875</v>
      </c>
      <c r="CJ56" s="20">
        <f t="shared" si="11"/>
        <v>74.0625</v>
      </c>
      <c r="CK56" s="20">
        <f t="shared" si="11"/>
        <v>66.65625</v>
      </c>
      <c r="CL56" s="20">
        <f t="shared" si="11"/>
        <v>59.25</v>
      </c>
      <c r="CM56" s="20">
        <f t="shared" si="11"/>
        <v>51.84375</v>
      </c>
      <c r="CN56" s="20">
        <f t="shared" si="11"/>
        <v>44.4375</v>
      </c>
      <c r="CO56" s="20">
        <f t="shared" si="11"/>
        <v>37.03125</v>
      </c>
      <c r="CP56" s="20">
        <f t="shared" si="11"/>
        <v>29.625</v>
      </c>
      <c r="CQ56" s="20">
        <f t="shared" si="11"/>
        <v>22.21875</v>
      </c>
      <c r="CR56" s="20">
        <f t="shared" si="11"/>
        <v>14.8125</v>
      </c>
      <c r="CS56" s="20">
        <f t="shared" si="11"/>
        <v>7.40625</v>
      </c>
      <c r="CT56" s="20">
        <f t="shared" si="11"/>
        <v>0</v>
      </c>
    </row>
    <row r="57" ht="14.25" customHeight="1"/>
    <row r="58" ht="14.25" customHeight="1">
      <c r="A58" s="19" t="s">
        <v>58</v>
      </c>
      <c r="B58" s="20">
        <f>B54</f>
        <v>711</v>
      </c>
      <c r="C58" s="20">
        <f>$B$58-SUMPRODUCT(Resumen_Sprints!$I$6:$I$13,(ABS((C$4-Resumen_Sprints!$E$6:$E$13)/Resumen_Sprints!$D$6:$D$13)-ABS(((C$4-Resumen_Sprints!$E$6:$E$13)/Resumen_Sprints!$D$6:$D$13)-1)+1)/2)</f>
        <v>704.8571429</v>
      </c>
      <c r="D58" s="20">
        <f>$B$58-SUMPRODUCT(Resumen_Sprints!$I$6:$I$13,(ABS((D$4-Resumen_Sprints!$E$6:$E$13)/Resumen_Sprints!$D$6:$D$13)-ABS(((D$4-Resumen_Sprints!$E$6:$E$13)/Resumen_Sprints!$D$6:$D$13)-1)+1)/2)</f>
        <v>698.7142857</v>
      </c>
      <c r="E58" s="20">
        <f>$B$58-SUMPRODUCT(Resumen_Sprints!$I$6:$I$13,(ABS((E$4-Resumen_Sprints!$E$6:$E$13)/Resumen_Sprints!$D$6:$D$13)-ABS(((E$4-Resumen_Sprints!$E$6:$E$13)/Resumen_Sprints!$D$6:$D$13)-1)+1)/2)</f>
        <v>692.5714286</v>
      </c>
      <c r="F58" s="20">
        <f>$B$58-SUMPRODUCT(Resumen_Sprints!$I$6:$I$13,(ABS((F$4-Resumen_Sprints!$E$6:$E$13)/Resumen_Sprints!$D$6:$D$13)-ABS(((F$4-Resumen_Sprints!$E$6:$E$13)/Resumen_Sprints!$D$6:$D$13)-1)+1)/2)</f>
        <v>686.4285714</v>
      </c>
      <c r="G58" s="20">
        <f>$B$58-SUMPRODUCT(Resumen_Sprints!$I$6:$I$13,(ABS((G$4-Resumen_Sprints!$E$6:$E$13)/Resumen_Sprints!$D$6:$D$13)-ABS(((G$4-Resumen_Sprints!$E$6:$E$13)/Resumen_Sprints!$D$6:$D$13)-1)+1)/2)</f>
        <v>680.2857143</v>
      </c>
      <c r="H58" s="20">
        <f>$B$58-SUMPRODUCT(Resumen_Sprints!$I$6:$I$13,(ABS((H$4-Resumen_Sprints!$E$6:$E$13)/Resumen_Sprints!$D$6:$D$13)-ABS(((H$4-Resumen_Sprints!$E$6:$E$13)/Resumen_Sprints!$D$6:$D$13)-1)+1)/2)</f>
        <v>674.1428571</v>
      </c>
      <c r="I58" s="20">
        <f>$B$58-SUMPRODUCT(Resumen_Sprints!$I$6:$I$13,(ABS((I$4-Resumen_Sprints!$E$6:$E$13)/Resumen_Sprints!$D$6:$D$13)-ABS(((I$4-Resumen_Sprints!$E$6:$E$13)/Resumen_Sprints!$D$6:$D$13)-1)+1)/2)</f>
        <v>668</v>
      </c>
      <c r="J58" s="20">
        <f>$B$58-SUMPRODUCT(Resumen_Sprints!$I$6:$I$13,(ABS((J$4-Resumen_Sprints!$E$6:$E$13)/Resumen_Sprints!$D$6:$D$13)-ABS(((J$4-Resumen_Sprints!$E$6:$E$13)/Resumen_Sprints!$D$6:$D$13)-1)+1)/2)</f>
        <v>660.4615385</v>
      </c>
      <c r="K58" s="20">
        <f>$B$58-SUMPRODUCT(Resumen_Sprints!$I$6:$I$13,(ABS((K$4-Resumen_Sprints!$E$6:$E$13)/Resumen_Sprints!$D$6:$D$13)-ABS(((K$4-Resumen_Sprints!$E$6:$E$13)/Resumen_Sprints!$D$6:$D$13)-1)+1)/2)</f>
        <v>652.9230769</v>
      </c>
      <c r="L58" s="20">
        <f>$B$58-SUMPRODUCT(Resumen_Sprints!$I$6:$I$13,(ABS((L$4-Resumen_Sprints!$E$6:$E$13)/Resumen_Sprints!$D$6:$D$13)-ABS(((L$4-Resumen_Sprints!$E$6:$E$13)/Resumen_Sprints!$D$6:$D$13)-1)+1)/2)</f>
        <v>645.3846154</v>
      </c>
      <c r="M58" s="20">
        <f>$B$58-SUMPRODUCT(Resumen_Sprints!$I$6:$I$13,(ABS((M$4-Resumen_Sprints!$E$6:$E$13)/Resumen_Sprints!$D$6:$D$13)-ABS(((M$4-Resumen_Sprints!$E$6:$E$13)/Resumen_Sprints!$D$6:$D$13)-1)+1)/2)</f>
        <v>637.8461538</v>
      </c>
      <c r="N58" s="20">
        <f>$B$58-SUMPRODUCT(Resumen_Sprints!$I$6:$I$13,(ABS((N$4-Resumen_Sprints!$E$6:$E$13)/Resumen_Sprints!$D$6:$D$13)-ABS(((N$4-Resumen_Sprints!$E$6:$E$13)/Resumen_Sprints!$D$6:$D$13)-1)+1)/2)</f>
        <v>630.3076923</v>
      </c>
      <c r="O58" s="20">
        <f>$B$58-SUMPRODUCT(Resumen_Sprints!$I$6:$I$13,(ABS((O$4-Resumen_Sprints!$E$6:$E$13)/Resumen_Sprints!$D$6:$D$13)-ABS(((O$4-Resumen_Sprints!$E$6:$E$13)/Resumen_Sprints!$D$6:$D$13)-1)+1)/2)</f>
        <v>622.7692308</v>
      </c>
      <c r="P58" s="20">
        <f>$B$58-SUMPRODUCT(Resumen_Sprints!$I$6:$I$13,(ABS((P$4-Resumen_Sprints!$E$6:$E$13)/Resumen_Sprints!$D$6:$D$13)-ABS(((P$4-Resumen_Sprints!$E$6:$E$13)/Resumen_Sprints!$D$6:$D$13)-1)+1)/2)</f>
        <v>615.2307692</v>
      </c>
      <c r="Q58" s="20">
        <f>$B$58-SUMPRODUCT(Resumen_Sprints!$I$6:$I$13,(ABS((Q$4-Resumen_Sprints!$E$6:$E$13)/Resumen_Sprints!$D$6:$D$13)-ABS(((Q$4-Resumen_Sprints!$E$6:$E$13)/Resumen_Sprints!$D$6:$D$13)-1)+1)/2)</f>
        <v>607.6923077</v>
      </c>
      <c r="R58" s="20">
        <f>$B$58-SUMPRODUCT(Resumen_Sprints!$I$6:$I$13,(ABS((R$4-Resumen_Sprints!$E$6:$E$13)/Resumen_Sprints!$D$6:$D$13)-ABS(((R$4-Resumen_Sprints!$E$6:$E$13)/Resumen_Sprints!$D$6:$D$13)-1)+1)/2)</f>
        <v>600.1538462</v>
      </c>
      <c r="S58" s="20">
        <f>$B$58-SUMPRODUCT(Resumen_Sprints!$I$6:$I$13,(ABS((S$4-Resumen_Sprints!$E$6:$E$13)/Resumen_Sprints!$D$6:$D$13)-ABS(((S$4-Resumen_Sprints!$E$6:$E$13)/Resumen_Sprints!$D$6:$D$13)-1)+1)/2)</f>
        <v>592.6153846</v>
      </c>
      <c r="T58" s="20">
        <f>$B$58-SUMPRODUCT(Resumen_Sprints!$I$6:$I$13,(ABS((T$4-Resumen_Sprints!$E$6:$E$13)/Resumen_Sprints!$D$6:$D$13)-ABS(((T$4-Resumen_Sprints!$E$6:$E$13)/Resumen_Sprints!$D$6:$D$13)-1)+1)/2)</f>
        <v>585.0769231</v>
      </c>
      <c r="U58" s="20">
        <f>$B$58-SUMPRODUCT(Resumen_Sprints!$I$6:$I$13,(ABS((U$4-Resumen_Sprints!$E$6:$E$13)/Resumen_Sprints!$D$6:$D$13)-ABS(((U$4-Resumen_Sprints!$E$6:$E$13)/Resumen_Sprints!$D$6:$D$13)-1)+1)/2)</f>
        <v>577.5384615</v>
      </c>
      <c r="V58" s="20">
        <f>$B$58-SUMPRODUCT(Resumen_Sprints!$I$6:$I$13,(ABS((V$4-Resumen_Sprints!$E$6:$E$13)/Resumen_Sprints!$D$6:$D$13)-ABS(((V$4-Resumen_Sprints!$E$6:$E$13)/Resumen_Sprints!$D$6:$D$13)-1)+1)/2)</f>
        <v>570</v>
      </c>
      <c r="W58" s="20">
        <f>$B$58-SUMPRODUCT(Resumen_Sprints!$I$6:$I$13,(ABS((W$4-Resumen_Sprints!$E$6:$E$13)/Resumen_Sprints!$D$6:$D$13)-ABS(((W$4-Resumen_Sprints!$E$6:$E$13)/Resumen_Sprints!$D$6:$D$13)-1)+1)/2)</f>
        <v>563.2857143</v>
      </c>
      <c r="X58" s="20">
        <f>$B$58-SUMPRODUCT(Resumen_Sprints!$I$6:$I$13,(ABS((X$4-Resumen_Sprints!$E$6:$E$13)/Resumen_Sprints!$D$6:$D$13)-ABS(((X$4-Resumen_Sprints!$E$6:$E$13)/Resumen_Sprints!$D$6:$D$13)-1)+1)/2)</f>
        <v>556.5714286</v>
      </c>
      <c r="Y58" s="20">
        <f>$B$58-SUMPRODUCT(Resumen_Sprints!$I$6:$I$13,(ABS((Y$4-Resumen_Sprints!$E$6:$E$13)/Resumen_Sprints!$D$6:$D$13)-ABS(((Y$4-Resumen_Sprints!$E$6:$E$13)/Resumen_Sprints!$D$6:$D$13)-1)+1)/2)</f>
        <v>549.8571429</v>
      </c>
      <c r="Z58" s="20">
        <f>$B$58-SUMPRODUCT(Resumen_Sprints!$I$6:$I$13,(ABS((Z$4-Resumen_Sprints!$E$6:$E$13)/Resumen_Sprints!$D$6:$D$13)-ABS(((Z$4-Resumen_Sprints!$E$6:$E$13)/Resumen_Sprints!$D$6:$D$13)-1)+1)/2)</f>
        <v>543.1428571</v>
      </c>
      <c r="AA58" s="20">
        <f>$B$58-SUMPRODUCT(Resumen_Sprints!$I$6:$I$13,(ABS((AA$4-Resumen_Sprints!$E$6:$E$13)/Resumen_Sprints!$D$6:$D$13)-ABS(((AA$4-Resumen_Sprints!$E$6:$E$13)/Resumen_Sprints!$D$6:$D$13)-1)+1)/2)</f>
        <v>536.4285714</v>
      </c>
      <c r="AB58" s="20">
        <f>$B$58-SUMPRODUCT(Resumen_Sprints!$I$6:$I$13,(ABS((AB$4-Resumen_Sprints!$E$6:$E$13)/Resumen_Sprints!$D$6:$D$13)-ABS(((AB$4-Resumen_Sprints!$E$6:$E$13)/Resumen_Sprints!$D$6:$D$13)-1)+1)/2)</f>
        <v>529.7142857</v>
      </c>
      <c r="AC58" s="20">
        <f>$B$58-SUMPRODUCT(Resumen_Sprints!$I$6:$I$13,(ABS((AC$4-Resumen_Sprints!$E$6:$E$13)/Resumen_Sprints!$D$6:$D$13)-ABS(((AC$4-Resumen_Sprints!$E$6:$E$13)/Resumen_Sprints!$D$6:$D$13)-1)+1)/2)</f>
        <v>523</v>
      </c>
      <c r="AD58" s="20">
        <f>$B$58-SUMPRODUCT(Resumen_Sprints!$I$6:$I$13,(ABS((AD$4-Resumen_Sprints!$E$6:$E$13)/Resumen_Sprints!$D$6:$D$13)-ABS(((AD$4-Resumen_Sprints!$E$6:$E$13)/Resumen_Sprints!$D$6:$D$13)-1)+1)/2)</f>
        <v>516.5</v>
      </c>
      <c r="AE58" s="20">
        <f>$B$58-SUMPRODUCT(Resumen_Sprints!$I$6:$I$13,(ABS((AE$4-Resumen_Sprints!$E$6:$E$13)/Resumen_Sprints!$D$6:$D$13)-ABS(((AE$4-Resumen_Sprints!$E$6:$E$13)/Resumen_Sprints!$D$6:$D$13)-1)+1)/2)</f>
        <v>510</v>
      </c>
      <c r="AF58" s="20">
        <f>$B$58-SUMPRODUCT(Resumen_Sprints!$I$6:$I$13,(ABS((AF$4-Resumen_Sprints!$E$6:$E$13)/Resumen_Sprints!$D$6:$D$13)-ABS(((AF$4-Resumen_Sprints!$E$6:$E$13)/Resumen_Sprints!$D$6:$D$13)-1)+1)/2)</f>
        <v>503.5</v>
      </c>
      <c r="AG58" s="20">
        <f>$B$58-SUMPRODUCT(Resumen_Sprints!$I$6:$I$13,(ABS((AG$4-Resumen_Sprints!$E$6:$E$13)/Resumen_Sprints!$D$6:$D$13)-ABS(((AG$4-Resumen_Sprints!$E$6:$E$13)/Resumen_Sprints!$D$6:$D$13)-1)+1)/2)</f>
        <v>497</v>
      </c>
      <c r="AH58" s="20">
        <f>$B$58-SUMPRODUCT(Resumen_Sprints!$I$6:$I$13,(ABS((AH$4-Resumen_Sprints!$E$6:$E$13)/Resumen_Sprints!$D$6:$D$13)-ABS(((AH$4-Resumen_Sprints!$E$6:$E$13)/Resumen_Sprints!$D$6:$D$13)-1)+1)/2)</f>
        <v>490.5</v>
      </c>
      <c r="AI58" s="20">
        <f>$B$58-SUMPRODUCT(Resumen_Sprints!$I$6:$I$13,(ABS((AI$4-Resumen_Sprints!$E$6:$E$13)/Resumen_Sprints!$D$6:$D$13)-ABS(((AI$4-Resumen_Sprints!$E$6:$E$13)/Resumen_Sprints!$D$6:$D$13)-1)+1)/2)</f>
        <v>484</v>
      </c>
      <c r="AJ58" s="20">
        <f>$B$58-SUMPRODUCT(Resumen_Sprints!$I$6:$I$13,(ABS((AJ$4-Resumen_Sprints!$E$6:$E$13)/Resumen_Sprints!$D$6:$D$13)-ABS(((AJ$4-Resumen_Sprints!$E$6:$E$13)/Resumen_Sprints!$D$6:$D$13)-1)+1)/2)</f>
        <v>477.5</v>
      </c>
      <c r="AK58" s="20">
        <f>$B$58-SUMPRODUCT(Resumen_Sprints!$I$6:$I$13,(ABS((AK$4-Resumen_Sprints!$E$6:$E$13)/Resumen_Sprints!$D$6:$D$13)-ABS(((AK$4-Resumen_Sprints!$E$6:$E$13)/Resumen_Sprints!$D$6:$D$13)-1)+1)/2)</f>
        <v>471</v>
      </c>
      <c r="AL58" s="20">
        <f>$B$58-SUMPRODUCT(Resumen_Sprints!$I$6:$I$13,(ABS((AL$4-Resumen_Sprints!$E$6:$E$13)/Resumen_Sprints!$D$6:$D$13)-ABS(((AL$4-Resumen_Sprints!$E$6:$E$13)/Resumen_Sprints!$D$6:$D$13)-1)+1)/2)</f>
        <v>464.5</v>
      </c>
      <c r="AM58" s="20">
        <f>$B$58-SUMPRODUCT(Resumen_Sprints!$I$6:$I$13,(ABS((AM$4-Resumen_Sprints!$E$6:$E$13)/Resumen_Sprints!$D$6:$D$13)-ABS(((AM$4-Resumen_Sprints!$E$6:$E$13)/Resumen_Sprints!$D$6:$D$13)-1)+1)/2)</f>
        <v>458</v>
      </c>
      <c r="AN58" s="20">
        <f>$B$58-SUMPRODUCT(Resumen_Sprints!$I$6:$I$13,(ABS((AN$4-Resumen_Sprints!$E$6:$E$13)/Resumen_Sprints!$D$6:$D$13)-ABS(((AN$4-Resumen_Sprints!$E$6:$E$13)/Resumen_Sprints!$D$6:$D$13)-1)+1)/2)</f>
        <v>451.5</v>
      </c>
      <c r="AO58" s="20">
        <f>$B$58-SUMPRODUCT(Resumen_Sprints!$I$6:$I$13,(ABS((AO$4-Resumen_Sprints!$E$6:$E$13)/Resumen_Sprints!$D$6:$D$13)-ABS(((AO$4-Resumen_Sprints!$E$6:$E$13)/Resumen_Sprints!$D$6:$D$13)-1)+1)/2)</f>
        <v>445</v>
      </c>
      <c r="AP58" s="20">
        <f>$B$58-SUMPRODUCT(Resumen_Sprints!$I$6:$I$13,(ABS((AP$4-Resumen_Sprints!$E$6:$E$13)/Resumen_Sprints!$D$6:$D$13)-ABS(((AP$4-Resumen_Sprints!$E$6:$E$13)/Resumen_Sprints!$D$6:$D$13)-1)+1)/2)</f>
        <v>438.5</v>
      </c>
      <c r="AQ58" s="20">
        <f>$B$58-SUMPRODUCT(Resumen_Sprints!$I$6:$I$13,(ABS((AQ$4-Resumen_Sprints!$E$6:$E$13)/Resumen_Sprints!$D$6:$D$13)-ABS(((AQ$4-Resumen_Sprints!$E$6:$E$13)/Resumen_Sprints!$D$6:$D$13)-1)+1)/2)</f>
        <v>432</v>
      </c>
      <c r="AR58" s="20">
        <f>$B$58-SUMPRODUCT(Resumen_Sprints!$I$6:$I$13,(ABS((AR$4-Resumen_Sprints!$E$6:$E$13)/Resumen_Sprints!$D$6:$D$13)-ABS(((AR$4-Resumen_Sprints!$E$6:$E$13)/Resumen_Sprints!$D$6:$D$13)-1)+1)/2)</f>
        <v>425.9375</v>
      </c>
      <c r="AS58" s="20">
        <f>$B$58-SUMPRODUCT(Resumen_Sprints!$I$6:$I$13,(ABS((AS$4-Resumen_Sprints!$E$6:$E$13)/Resumen_Sprints!$D$6:$D$13)-ABS(((AS$4-Resumen_Sprints!$E$6:$E$13)/Resumen_Sprints!$D$6:$D$13)-1)+1)/2)</f>
        <v>419.875</v>
      </c>
      <c r="AT58" s="20">
        <f>$B$58-SUMPRODUCT(Resumen_Sprints!$I$6:$I$13,(ABS((AT$4-Resumen_Sprints!$E$6:$E$13)/Resumen_Sprints!$D$6:$D$13)-ABS(((AT$4-Resumen_Sprints!$E$6:$E$13)/Resumen_Sprints!$D$6:$D$13)-1)+1)/2)</f>
        <v>413.8125</v>
      </c>
      <c r="AU58" s="20">
        <f>$B$58-SUMPRODUCT(Resumen_Sprints!$I$6:$I$13,(ABS((AU$4-Resumen_Sprints!$E$6:$E$13)/Resumen_Sprints!$D$6:$D$13)-ABS(((AU$4-Resumen_Sprints!$E$6:$E$13)/Resumen_Sprints!$D$6:$D$13)-1)+1)/2)</f>
        <v>407.75</v>
      </c>
      <c r="AV58" s="20">
        <f>$B$58-SUMPRODUCT(Resumen_Sprints!$I$6:$I$13,(ABS((AV$4-Resumen_Sprints!$E$6:$E$13)/Resumen_Sprints!$D$6:$D$13)-ABS(((AV$4-Resumen_Sprints!$E$6:$E$13)/Resumen_Sprints!$D$6:$D$13)-1)+1)/2)</f>
        <v>401.6875</v>
      </c>
      <c r="AW58" s="20">
        <f>$B$58-SUMPRODUCT(Resumen_Sprints!$I$6:$I$13,(ABS((AW$4-Resumen_Sprints!$E$6:$E$13)/Resumen_Sprints!$D$6:$D$13)-ABS(((AW$4-Resumen_Sprints!$E$6:$E$13)/Resumen_Sprints!$D$6:$D$13)-1)+1)/2)</f>
        <v>395.625</v>
      </c>
      <c r="AX58" s="20">
        <f>$B$58-SUMPRODUCT(Resumen_Sprints!$I$6:$I$13,(ABS((AX$4-Resumen_Sprints!$E$6:$E$13)/Resumen_Sprints!$D$6:$D$13)-ABS(((AX$4-Resumen_Sprints!$E$6:$E$13)/Resumen_Sprints!$D$6:$D$13)-1)+1)/2)</f>
        <v>389.5625</v>
      </c>
      <c r="AY58" s="20">
        <f>$B$58-SUMPRODUCT(Resumen_Sprints!$I$6:$I$13,(ABS((AY$4-Resumen_Sprints!$E$6:$E$13)/Resumen_Sprints!$D$6:$D$13)-ABS(((AY$4-Resumen_Sprints!$E$6:$E$13)/Resumen_Sprints!$D$6:$D$13)-1)+1)/2)</f>
        <v>383.5</v>
      </c>
      <c r="AZ58" s="20">
        <f>$B$58-SUMPRODUCT(Resumen_Sprints!$I$6:$I$13,(ABS((AZ$4-Resumen_Sprints!$E$6:$E$13)/Resumen_Sprints!$D$6:$D$13)-ABS(((AZ$4-Resumen_Sprints!$E$6:$E$13)/Resumen_Sprints!$D$6:$D$13)-1)+1)/2)</f>
        <v>377.4375</v>
      </c>
      <c r="BA58" s="20">
        <f>$B$58-SUMPRODUCT(Resumen_Sprints!$I$6:$I$13,(ABS((BA$4-Resumen_Sprints!$E$6:$E$13)/Resumen_Sprints!$D$6:$D$13)-ABS(((BA$4-Resumen_Sprints!$E$6:$E$13)/Resumen_Sprints!$D$6:$D$13)-1)+1)/2)</f>
        <v>371.375</v>
      </c>
      <c r="BB58" s="20">
        <f>$B$58-SUMPRODUCT(Resumen_Sprints!$I$6:$I$13,(ABS((BB$4-Resumen_Sprints!$E$6:$E$13)/Resumen_Sprints!$D$6:$D$13)-ABS(((BB$4-Resumen_Sprints!$E$6:$E$13)/Resumen_Sprints!$D$6:$D$13)-1)+1)/2)</f>
        <v>365.3125</v>
      </c>
      <c r="BC58" s="20">
        <f>$B$58-SUMPRODUCT(Resumen_Sprints!$I$6:$I$13,(ABS((BC$4-Resumen_Sprints!$E$6:$E$13)/Resumen_Sprints!$D$6:$D$13)-ABS(((BC$4-Resumen_Sprints!$E$6:$E$13)/Resumen_Sprints!$D$6:$D$13)-1)+1)/2)</f>
        <v>359.25</v>
      </c>
      <c r="BD58" s="20">
        <f>$B$58-SUMPRODUCT(Resumen_Sprints!$I$6:$I$13,(ABS((BD$4-Resumen_Sprints!$E$6:$E$13)/Resumen_Sprints!$D$6:$D$13)-ABS(((BD$4-Resumen_Sprints!$E$6:$E$13)/Resumen_Sprints!$D$6:$D$13)-1)+1)/2)</f>
        <v>353.1875</v>
      </c>
      <c r="BE58" s="20">
        <f>$B$58-SUMPRODUCT(Resumen_Sprints!$I$6:$I$13,(ABS((BE$4-Resumen_Sprints!$E$6:$E$13)/Resumen_Sprints!$D$6:$D$13)-ABS(((BE$4-Resumen_Sprints!$E$6:$E$13)/Resumen_Sprints!$D$6:$D$13)-1)+1)/2)</f>
        <v>347.125</v>
      </c>
      <c r="BF58" s="20">
        <f>$B$58-SUMPRODUCT(Resumen_Sprints!$I$6:$I$13,(ABS((BF$4-Resumen_Sprints!$E$6:$E$13)/Resumen_Sprints!$D$6:$D$13)-ABS(((BF$4-Resumen_Sprints!$E$6:$E$13)/Resumen_Sprints!$D$6:$D$13)-1)+1)/2)</f>
        <v>341.0625</v>
      </c>
      <c r="BG58" s="20">
        <f>$B$58-SUMPRODUCT(Resumen_Sprints!$I$6:$I$13,(ABS((BG$4-Resumen_Sprints!$E$6:$E$13)/Resumen_Sprints!$D$6:$D$13)-ABS(((BG$4-Resumen_Sprints!$E$6:$E$13)/Resumen_Sprints!$D$6:$D$13)-1)+1)/2)</f>
        <v>335</v>
      </c>
      <c r="BH58" s="20">
        <f>$B$58-SUMPRODUCT(Resumen_Sprints!$I$6:$I$13,(ABS((BH$4-Resumen_Sprints!$E$6:$E$13)/Resumen_Sprints!$D$6:$D$13)-ABS(((BH$4-Resumen_Sprints!$E$6:$E$13)/Resumen_Sprints!$D$6:$D$13)-1)+1)/2)</f>
        <v>323.75</v>
      </c>
      <c r="BI58" s="20">
        <f>$B$58-SUMPRODUCT(Resumen_Sprints!$I$6:$I$13,(ABS((BI$4-Resumen_Sprints!$E$6:$E$13)/Resumen_Sprints!$D$6:$D$13)-ABS(((BI$4-Resumen_Sprints!$E$6:$E$13)/Resumen_Sprints!$D$6:$D$13)-1)+1)/2)</f>
        <v>312.5</v>
      </c>
      <c r="BJ58" s="20">
        <f>$B$58-SUMPRODUCT(Resumen_Sprints!$I$6:$I$13,(ABS((BJ$4-Resumen_Sprints!$E$6:$E$13)/Resumen_Sprints!$D$6:$D$13)-ABS(((BJ$4-Resumen_Sprints!$E$6:$E$13)/Resumen_Sprints!$D$6:$D$13)-1)+1)/2)</f>
        <v>301.25</v>
      </c>
      <c r="BK58" s="20">
        <f>$B$58-SUMPRODUCT(Resumen_Sprints!$I$6:$I$13,(ABS((BK$4-Resumen_Sprints!$E$6:$E$13)/Resumen_Sprints!$D$6:$D$13)-ABS(((BK$4-Resumen_Sprints!$E$6:$E$13)/Resumen_Sprints!$D$6:$D$13)-1)+1)/2)</f>
        <v>290</v>
      </c>
      <c r="BL58" s="20">
        <f>$B$58-SUMPRODUCT(Resumen_Sprints!$I$6:$I$13,(ABS((BL$4-Resumen_Sprints!$E$6:$E$13)/Resumen_Sprints!$D$6:$D$13)-ABS(((BL$4-Resumen_Sprints!$E$6:$E$13)/Resumen_Sprints!$D$6:$D$13)-1)+1)/2)</f>
        <v>278.75</v>
      </c>
      <c r="BM58" s="20">
        <f>$B$58-SUMPRODUCT(Resumen_Sprints!$I$6:$I$13,(ABS((BM$4-Resumen_Sprints!$E$6:$E$13)/Resumen_Sprints!$D$6:$D$13)-ABS(((BM$4-Resumen_Sprints!$E$6:$E$13)/Resumen_Sprints!$D$6:$D$13)-1)+1)/2)</f>
        <v>267.5</v>
      </c>
      <c r="BN58" s="20">
        <f>$B$58-SUMPRODUCT(Resumen_Sprints!$I$6:$I$13,(ABS((BN$4-Resumen_Sprints!$E$6:$E$13)/Resumen_Sprints!$D$6:$D$13)-ABS(((BN$4-Resumen_Sprints!$E$6:$E$13)/Resumen_Sprints!$D$6:$D$13)-1)+1)/2)</f>
        <v>256.25</v>
      </c>
      <c r="BO58" s="20">
        <f>$B$58-SUMPRODUCT(Resumen_Sprints!$I$6:$I$13,(ABS((BO$4-Resumen_Sprints!$E$6:$E$13)/Resumen_Sprints!$D$6:$D$13)-ABS(((BO$4-Resumen_Sprints!$E$6:$E$13)/Resumen_Sprints!$D$6:$D$13)-1)+1)/2)</f>
        <v>245</v>
      </c>
      <c r="BP58" s="20">
        <f>$B$58-SUMPRODUCT(Resumen_Sprints!$I$6:$I$13,(ABS((BP$4-Resumen_Sprints!$E$6:$E$13)/Resumen_Sprints!$D$6:$D$13)-ABS(((BP$4-Resumen_Sprints!$E$6:$E$13)/Resumen_Sprints!$D$6:$D$13)-1)+1)/2)</f>
        <v>233.75</v>
      </c>
      <c r="BQ58" s="20">
        <f>$B$58-SUMPRODUCT(Resumen_Sprints!$I$6:$I$13,(ABS((BQ$4-Resumen_Sprints!$E$6:$E$13)/Resumen_Sprints!$D$6:$D$13)-ABS(((BQ$4-Resumen_Sprints!$E$6:$E$13)/Resumen_Sprints!$D$6:$D$13)-1)+1)/2)</f>
        <v>222.5</v>
      </c>
      <c r="BR58" s="20">
        <f>$B$58-SUMPRODUCT(Resumen_Sprints!$I$6:$I$13,(ABS((BR$4-Resumen_Sprints!$E$6:$E$13)/Resumen_Sprints!$D$6:$D$13)-ABS(((BR$4-Resumen_Sprints!$E$6:$E$13)/Resumen_Sprints!$D$6:$D$13)-1)+1)/2)</f>
        <v>211.25</v>
      </c>
      <c r="BS58" s="20">
        <f>$B$58-SUMPRODUCT(Resumen_Sprints!$I$6:$I$13,(ABS((BS$4-Resumen_Sprints!$E$6:$E$13)/Resumen_Sprints!$D$6:$D$13)-ABS(((BS$4-Resumen_Sprints!$E$6:$E$13)/Resumen_Sprints!$D$6:$D$13)-1)+1)/2)</f>
        <v>200</v>
      </c>
      <c r="BT58" s="20">
        <f>$B$58-SUMPRODUCT(Resumen_Sprints!$I$6:$I$13,(ABS((BT$4-Resumen_Sprints!$E$6:$E$13)/Resumen_Sprints!$D$6:$D$13)-ABS(((BT$4-Resumen_Sprints!$E$6:$E$13)/Resumen_Sprints!$D$6:$D$13)-1)+1)/2)</f>
        <v>191.8571429</v>
      </c>
      <c r="BU58" s="20">
        <f>$B$58-SUMPRODUCT(Resumen_Sprints!$I$6:$I$13,(ABS((BU$4-Resumen_Sprints!$E$6:$E$13)/Resumen_Sprints!$D$6:$D$13)-ABS(((BU$4-Resumen_Sprints!$E$6:$E$13)/Resumen_Sprints!$D$6:$D$13)-1)+1)/2)</f>
        <v>183.7142857</v>
      </c>
      <c r="BV58" s="20">
        <f>$B$58-SUMPRODUCT(Resumen_Sprints!$I$6:$I$13,(ABS((BV$4-Resumen_Sprints!$E$6:$E$13)/Resumen_Sprints!$D$6:$D$13)-ABS(((BV$4-Resumen_Sprints!$E$6:$E$13)/Resumen_Sprints!$D$6:$D$13)-1)+1)/2)</f>
        <v>175.5714286</v>
      </c>
      <c r="BW58" s="20">
        <f>$B$58-SUMPRODUCT(Resumen_Sprints!$I$6:$I$13,(ABS((BW$4-Resumen_Sprints!$E$6:$E$13)/Resumen_Sprints!$D$6:$D$13)-ABS(((BW$4-Resumen_Sprints!$E$6:$E$13)/Resumen_Sprints!$D$6:$D$13)-1)+1)/2)</f>
        <v>167.4285714</v>
      </c>
      <c r="BX58" s="20">
        <f>$B$58-SUMPRODUCT(Resumen_Sprints!$I$6:$I$13,(ABS((BX$4-Resumen_Sprints!$E$6:$E$13)/Resumen_Sprints!$D$6:$D$13)-ABS(((BX$4-Resumen_Sprints!$E$6:$E$13)/Resumen_Sprints!$D$6:$D$13)-1)+1)/2)</f>
        <v>159.2857143</v>
      </c>
      <c r="BY58" s="20">
        <f>$B$58-SUMPRODUCT(Resumen_Sprints!$I$6:$I$13,(ABS((BY$4-Resumen_Sprints!$E$6:$E$13)/Resumen_Sprints!$D$6:$D$13)-ABS(((BY$4-Resumen_Sprints!$E$6:$E$13)/Resumen_Sprints!$D$6:$D$13)-1)+1)/2)</f>
        <v>151.1428571</v>
      </c>
      <c r="BZ58" s="20">
        <f>$B$58-SUMPRODUCT(Resumen_Sprints!$I$6:$I$13,(ABS((BZ$4-Resumen_Sprints!$E$6:$E$13)/Resumen_Sprints!$D$6:$D$13)-ABS(((BZ$4-Resumen_Sprints!$E$6:$E$13)/Resumen_Sprints!$D$6:$D$13)-1)+1)/2)</f>
        <v>143</v>
      </c>
      <c r="CA58" s="20">
        <f>$B$58-SUMPRODUCT(Resumen_Sprints!$I$6:$I$13,(ABS((CA$4-Resumen_Sprints!$E$6:$E$13)/Resumen_Sprints!$D$6:$D$13)-ABS(((CA$4-Resumen_Sprints!$E$6:$E$13)/Resumen_Sprints!$D$6:$D$13)-1)+1)/2)</f>
        <v>134.8571429</v>
      </c>
      <c r="CB58" s="20">
        <f>$B$58-SUMPRODUCT(Resumen_Sprints!$I$6:$I$13,(ABS((CB$4-Resumen_Sprints!$E$6:$E$13)/Resumen_Sprints!$D$6:$D$13)-ABS(((CB$4-Resumen_Sprints!$E$6:$E$13)/Resumen_Sprints!$D$6:$D$13)-1)+1)/2)</f>
        <v>126.7142857</v>
      </c>
      <c r="CC58" s="20">
        <f>$B$58-SUMPRODUCT(Resumen_Sprints!$I$6:$I$13,(ABS((CC$4-Resumen_Sprints!$E$6:$E$13)/Resumen_Sprints!$D$6:$D$13)-ABS(((CC$4-Resumen_Sprints!$E$6:$E$13)/Resumen_Sprints!$D$6:$D$13)-1)+1)/2)</f>
        <v>118.5714286</v>
      </c>
      <c r="CD58" s="20">
        <f>$B$58-SUMPRODUCT(Resumen_Sprints!$I$6:$I$13,(ABS((CD$4-Resumen_Sprints!$E$6:$E$13)/Resumen_Sprints!$D$6:$D$13)-ABS(((CD$4-Resumen_Sprints!$E$6:$E$13)/Resumen_Sprints!$D$6:$D$13)-1)+1)/2)</f>
        <v>110.4285714</v>
      </c>
      <c r="CE58" s="20">
        <f>$B$58-SUMPRODUCT(Resumen_Sprints!$I$6:$I$13,(ABS((CE$4-Resumen_Sprints!$E$6:$E$13)/Resumen_Sprints!$D$6:$D$13)-ABS(((CE$4-Resumen_Sprints!$E$6:$E$13)/Resumen_Sprints!$D$6:$D$13)-1)+1)/2)</f>
        <v>102.2857143</v>
      </c>
      <c r="CF58" s="20">
        <f>$B$58-SUMPRODUCT(Resumen_Sprints!$I$6:$I$13,(ABS((CF$4-Resumen_Sprints!$E$6:$E$13)/Resumen_Sprints!$D$6:$D$13)-ABS(((CF$4-Resumen_Sprints!$E$6:$E$13)/Resumen_Sprints!$D$6:$D$13)-1)+1)/2)</f>
        <v>94.14285714</v>
      </c>
      <c r="CG58" s="20">
        <f>$B$58-SUMPRODUCT(Resumen_Sprints!$I$6:$I$13,(ABS((CG$4-Resumen_Sprints!$E$6:$E$13)/Resumen_Sprints!$D$6:$D$13)-ABS(((CG$4-Resumen_Sprints!$E$6:$E$13)/Resumen_Sprints!$D$6:$D$13)-1)+1)/2)</f>
        <v>86</v>
      </c>
      <c r="CH58" s="20">
        <f>$B$58-SUMPRODUCT(Resumen_Sprints!$I$6:$I$13,(ABS((CH$4-Resumen_Sprints!$E$6:$E$13)/Resumen_Sprints!$D$6:$D$13)-ABS(((CH$4-Resumen_Sprints!$E$6:$E$13)/Resumen_Sprints!$D$6:$D$13)-1)+1)/2)</f>
        <v>78.18181818</v>
      </c>
      <c r="CI58" s="20">
        <f>$B$58-SUMPRODUCT(Resumen_Sprints!$I$6:$I$13,(ABS((CI$4-Resumen_Sprints!$E$6:$E$13)/Resumen_Sprints!$D$6:$D$13)-ABS(((CI$4-Resumen_Sprints!$E$6:$E$13)/Resumen_Sprints!$D$6:$D$13)-1)+1)/2)</f>
        <v>70.36363636</v>
      </c>
      <c r="CJ58" s="20">
        <f>$B$58-SUMPRODUCT(Resumen_Sprints!$I$6:$I$13,(ABS((CJ$4-Resumen_Sprints!$E$6:$E$13)/Resumen_Sprints!$D$6:$D$13)-ABS(((CJ$4-Resumen_Sprints!$E$6:$E$13)/Resumen_Sprints!$D$6:$D$13)-1)+1)/2)</f>
        <v>62.54545455</v>
      </c>
      <c r="CK58" s="20">
        <f>$B$58-SUMPRODUCT(Resumen_Sprints!$I$6:$I$13,(ABS((CK$4-Resumen_Sprints!$E$6:$E$13)/Resumen_Sprints!$D$6:$D$13)-ABS(((CK$4-Resumen_Sprints!$E$6:$E$13)/Resumen_Sprints!$D$6:$D$13)-1)+1)/2)</f>
        <v>54.72727273</v>
      </c>
      <c r="CL58" s="20">
        <f>$B$58-SUMPRODUCT(Resumen_Sprints!$I$6:$I$13,(ABS((CL$4-Resumen_Sprints!$E$6:$E$13)/Resumen_Sprints!$D$6:$D$13)-ABS(((CL$4-Resumen_Sprints!$E$6:$E$13)/Resumen_Sprints!$D$6:$D$13)-1)+1)/2)</f>
        <v>46.90909091</v>
      </c>
      <c r="CM58" s="20">
        <f>$B$58-SUMPRODUCT(Resumen_Sprints!$I$6:$I$13,(ABS((CM$4-Resumen_Sprints!$E$6:$E$13)/Resumen_Sprints!$D$6:$D$13)-ABS(((CM$4-Resumen_Sprints!$E$6:$E$13)/Resumen_Sprints!$D$6:$D$13)-1)+1)/2)</f>
        <v>39.09090909</v>
      </c>
      <c r="CN58" s="20">
        <f>$B$58-SUMPRODUCT(Resumen_Sprints!$I$6:$I$13,(ABS((CN$4-Resumen_Sprints!$E$6:$E$13)/Resumen_Sprints!$D$6:$D$13)-ABS(((CN$4-Resumen_Sprints!$E$6:$E$13)/Resumen_Sprints!$D$6:$D$13)-1)+1)/2)</f>
        <v>31.27272727</v>
      </c>
      <c r="CO58" s="20">
        <f>$B$58-SUMPRODUCT(Resumen_Sprints!$I$6:$I$13,(ABS((CO$4-Resumen_Sprints!$E$6:$E$13)/Resumen_Sprints!$D$6:$D$13)-ABS(((CO$4-Resumen_Sprints!$E$6:$E$13)/Resumen_Sprints!$D$6:$D$13)-1)+1)/2)</f>
        <v>23.45454545</v>
      </c>
      <c r="CP58" s="20">
        <f>$B$58-SUMPRODUCT(Resumen_Sprints!$I$6:$I$13,(ABS((CP$4-Resumen_Sprints!$E$6:$E$13)/Resumen_Sprints!$D$6:$D$13)-ABS(((CP$4-Resumen_Sprints!$E$6:$E$13)/Resumen_Sprints!$D$6:$D$13)-1)+1)/2)</f>
        <v>15.63636364</v>
      </c>
      <c r="CQ58" s="20">
        <f>$B$58-SUMPRODUCT(Resumen_Sprints!$I$6:$I$13,(ABS((CQ$4-Resumen_Sprints!$E$6:$E$13)/Resumen_Sprints!$D$6:$D$13)-ABS(((CQ$4-Resumen_Sprints!$E$6:$E$13)/Resumen_Sprints!$D$6:$D$13)-1)+1)/2)</f>
        <v>7.818181818</v>
      </c>
      <c r="CR58" s="20">
        <f>$B$58-SUMPRODUCT(Resumen_Sprints!$I$6:$I$13,(ABS((CR$4-Resumen_Sprints!$E$6:$E$13)/Resumen_Sprints!$D$6:$D$13)-ABS(((CR$4-Resumen_Sprints!$E$6:$E$13)/Resumen_Sprints!$D$6:$D$13)-1)+1)/2)</f>
        <v>0</v>
      </c>
      <c r="CS58" s="20">
        <f>$B$58-SUMPRODUCT(Resumen_Sprints!$I$6:$I$13,(ABS((CS$4-Resumen_Sprints!$E$6:$E$13)/Resumen_Sprints!$D$6:$D$13)-ABS(((CS$4-Resumen_Sprints!$E$6:$E$13)/Resumen_Sprints!$D$6:$D$13)-1)+1)/2)</f>
        <v>0</v>
      </c>
      <c r="CT58" s="20">
        <f>$B$58-SUMPRODUCT(Resumen_Sprints!$I$6:$I$13,(ABS((CT$4-Resumen_Sprints!$E$6:$E$13)/Resumen_Sprints!$D$6:$D$13)-ABS(((CT$4-Resumen_Sprints!$E$6:$E$13)/Resumen_Sprints!$D$6:$D$13)-1)+1)/2)</f>
        <v>0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CT3"/>
    <mergeCell ref="CU3:CU4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0"/>
    <col customWidth="1" min="2" max="2" width="54.0"/>
    <col customWidth="1" min="3" max="4" width="13.0"/>
    <col customWidth="1" min="5" max="5" width="11.0"/>
    <col customWidth="1" min="6" max="7" width="12.0"/>
    <col customWidth="1" min="8" max="8" width="11.0"/>
    <col customWidth="1" min="9" max="10" width="13.0"/>
    <col customWidth="1" min="11" max="11" width="11.0"/>
    <col customWidth="1" min="12" max="12" width="14.0"/>
    <col customWidth="1" min="13" max="13" width="12.0"/>
    <col customWidth="1" min="14" max="26" width="8.71"/>
  </cols>
  <sheetData>
    <row r="1" ht="14.25" customHeight="1">
      <c r="A1" s="1" t="s">
        <v>59</v>
      </c>
    </row>
    <row r="2" ht="14.25" customHeight="1">
      <c r="A2" s="2"/>
    </row>
    <row r="3" ht="14.25" customHeight="1">
      <c r="B3" s="30" t="s">
        <v>60</v>
      </c>
      <c r="C3" s="31">
        <v>46245.0</v>
      </c>
      <c r="D3" s="31">
        <v>46378.0</v>
      </c>
    </row>
    <row r="4" ht="14.25" customHeight="1">
      <c r="A4" s="32"/>
    </row>
    <row r="5" ht="61.5" customHeight="1">
      <c r="A5" s="33" t="s">
        <v>61</v>
      </c>
      <c r="B5" s="33" t="s">
        <v>62</v>
      </c>
      <c r="C5" s="33" t="s">
        <v>63</v>
      </c>
      <c r="D5" s="33" t="s">
        <v>64</v>
      </c>
      <c r="E5" s="33" t="s">
        <v>65</v>
      </c>
      <c r="F5" s="33" t="s">
        <v>66</v>
      </c>
      <c r="G5" s="33" t="s">
        <v>67</v>
      </c>
      <c r="H5" s="33" t="s">
        <v>68</v>
      </c>
      <c r="I5" s="33" t="s">
        <v>69</v>
      </c>
      <c r="J5" s="33" t="s">
        <v>70</v>
      </c>
      <c r="K5" s="33" t="s">
        <v>71</v>
      </c>
      <c r="L5" s="33" t="s">
        <v>72</v>
      </c>
      <c r="M5" s="33" t="s">
        <v>73</v>
      </c>
    </row>
    <row r="6" ht="14.25" customHeight="1">
      <c r="A6" s="34">
        <v>1.0</v>
      </c>
      <c r="B6" s="35" t="s">
        <v>4</v>
      </c>
      <c r="C6" s="36">
        <f>COUNTIF('Sprint N°1'!$A$6:$A$10,"?*")</f>
        <v>5</v>
      </c>
      <c r="D6" s="36">
        <f>COUNT('Sprint N°1'!$C$4:$I$4)</f>
        <v>7</v>
      </c>
      <c r="E6" s="12">
        <v>0.0</v>
      </c>
      <c r="F6" s="37">
        <f t="shared" ref="F6:F13" si="1">WORKDAY($C$3-1,E6+1)</f>
        <v>46245</v>
      </c>
      <c r="G6" s="37">
        <f t="shared" ref="G6:G13" si="2">WORKDAY($C$3-1,E6+D6)</f>
        <v>46253</v>
      </c>
      <c r="H6" s="38">
        <v>6.5</v>
      </c>
      <c r="I6" s="39">
        <f>'Sprint N°1'!B5</f>
        <v>43</v>
      </c>
      <c r="J6" s="38">
        <v>43.0</v>
      </c>
      <c r="K6" s="40">
        <f t="shared" ref="K6:K13" si="3">IF($I$14=0,0,I6/$I$14)</f>
        <v>0.06047819972</v>
      </c>
      <c r="L6" s="41">
        <f>SUM('Sprint N°1'!J6:J10)</f>
        <v>43</v>
      </c>
      <c r="M6" s="34" t="str">
        <f t="shared" ref="M6:M13" si="4">IF(ABS(I6-J6)&lt;0.001,"OK","REVISAR")</f>
        <v>OK</v>
      </c>
    </row>
    <row r="7" ht="14.25" customHeight="1">
      <c r="A7" s="34">
        <v>2.0</v>
      </c>
      <c r="B7" s="35" t="s">
        <v>13</v>
      </c>
      <c r="C7" s="36">
        <f>COUNTIF('Sprint N°2'!$A$6:$A$11,"?*")</f>
        <v>6</v>
      </c>
      <c r="D7" s="36">
        <f>COUNT('Sprint N°2'!$C$4:$O$4)</f>
        <v>13</v>
      </c>
      <c r="E7" s="12">
        <f t="shared" ref="E7:E13" si="5">E6+D6</f>
        <v>7</v>
      </c>
      <c r="F7" s="37">
        <f t="shared" si="1"/>
        <v>46254</v>
      </c>
      <c r="G7" s="37">
        <f t="shared" si="2"/>
        <v>46272</v>
      </c>
      <c r="H7" s="38">
        <v>13.0</v>
      </c>
      <c r="I7" s="39">
        <f>'Sprint N°2'!B5</f>
        <v>98</v>
      </c>
      <c r="J7" s="38">
        <v>98.0</v>
      </c>
      <c r="K7" s="40">
        <f t="shared" si="3"/>
        <v>0.1378340366</v>
      </c>
      <c r="L7" s="41">
        <f>SUM('Sprint N°2'!P6:P11)</f>
        <v>98</v>
      </c>
      <c r="M7" s="34" t="str">
        <f t="shared" si="4"/>
        <v>OK</v>
      </c>
    </row>
    <row r="8" ht="14.25" customHeight="1">
      <c r="A8" s="34">
        <v>3.0</v>
      </c>
      <c r="B8" s="35" t="s">
        <v>20</v>
      </c>
      <c r="C8" s="36">
        <f>COUNTIF('Sprint N°3'!$A$6:$A$9,"?*")</f>
        <v>4</v>
      </c>
      <c r="D8" s="36">
        <f>COUNT('Sprint N°3'!$C$4:$I$4)</f>
        <v>7</v>
      </c>
      <c r="E8" s="12">
        <f t="shared" si="5"/>
        <v>20</v>
      </c>
      <c r="F8" s="37">
        <f t="shared" si="1"/>
        <v>46273</v>
      </c>
      <c r="G8" s="37">
        <f t="shared" si="2"/>
        <v>46281</v>
      </c>
      <c r="H8" s="38">
        <v>7.0</v>
      </c>
      <c r="I8" s="39">
        <f>'Sprint N°3'!B5</f>
        <v>47</v>
      </c>
      <c r="J8" s="38">
        <v>47.0</v>
      </c>
      <c r="K8" s="40">
        <f t="shared" si="3"/>
        <v>0.06610407876</v>
      </c>
      <c r="L8" s="41">
        <f>SUM('Sprint N°3'!J6:J9)</f>
        <v>47</v>
      </c>
      <c r="M8" s="34" t="str">
        <f t="shared" si="4"/>
        <v>OK</v>
      </c>
    </row>
    <row r="9" ht="14.25" customHeight="1">
      <c r="A9" s="34">
        <v>4.0</v>
      </c>
      <c r="B9" s="35" t="s">
        <v>25</v>
      </c>
      <c r="C9" s="36">
        <f>COUNTIF('Sprint N°4'!$A$6:$A$9,"?*")</f>
        <v>4</v>
      </c>
      <c r="D9" s="36">
        <f>COUNT('Sprint N°4'!$C$4:$P$4)</f>
        <v>14</v>
      </c>
      <c r="E9" s="12">
        <f t="shared" si="5"/>
        <v>27</v>
      </c>
      <c r="F9" s="37">
        <f t="shared" si="1"/>
        <v>46282</v>
      </c>
      <c r="G9" s="37">
        <f t="shared" si="2"/>
        <v>46301</v>
      </c>
      <c r="H9" s="38">
        <v>14.0</v>
      </c>
      <c r="I9" s="39">
        <f>'Sprint N°4'!B5</f>
        <v>91</v>
      </c>
      <c r="J9" s="38">
        <v>91.0</v>
      </c>
      <c r="K9" s="40">
        <f t="shared" si="3"/>
        <v>0.1279887482</v>
      </c>
      <c r="L9" s="41">
        <f>SUM('Sprint N°4'!Q6:Q9)</f>
        <v>91</v>
      </c>
      <c r="M9" s="34" t="str">
        <f t="shared" si="4"/>
        <v>OK</v>
      </c>
    </row>
    <row r="10" ht="14.25" customHeight="1">
      <c r="A10" s="34">
        <v>5.0</v>
      </c>
      <c r="B10" s="35" t="s">
        <v>30</v>
      </c>
      <c r="C10" s="36">
        <f>COUNTIF('Sprint N°5'!$A$6:$A$9,"?*")</f>
        <v>4</v>
      </c>
      <c r="D10" s="36">
        <f>COUNT('Sprint N°5'!$C$4:$R$4)</f>
        <v>16</v>
      </c>
      <c r="E10" s="12">
        <f t="shared" si="5"/>
        <v>41</v>
      </c>
      <c r="F10" s="37">
        <f t="shared" si="1"/>
        <v>46302</v>
      </c>
      <c r="G10" s="37">
        <f t="shared" si="2"/>
        <v>46323</v>
      </c>
      <c r="H10" s="38">
        <v>16.0</v>
      </c>
      <c r="I10" s="39">
        <f>'Sprint N°5'!B5</f>
        <v>97</v>
      </c>
      <c r="J10" s="38">
        <v>97.0</v>
      </c>
      <c r="K10" s="40">
        <f t="shared" si="3"/>
        <v>0.1364275668</v>
      </c>
      <c r="L10" s="41">
        <f>SUM('Sprint N°5'!S6:S9)</f>
        <v>97</v>
      </c>
      <c r="M10" s="34" t="str">
        <f t="shared" si="4"/>
        <v>OK</v>
      </c>
    </row>
    <row r="11" ht="14.25" customHeight="1">
      <c r="A11" s="34">
        <v>6.0</v>
      </c>
      <c r="B11" s="35" t="s">
        <v>35</v>
      </c>
      <c r="C11" s="36">
        <f>COUNTIF('Sprint N°6'!$A$6:$A$10,"?*")</f>
        <v>5</v>
      </c>
      <c r="D11" s="36">
        <f>COUNT('Sprint N°6'!$C$4:$N$4)</f>
        <v>12</v>
      </c>
      <c r="E11" s="12">
        <f t="shared" si="5"/>
        <v>57</v>
      </c>
      <c r="F11" s="37">
        <f t="shared" si="1"/>
        <v>46324</v>
      </c>
      <c r="G11" s="37">
        <f t="shared" si="2"/>
        <v>46339</v>
      </c>
      <c r="H11" s="38">
        <v>12.0</v>
      </c>
      <c r="I11" s="39">
        <f>'Sprint N°6'!B5</f>
        <v>135</v>
      </c>
      <c r="J11" s="38">
        <v>135.0</v>
      </c>
      <c r="K11" s="40">
        <f t="shared" si="3"/>
        <v>0.1898734177</v>
      </c>
      <c r="L11" s="41">
        <f>SUM('Sprint N°6'!O6:O10)</f>
        <v>135</v>
      </c>
      <c r="M11" s="34" t="str">
        <f t="shared" si="4"/>
        <v>OK</v>
      </c>
    </row>
    <row r="12" ht="14.25" customHeight="1">
      <c r="A12" s="34">
        <v>7.0</v>
      </c>
      <c r="B12" s="35" t="s">
        <v>41</v>
      </c>
      <c r="C12" s="36">
        <f>COUNTIF('Sprint N°7'!$A$6:$A$10,"?*")</f>
        <v>5</v>
      </c>
      <c r="D12" s="36">
        <f>COUNT('Sprint N°7'!$C$4:$P$4)</f>
        <v>14</v>
      </c>
      <c r="E12" s="12">
        <f t="shared" si="5"/>
        <v>69</v>
      </c>
      <c r="F12" s="37">
        <f t="shared" si="1"/>
        <v>46342</v>
      </c>
      <c r="G12" s="37">
        <f t="shared" si="2"/>
        <v>46359</v>
      </c>
      <c r="H12" s="38">
        <v>14.0</v>
      </c>
      <c r="I12" s="39">
        <f>'Sprint N°7'!B5</f>
        <v>114</v>
      </c>
      <c r="J12" s="38">
        <v>114.0</v>
      </c>
      <c r="K12" s="40">
        <f t="shared" si="3"/>
        <v>0.1603375527</v>
      </c>
      <c r="L12" s="41">
        <f>SUM('Sprint N°7'!Q6:Q10)</f>
        <v>114</v>
      </c>
      <c r="M12" s="34" t="str">
        <f t="shared" si="4"/>
        <v>OK</v>
      </c>
    </row>
    <row r="13" ht="14.25" customHeight="1">
      <c r="A13" s="34">
        <v>8.0</v>
      </c>
      <c r="B13" s="35" t="s">
        <v>47</v>
      </c>
      <c r="C13" s="36">
        <f>COUNTIF('Sprint N°8'!$A$6:$A$10,"?*")</f>
        <v>5</v>
      </c>
      <c r="D13" s="36">
        <f>COUNT('Sprint N°8'!$C$4:$M$4)</f>
        <v>11</v>
      </c>
      <c r="E13" s="12">
        <f t="shared" si="5"/>
        <v>83</v>
      </c>
      <c r="F13" s="37">
        <f t="shared" si="1"/>
        <v>46360</v>
      </c>
      <c r="G13" s="37">
        <f t="shared" si="2"/>
        <v>46374</v>
      </c>
      <c r="H13" s="38">
        <v>11.0</v>
      </c>
      <c r="I13" s="39">
        <f>'Sprint N°8'!B5</f>
        <v>86</v>
      </c>
      <c r="J13" s="38">
        <v>86.0</v>
      </c>
      <c r="K13" s="40">
        <f t="shared" si="3"/>
        <v>0.1209563994</v>
      </c>
      <c r="L13" s="41">
        <f>SUM('Sprint N°8'!N6:N10)</f>
        <v>86</v>
      </c>
      <c r="M13" s="34" t="str">
        <f t="shared" si="4"/>
        <v>OK</v>
      </c>
    </row>
    <row r="14" ht="14.25" customHeight="1">
      <c r="A14" s="42" t="s">
        <v>3</v>
      </c>
      <c r="B14" s="9"/>
      <c r="C14" s="43">
        <f t="shared" ref="C14:D14" si="6">SUM(C6:C13)</f>
        <v>38</v>
      </c>
      <c r="D14" s="43">
        <f t="shared" si="6"/>
        <v>94</v>
      </c>
      <c r="E14" s="9"/>
      <c r="F14" s="9"/>
      <c r="G14" s="9"/>
      <c r="H14" s="44">
        <f t="shared" ref="H14:L14" si="7">SUM(H6:H13)</f>
        <v>93.5</v>
      </c>
      <c r="I14" s="44">
        <f t="shared" si="7"/>
        <v>711</v>
      </c>
      <c r="J14" s="44">
        <f t="shared" si="7"/>
        <v>711</v>
      </c>
      <c r="K14" s="45">
        <f t="shared" si="7"/>
        <v>1</v>
      </c>
      <c r="L14" s="44">
        <f t="shared" si="7"/>
        <v>711</v>
      </c>
      <c r="M14" s="43" t="str">
        <f>IF(COUNTIF(M6:M13,"OK")=8,"OK","REVISAR")</f>
        <v>OK</v>
      </c>
    </row>
    <row r="15" ht="14.25" customHeight="1"/>
    <row r="16" ht="14.25" customHeight="1"/>
    <row r="17" ht="14.25" customHeight="1">
      <c r="B17" s="46" t="s">
        <v>74</v>
      </c>
    </row>
    <row r="18" ht="14.25" customHeight="1">
      <c r="B18" s="33" t="s">
        <v>73</v>
      </c>
      <c r="C18" s="33" t="s">
        <v>75</v>
      </c>
      <c r="D18" s="33" t="s">
        <v>76</v>
      </c>
      <c r="E18" s="33" t="s">
        <v>77</v>
      </c>
      <c r="F18" s="33" t="s">
        <v>78</v>
      </c>
    </row>
    <row r="19" ht="14.25" customHeight="1">
      <c r="B19" s="11" t="s">
        <v>79</v>
      </c>
      <c r="C19" s="38">
        <v>711.0</v>
      </c>
      <c r="D19" s="47">
        <f>I14</f>
        <v>711</v>
      </c>
      <c r="E19" s="47">
        <f t="shared" ref="E19:E22" si="8">C19-D19</f>
        <v>0</v>
      </c>
      <c r="F19" s="34" t="str">
        <f t="shared" ref="F19:F21" si="9">IF(E19&gt;=0,"OK","REVISAR")</f>
        <v>OK</v>
      </c>
    </row>
    <row r="20" ht="14.25" customHeight="1">
      <c r="B20" s="11" t="s">
        <v>80</v>
      </c>
      <c r="C20" s="12">
        <f>NETWORKDAYS(C3,D3)</f>
        <v>96</v>
      </c>
      <c r="D20" s="12">
        <f>D14</f>
        <v>94</v>
      </c>
      <c r="E20" s="12">
        <f t="shared" si="8"/>
        <v>2</v>
      </c>
      <c r="F20" s="34" t="str">
        <f t="shared" si="9"/>
        <v>OK</v>
      </c>
    </row>
    <row r="21" ht="14.25" customHeight="1">
      <c r="B21" s="11" t="s">
        <v>81</v>
      </c>
      <c r="C21" s="37">
        <f>D3</f>
        <v>46378</v>
      </c>
      <c r="D21" s="37">
        <f>G13</f>
        <v>46374</v>
      </c>
      <c r="E21" s="48">
        <f t="shared" si="8"/>
        <v>4</v>
      </c>
      <c r="F21" s="34" t="str">
        <f t="shared" si="9"/>
        <v>OK</v>
      </c>
    </row>
    <row r="22" ht="14.25" customHeight="1">
      <c r="B22" s="11" t="s">
        <v>82</v>
      </c>
      <c r="C22" s="47">
        <f>L14</f>
        <v>711</v>
      </c>
      <c r="D22" s="47">
        <f>SUM(burndown_Proyecto_HouseCount!CU5:CU50)</f>
        <v>711</v>
      </c>
      <c r="E22" s="47">
        <f t="shared" si="8"/>
        <v>0</v>
      </c>
      <c r="F22" s="34" t="str">
        <f>IF(ABS(E22)&lt;0.001,"OK","REVISAR")</f>
        <v>OK</v>
      </c>
    </row>
    <row r="23" ht="14.25" customHeight="1"/>
    <row r="24" ht="39.75" customHeight="1">
      <c r="B24" s="49" t="s">
        <v>83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M1"/>
    <mergeCell ref="A2:M2"/>
    <mergeCell ref="B24:M24"/>
  </mergeCells>
  <conditionalFormatting sqref="F19:F22">
    <cfRule type="cellIs" dxfId="0" priority="1" operator="equal">
      <formula>"OK"</formula>
    </cfRule>
  </conditionalFormatting>
  <conditionalFormatting sqref="F19:F22">
    <cfRule type="cellIs" dxfId="1" priority="2" operator="equal">
      <formula>"REVISAR"</formula>
    </cfRule>
  </conditionalFormatting>
  <conditionalFormatting sqref="M6:M14">
    <cfRule type="cellIs" dxfId="0" priority="3" operator="equal">
      <formula>"OK"</formula>
    </cfRule>
  </conditionalFormatting>
  <conditionalFormatting sqref="M6:M14">
    <cfRule type="cellIs" dxfId="1" priority="4" operator="equal">
      <formula>"REVISAR"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17.0"/>
    <col customWidth="1" min="3" max="3" width="4.0"/>
    <col customWidth="1" min="4" max="22" width="3.43"/>
    <col customWidth="1" min="23" max="23" width="10.71"/>
  </cols>
  <sheetData>
    <row r="1" ht="14.25" customHeight="1">
      <c r="A1" s="50" t="s">
        <v>84</v>
      </c>
      <c r="B1" s="51" t="s">
        <v>85</v>
      </c>
    </row>
    <row r="2" ht="14.25" customHeight="1"/>
    <row r="3" ht="14.25" customHeight="1">
      <c r="A3" s="52" t="s">
        <v>0</v>
      </c>
      <c r="B3" s="52" t="s">
        <v>1</v>
      </c>
      <c r="C3" s="53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52" t="s">
        <v>3</v>
      </c>
    </row>
    <row r="4" ht="14.25" customHeight="1">
      <c r="A4" s="7"/>
      <c r="B4" s="7"/>
      <c r="C4" s="54">
        <v>1.0</v>
      </c>
      <c r="D4" s="54">
        <v>2.0</v>
      </c>
      <c r="E4" s="54">
        <v>3.0</v>
      </c>
      <c r="F4" s="54">
        <v>4.0</v>
      </c>
      <c r="G4" s="54">
        <v>5.0</v>
      </c>
      <c r="H4" s="54">
        <v>6.0</v>
      </c>
      <c r="I4" s="54">
        <v>7.0</v>
      </c>
      <c r="J4" s="54">
        <v>8.0</v>
      </c>
      <c r="K4" s="54">
        <v>9.0</v>
      </c>
      <c r="L4" s="54">
        <v>10.0</v>
      </c>
      <c r="M4" s="54">
        <v>11.0</v>
      </c>
      <c r="N4" s="54">
        <v>12.0</v>
      </c>
      <c r="O4" s="54">
        <v>13.0</v>
      </c>
      <c r="P4" s="54">
        <v>14.0</v>
      </c>
      <c r="Q4" s="54">
        <v>15.0</v>
      </c>
      <c r="R4" s="54">
        <v>16.0</v>
      </c>
      <c r="S4" s="54">
        <v>17.0</v>
      </c>
      <c r="T4" s="54">
        <v>18.0</v>
      </c>
      <c r="U4" s="54">
        <v>19.0</v>
      </c>
      <c r="V4" s="54">
        <v>20.0</v>
      </c>
      <c r="W4" s="55"/>
    </row>
    <row r="5" ht="14.25" customHeight="1">
      <c r="A5" s="56" t="s">
        <v>86</v>
      </c>
      <c r="B5" s="57">
        <v>8.0</v>
      </c>
      <c r="C5" s="58">
        <v>2.0</v>
      </c>
      <c r="D5" s="59">
        <v>2.0</v>
      </c>
      <c r="E5" s="59">
        <v>2.0</v>
      </c>
      <c r="F5" s="59">
        <v>1.0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>
        <v>1.0</v>
      </c>
      <c r="W5" s="54">
        <f t="shared" ref="W5:W10" si="1">SUM(C5:V5)</f>
        <v>8</v>
      </c>
    </row>
    <row r="6" ht="14.25" customHeight="1">
      <c r="A6" s="28" t="s">
        <v>87</v>
      </c>
      <c r="B6" s="60">
        <v>24.0</v>
      </c>
      <c r="C6" s="26">
        <v>6.0</v>
      </c>
      <c r="D6" s="51">
        <v>4.0</v>
      </c>
      <c r="E6" s="51">
        <v>2.0</v>
      </c>
      <c r="F6" s="51">
        <v>2.0</v>
      </c>
      <c r="H6" s="51">
        <v>2.0</v>
      </c>
      <c r="I6" s="51">
        <v>2.0</v>
      </c>
      <c r="K6" s="51">
        <v>2.0</v>
      </c>
      <c r="L6" s="51">
        <v>3.0</v>
      </c>
      <c r="V6" s="51">
        <v>1.0</v>
      </c>
      <c r="W6" s="61">
        <f t="shared" si="1"/>
        <v>24</v>
      </c>
    </row>
    <row r="7" ht="14.25" customHeight="1">
      <c r="A7" s="62" t="s">
        <v>88</v>
      </c>
      <c r="B7" s="63">
        <v>34.0</v>
      </c>
      <c r="C7" s="26"/>
      <c r="E7" s="51">
        <v>6.0</v>
      </c>
      <c r="F7" s="51">
        <v>6.0</v>
      </c>
      <c r="G7" s="51">
        <v>8.0</v>
      </c>
      <c r="H7" s="51">
        <v>3.0</v>
      </c>
      <c r="I7" s="51">
        <v>3.0</v>
      </c>
      <c r="J7" s="51">
        <v>3.0</v>
      </c>
      <c r="K7" s="51">
        <v>2.0</v>
      </c>
      <c r="T7" s="51">
        <v>1.0</v>
      </c>
      <c r="U7" s="51">
        <v>1.0</v>
      </c>
      <c r="V7" s="51">
        <v>1.0</v>
      </c>
      <c r="W7" s="61">
        <f t="shared" si="1"/>
        <v>34</v>
      </c>
    </row>
    <row r="8" ht="14.25" customHeight="1">
      <c r="A8" s="28" t="s">
        <v>89</v>
      </c>
      <c r="B8" s="60">
        <v>14.0</v>
      </c>
      <c r="C8" s="26"/>
      <c r="N8" s="51">
        <v>4.0</v>
      </c>
      <c r="O8" s="51">
        <v>2.0</v>
      </c>
      <c r="P8" s="51">
        <v>2.0</v>
      </c>
      <c r="U8" s="51">
        <v>5.0</v>
      </c>
      <c r="V8" s="51">
        <v>1.0</v>
      </c>
      <c r="W8" s="61">
        <f t="shared" si="1"/>
        <v>14</v>
      </c>
    </row>
    <row r="9" ht="14.25" customHeight="1">
      <c r="A9" s="28" t="s">
        <v>90</v>
      </c>
      <c r="B9" s="60">
        <v>10.0</v>
      </c>
      <c r="C9" s="26"/>
      <c r="S9" s="51">
        <v>4.0</v>
      </c>
      <c r="T9" s="51">
        <v>4.0</v>
      </c>
      <c r="U9" s="51">
        <v>1.0</v>
      </c>
      <c r="V9" s="51">
        <v>1.0</v>
      </c>
      <c r="W9" s="61">
        <f t="shared" si="1"/>
        <v>10</v>
      </c>
    </row>
    <row r="10" ht="14.25" customHeight="1">
      <c r="A10" s="28" t="s">
        <v>91</v>
      </c>
      <c r="B10" s="60">
        <v>16.0</v>
      </c>
      <c r="C10" s="64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>
        <v>2.0</v>
      </c>
      <c r="Q10" s="65"/>
      <c r="R10" s="65"/>
      <c r="S10" s="65">
        <v>4.0</v>
      </c>
      <c r="T10" s="65">
        <v>4.0</v>
      </c>
      <c r="U10" s="65">
        <v>5.0</v>
      </c>
      <c r="V10" s="65">
        <v>1.0</v>
      </c>
      <c r="W10" s="66">
        <f t="shared" si="1"/>
        <v>16</v>
      </c>
    </row>
    <row r="11" ht="14.25" customHeight="1"/>
    <row r="12" ht="14.25" customHeight="1">
      <c r="A12" s="67" t="s">
        <v>11</v>
      </c>
      <c r="B12" s="51">
        <f>SUM(B5:B11)</f>
        <v>106</v>
      </c>
      <c r="C12" s="51">
        <f t="shared" ref="C12:V12" si="2">B12-SUM(C5:C10)</f>
        <v>98</v>
      </c>
      <c r="D12" s="51">
        <f t="shared" si="2"/>
        <v>92</v>
      </c>
      <c r="E12" s="51">
        <f t="shared" si="2"/>
        <v>82</v>
      </c>
      <c r="F12" s="51">
        <f t="shared" si="2"/>
        <v>73</v>
      </c>
      <c r="G12" s="51">
        <f t="shared" si="2"/>
        <v>65</v>
      </c>
      <c r="H12" s="51">
        <f t="shared" si="2"/>
        <v>60</v>
      </c>
      <c r="I12" s="51">
        <f t="shared" si="2"/>
        <v>55</v>
      </c>
      <c r="J12" s="51">
        <f t="shared" si="2"/>
        <v>52</v>
      </c>
      <c r="K12" s="51">
        <f t="shared" si="2"/>
        <v>48</v>
      </c>
      <c r="L12" s="51">
        <f t="shared" si="2"/>
        <v>45</v>
      </c>
      <c r="M12" s="51">
        <f t="shared" si="2"/>
        <v>45</v>
      </c>
      <c r="N12" s="51">
        <f t="shared" si="2"/>
        <v>41</v>
      </c>
      <c r="O12" s="51">
        <f t="shared" si="2"/>
        <v>39</v>
      </c>
      <c r="P12" s="51">
        <f t="shared" si="2"/>
        <v>35</v>
      </c>
      <c r="Q12" s="51">
        <f t="shared" si="2"/>
        <v>35</v>
      </c>
      <c r="R12" s="51">
        <f t="shared" si="2"/>
        <v>35</v>
      </c>
      <c r="S12" s="51">
        <f t="shared" si="2"/>
        <v>27</v>
      </c>
      <c r="T12" s="51">
        <f t="shared" si="2"/>
        <v>18</v>
      </c>
      <c r="U12" s="51">
        <f t="shared" si="2"/>
        <v>6</v>
      </c>
      <c r="V12" s="51">
        <f t="shared" si="2"/>
        <v>0</v>
      </c>
    </row>
    <row r="13" ht="14.25" customHeight="1"/>
    <row r="14" ht="14.25" customHeight="1">
      <c r="A14" s="67" t="s">
        <v>12</v>
      </c>
      <c r="B14" s="51">
        <f>SUM(B5:B10)</f>
        <v>106</v>
      </c>
      <c r="C14" s="51">
        <f t="shared" ref="C14:V14" si="3">B14-(SUM($B$5:$B$10)/20)</f>
        <v>100.7</v>
      </c>
      <c r="D14" s="51">
        <f t="shared" si="3"/>
        <v>95.4</v>
      </c>
      <c r="E14" s="51">
        <f t="shared" si="3"/>
        <v>90.1</v>
      </c>
      <c r="F14" s="51">
        <f t="shared" si="3"/>
        <v>84.8</v>
      </c>
      <c r="G14" s="51">
        <f t="shared" si="3"/>
        <v>79.5</v>
      </c>
      <c r="H14" s="51">
        <f t="shared" si="3"/>
        <v>74.2</v>
      </c>
      <c r="I14" s="51">
        <f t="shared" si="3"/>
        <v>68.9</v>
      </c>
      <c r="J14" s="51">
        <f t="shared" si="3"/>
        <v>63.6</v>
      </c>
      <c r="K14" s="51">
        <f t="shared" si="3"/>
        <v>58.3</v>
      </c>
      <c r="L14" s="51">
        <f t="shared" si="3"/>
        <v>53</v>
      </c>
      <c r="M14" s="51">
        <f t="shared" si="3"/>
        <v>47.7</v>
      </c>
      <c r="N14" s="51">
        <f t="shared" si="3"/>
        <v>42.4</v>
      </c>
      <c r="O14" s="51">
        <f t="shared" si="3"/>
        <v>37.1</v>
      </c>
      <c r="P14" s="51">
        <f t="shared" si="3"/>
        <v>31.8</v>
      </c>
      <c r="Q14" s="51">
        <f t="shared" si="3"/>
        <v>26.5</v>
      </c>
      <c r="R14" s="51">
        <f t="shared" si="3"/>
        <v>21.2</v>
      </c>
      <c r="S14" s="51">
        <f t="shared" si="3"/>
        <v>15.9</v>
      </c>
      <c r="T14" s="51">
        <f t="shared" si="3"/>
        <v>10.6</v>
      </c>
      <c r="U14" s="51">
        <f t="shared" si="3"/>
        <v>5.3</v>
      </c>
      <c r="V14" s="51">
        <f t="shared" si="3"/>
        <v>0</v>
      </c>
    </row>
    <row r="15" ht="14.25" customHeight="1"/>
    <row r="16" ht="14.25" customHeight="1">
      <c r="B16" s="68"/>
    </row>
    <row r="17" ht="14.25" customHeight="1">
      <c r="B17" s="68"/>
      <c r="G17" s="68"/>
    </row>
    <row r="18" ht="14.25" customHeight="1">
      <c r="B18" s="68"/>
      <c r="G18" s="68"/>
    </row>
    <row r="19" ht="14.25" customHeight="1">
      <c r="B19" s="68"/>
      <c r="G19" s="68"/>
    </row>
    <row r="20" ht="14.25" customHeight="1">
      <c r="B20" s="68"/>
      <c r="G20" s="68"/>
    </row>
    <row r="21" ht="15.75" customHeight="1">
      <c r="B21" s="68"/>
      <c r="G21" s="68"/>
    </row>
    <row r="22" ht="15.75" customHeight="1">
      <c r="B22" s="68"/>
      <c r="G22" s="68"/>
    </row>
    <row r="23" ht="15.75" customHeight="1">
      <c r="B23" s="68"/>
    </row>
    <row r="24" ht="15.75" customHeight="1">
      <c r="B24" s="68"/>
    </row>
    <row r="25" ht="15.75" customHeight="1">
      <c r="B25" s="6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
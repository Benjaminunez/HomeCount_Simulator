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94" documentId="8_{2EFDF332-31E9-4C74-A6B5-E695634C1C45}" xr6:coauthVersionLast="47" xr6:coauthVersionMax="47" xr10:uidLastSave="{B8034923-1686-437D-923A-2A65C687D37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7" i="1"/>
  <c r="D6" i="1"/>
  <c r="D5" i="1"/>
  <c r="C61" i="1"/>
  <c r="B65" i="1"/>
  <c r="B66" i="1"/>
  <c r="B67" i="1"/>
  <c r="J67" i="1"/>
  <c r="K67" i="1" s="1"/>
  <c r="H67" i="1"/>
  <c r="I67" i="1" s="1"/>
  <c r="F67" i="1"/>
  <c r="G67" i="1" s="1"/>
  <c r="D67" i="1"/>
  <c r="E67" i="1" s="1"/>
  <c r="J66" i="1"/>
  <c r="K66" i="1" s="1"/>
  <c r="H66" i="1"/>
  <c r="I66" i="1" s="1"/>
  <c r="F66" i="1"/>
  <c r="G66" i="1" s="1"/>
  <c r="D66" i="1"/>
  <c r="J65" i="1"/>
  <c r="H65" i="1"/>
  <c r="F65" i="1"/>
  <c r="D65" i="1"/>
  <c r="E65" i="1" s="1"/>
  <c r="C7" i="1"/>
  <c r="C2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F68" i="1" l="1"/>
  <c r="G65" i="1"/>
  <c r="G68" i="1" s="1"/>
  <c r="H68" i="1"/>
  <c r="I65" i="1"/>
  <c r="I68" i="1" s="1"/>
  <c r="J68" i="1"/>
  <c r="K65" i="1"/>
  <c r="K68" i="1" s="1"/>
  <c r="D68" i="1"/>
  <c r="E66" i="1"/>
  <c r="E68" i="1" s="1"/>
  <c r="C68" i="1" s="1"/>
  <c r="C69" i="1" s="1"/>
  <c r="D7" i="1" s="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C58" i="1"/>
  <c r="E23" i="1"/>
  <c r="G23" i="1"/>
  <c r="I23" i="1"/>
  <c r="C34" i="1" l="1"/>
  <c r="K23" i="1"/>
  <c r="C23" i="1" s="1"/>
  <c r="C24" i="1" s="1"/>
  <c r="C35" i="1" l="1"/>
  <c r="D4" i="1" s="1"/>
  <c r="C6" i="1"/>
  <c r="C5" i="1"/>
  <c r="E5" i="1" s="1"/>
  <c r="C4" i="1"/>
  <c r="E4" i="1" l="1"/>
</calcChain>
</file>

<file path=xl/sharedStrings.xml><?xml version="1.0" encoding="utf-8"?>
<sst xmlns="http://schemas.openxmlformats.org/spreadsheetml/2006/main" count="173" uniqueCount="99">
  <si>
    <t>INTEGRANTES</t>
  </si>
  <si>
    <t xml:space="preserve">IEP o IEE: </t>
  </si>
  <si>
    <t>EMPLEAB</t>
  </si>
  <si>
    <t>PADILLA ALIAGA LUCAS IGNACIO</t>
  </si>
  <si>
    <t>CASELLAS MADRID BENJAMIN ISAAC</t>
  </si>
  <si>
    <t>NUNEZ ARANCIBIA BENJAMIN</t>
  </si>
  <si>
    <t>CASTRO GONZALEZ EMILIO GABRIEL</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</si>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</sst>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164" fontId="0" fillId="2" borderId="14" xfId="0" applyNumberFormat="1" applyFill="1" applyBorder="1" applyAlignment="1">
      <alignment horizontal="center"/>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6" sqref="H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9"/>
    </row>
    <row r="4" spans="1:11">
      <c r="A4" s="5">
        <v>1</v>
      </c>
      <c r="B4" s="48" t="s">
        <v>3</v>
      </c>
      <c r="C4" s="68">
        <f>EVALUACION1!$C$24</f>
        <v>6.1</v>
      </c>
      <c r="D4" s="6">
        <f>$C$35</f>
        <v>6</v>
      </c>
      <c r="E4" s="42">
        <f>C4*C$2+D4*D$2</f>
        <v>6.0749999999999993</v>
      </c>
      <c r="G4" s="1"/>
    </row>
    <row r="5" spans="1:11">
      <c r="A5" s="5">
        <v>2</v>
      </c>
      <c r="B5" s="48" t="s">
        <v>4</v>
      </c>
      <c r="C5" s="68">
        <f>EVALUACION1!$C$24</f>
        <v>6.1</v>
      </c>
      <c r="D5" s="6">
        <f>C47</f>
        <v>7</v>
      </c>
      <c r="E5" s="42">
        <f t="shared" ref="E5:E6" si="0">C5*C$2+D5*D$2</f>
        <v>6.3249999999999993</v>
      </c>
      <c r="G5" s="1"/>
    </row>
    <row r="6" spans="1:11">
      <c r="A6" s="5">
        <v>3</v>
      </c>
      <c r="B6" s="48" t="s">
        <v>5</v>
      </c>
      <c r="C6" s="68">
        <f>EVALUACION1!$C$24</f>
        <v>6.1</v>
      </c>
      <c r="D6" s="6">
        <f>C58</f>
        <v>7</v>
      </c>
      <c r="E6" s="42">
        <f>C6*C$2+D6*D$2</f>
        <v>6.3249999999999993</v>
      </c>
      <c r="G6" s="1"/>
    </row>
    <row r="7" spans="1:11" ht="15" customHeight="1">
      <c r="A7">
        <v>4</v>
      </c>
      <c r="B7" s="48" t="s">
        <v>6</v>
      </c>
      <c r="C7" s="68">
        <f>EVALUACION1!$C$24</f>
        <v>6.1</v>
      </c>
      <c r="D7" s="6">
        <f>C69</f>
        <v>5</v>
      </c>
      <c r="E7" s="42">
        <f>C7*C$2+D7*D$2</f>
        <v>5.8249999999999993</v>
      </c>
    </row>
    <row r="9" spans="1:11" ht="15" customHeight="1">
      <c r="B9" s="48"/>
    </row>
    <row r="11" spans="1:11" ht="18.75" outlineLevel="1">
      <c r="A11" s="55" t="s">
        <v>7</v>
      </c>
      <c r="B11" s="14"/>
      <c r="C11" s="50" t="s">
        <v>8</v>
      </c>
      <c r="D11" s="52" t="s">
        <v>9</v>
      </c>
      <c r="E11" s="70"/>
      <c r="F11" s="70"/>
      <c r="G11" s="70"/>
      <c r="H11" s="70"/>
      <c r="I11" s="70"/>
      <c r="J11" s="70"/>
      <c r="K11" s="71"/>
    </row>
    <row r="12" spans="1:11" outlineLevel="1">
      <c r="A12" s="72"/>
      <c r="B12" s="24" t="s">
        <v>10</v>
      </c>
      <c r="C12" s="69"/>
      <c r="D12" s="52" t="s">
        <v>11</v>
      </c>
      <c r="E12" s="71"/>
      <c r="F12" s="52" t="s">
        <v>12</v>
      </c>
      <c r="G12" s="71"/>
      <c r="H12" s="52" t="s">
        <v>13</v>
      </c>
      <c r="I12" s="71"/>
      <c r="J12" s="52" t="s">
        <v>14</v>
      </c>
      <c r="K12" s="71"/>
    </row>
    <row r="13" spans="1:11" ht="24" outlineLevel="1">
      <c r="A13" s="73"/>
      <c r="B13" s="34" t="str">
        <f>RUBRICA!A5</f>
        <v>1. Describe brevemente en qué consiste el Proyecto APT, justificando su relevancia para el campo laboral de su carrera.</v>
      </c>
      <c r="C13" s="32" t="s">
        <v>11</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3"/>
      <c r="B14" s="34" t="str">
        <f>RUBRICA!A6</f>
        <v>2. Relaciona el Proyecto APT con las competencias del perfil de egreso de su Plan de Estudio.</v>
      </c>
      <c r="C14" s="32" t="s">
        <v>11</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3"/>
      <c r="B15" s="34" t="str">
        <f>RUBRICA!A8</f>
        <v xml:space="preserve">4.  Argumenta por qué el proyecto es factible de realizarse en el marco de la asignatura. </v>
      </c>
      <c r="C15" s="32" t="s">
        <v>11</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3"/>
      <c r="B16" s="34" t="str">
        <f>RUBRICA!A9</f>
        <v xml:space="preserve">5. Formula objetivos claros, concisos y coherentes con la disciplina y la situación a abordar. </v>
      </c>
      <c r="C16" s="32" t="s">
        <v>11</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3"/>
      <c r="B17" s="34" t="str">
        <f>RUBRICA!A10</f>
        <v>6. Propone una metodología de trabajo que permite alcanzar los objetivos propuestos y es pertinente con los requerimientos disciplinares.</v>
      </c>
      <c r="C17" s="32" t="s">
        <v>12</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3"/>
      <c r="B18" s="34" t="str">
        <f>RUBRICA!A11</f>
        <v xml:space="preserve">7. Establece un plan de trabajo para su proyecto APT considerando los recursos, duración, facilitadores y obstaculizadores en el desarrollo de las actividades. </v>
      </c>
      <c r="C18" s="32" t="s">
        <v>11</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3"/>
      <c r="B19" s="34" t="str">
        <f>RUBRICA!A12</f>
        <v>8. Determina evidencias, justificando cómo estas dan cuenta del logro de las actividades del Proyecto APT.</v>
      </c>
      <c r="C19" s="32" t="s">
        <v>12</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3"/>
      <c r="B20" s="34" t="str">
        <f>RUBRICA!A13</f>
        <v xml:space="preserve">9. Utiliza reglas de redacción, ortografía (literal, puntual, acentual) y las normas para citas y referencias. </v>
      </c>
      <c r="C20" s="32" t="s">
        <v>11</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3"/>
      <c r="B21" s="34" t="str">
        <f>RUBRICA!A14</f>
        <v>10. Cumple completando el contenido del informe de presentación del proyecto de acuerdo con la plantilla entregada.</v>
      </c>
      <c r="C21" s="32" t="s">
        <v>12</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3"/>
      <c r="B22" s="34" t="str">
        <f>RUBRICA!A16</f>
        <v>12. Desarrolla un plan de trabajo que permita del logro de los objetivos propuestos del proyecto de 
acuerdo a los tiempos para su desarrollo</v>
      </c>
      <c r="C22" s="32" t="s">
        <v>11</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2"/>
      <c r="B23" s="33" t="s">
        <v>15</v>
      </c>
      <c r="C23" s="36">
        <f>E23+G23+I23+K23</f>
        <v>62</v>
      </c>
      <c r="D23" s="19"/>
      <c r="E23" s="19">
        <f>SUM(E13:E22)</f>
        <v>50</v>
      </c>
      <c r="F23" s="19"/>
      <c r="G23" s="19">
        <f>SUM(G13:G22)</f>
        <v>12</v>
      </c>
      <c r="H23" s="19"/>
      <c r="I23" s="19">
        <f>SUM(I13:I22)</f>
        <v>0</v>
      </c>
      <c r="J23" s="19"/>
      <c r="K23" s="19">
        <f>SUM(K13:K22)</f>
        <v>0</v>
      </c>
    </row>
    <row r="24" spans="1:11" ht="15.75" customHeight="1" outlineLevel="1">
      <c r="A24" s="69"/>
      <c r="B24" s="35" t="s">
        <v>16</v>
      </c>
      <c r="C24" s="20">
        <f>VLOOKUP(C23,ESCALA_IEP!A2:B142,2,FALSE)</f>
        <v>6.1</v>
      </c>
    </row>
    <row r="25" spans="1:11" ht="15.75" customHeight="1"/>
    <row r="26" spans="1:11" ht="15.75" customHeight="1"/>
    <row r="27" spans="1:11" ht="15.75" customHeight="1">
      <c r="A27" s="53" t="s">
        <v>17</v>
      </c>
      <c r="B27" s="49" t="s">
        <v>18</v>
      </c>
      <c r="C27" s="51" t="str">
        <f>$B$4</f>
        <v>PADILLA ALIAGA LUCAS IGNACIO</v>
      </c>
      <c r="D27" s="74"/>
      <c r="E27" s="74"/>
      <c r="F27" s="74"/>
      <c r="G27" s="74"/>
      <c r="H27" s="74"/>
      <c r="I27" s="74"/>
      <c r="J27" s="74"/>
      <c r="K27" s="75"/>
    </row>
    <row r="28" spans="1:11" ht="15.75" customHeight="1">
      <c r="A28" s="72"/>
      <c r="B28" s="69"/>
      <c r="C28" s="76"/>
      <c r="D28" s="77"/>
      <c r="E28" s="77"/>
      <c r="F28" s="77"/>
      <c r="G28" s="77"/>
      <c r="H28" s="77"/>
      <c r="I28" s="77"/>
      <c r="J28" s="77"/>
      <c r="K28" s="78"/>
    </row>
    <row r="29" spans="1:11" ht="15.75" customHeight="1">
      <c r="A29" s="72"/>
      <c r="B29" s="14" t="s">
        <v>19</v>
      </c>
      <c r="C29" s="50" t="s">
        <v>8</v>
      </c>
      <c r="D29" s="52" t="s">
        <v>9</v>
      </c>
      <c r="E29" s="70"/>
      <c r="F29" s="70"/>
      <c r="G29" s="70"/>
      <c r="H29" s="70"/>
      <c r="I29" s="70"/>
      <c r="J29" s="70"/>
      <c r="K29" s="71"/>
    </row>
    <row r="30" spans="1:11" ht="15.75" customHeight="1">
      <c r="A30" s="72"/>
      <c r="B30" s="15" t="s">
        <v>10</v>
      </c>
      <c r="C30" s="69"/>
      <c r="D30" s="52" t="s">
        <v>11</v>
      </c>
      <c r="E30" s="71"/>
      <c r="F30" s="52" t="s">
        <v>12</v>
      </c>
      <c r="G30" s="71"/>
      <c r="H30" s="52" t="s">
        <v>20</v>
      </c>
      <c r="I30" s="71"/>
      <c r="J30" s="52" t="s">
        <v>14</v>
      </c>
      <c r="K30" s="71"/>
    </row>
    <row r="31" spans="1:11" ht="24.6" customHeight="1">
      <c r="A31" s="72"/>
      <c r="B31" s="34" t="str">
        <f>RUBRICA!A7</f>
        <v>3. Relaciona el Proyecto APT con sus intereses profesionales. *</v>
      </c>
      <c r="C31" s="32" t="s">
        <v>11</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2"/>
      <c r="B32" s="34" t="str">
        <f>RUBRICA!A15</f>
        <v>11. Expone el tema utilizando un lenguaje técnico disciplinar al presentar la propuesta y responde evidenciando un manejo de la información. *</v>
      </c>
      <c r="C32" s="32" t="s">
        <v>11</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2"/>
      <c r="B33" s="34" t="str">
        <f>RUBRICA!A17</f>
        <v>13. Colaboración y trabajo en equipo *</v>
      </c>
      <c r="C33" s="32" t="s">
        <v>12</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c r="A34" s="72"/>
      <c r="B34" s="21" t="s">
        <v>21</v>
      </c>
      <c r="C34" s="18">
        <f>E34+G34+I34+K34</f>
        <v>26</v>
      </c>
      <c r="D34" s="19"/>
      <c r="E34" s="19">
        <f>SUM(E31:E33)</f>
        <v>20</v>
      </c>
      <c r="F34" s="19"/>
      <c r="G34" s="19">
        <f t="shared" ref="G34:K34" si="30">SUM(G31:G33)</f>
        <v>6</v>
      </c>
      <c r="H34" s="19"/>
      <c r="I34" s="19">
        <f t="shared" si="30"/>
        <v>0</v>
      </c>
      <c r="J34" s="19"/>
      <c r="K34" s="19">
        <f t="shared" si="30"/>
        <v>0</v>
      </c>
    </row>
    <row r="35" spans="1:11" ht="15.75" customHeight="1">
      <c r="A35" s="69"/>
      <c r="B35" s="17" t="s">
        <v>16</v>
      </c>
      <c r="C35" s="20">
        <f>VLOOKUP(C34,ESCALA_TRAB_EQUIP!A2:B62,2,FALSE)</f>
        <v>6</v>
      </c>
    </row>
    <row r="36" spans="1:11" ht="15.75" customHeight="1">
      <c r="B36" s="22"/>
      <c r="C36" s="23"/>
    </row>
    <row r="37" spans="1:11" ht="15.75" customHeight="1">
      <c r="B37" s="22"/>
      <c r="C37" s="23"/>
    </row>
    <row r="38" spans="1:11" ht="15.75" customHeight="1"/>
    <row r="39" spans="1:11" ht="15.75" customHeight="1">
      <c r="A39" s="53" t="s">
        <v>17</v>
      </c>
      <c r="B39" s="49" t="s">
        <v>18</v>
      </c>
      <c r="C39" s="51" t="str">
        <f>B5</f>
        <v>CASELLAS MADRID BENJAMIN ISAAC</v>
      </c>
      <c r="D39" s="74"/>
      <c r="E39" s="74"/>
      <c r="F39" s="74"/>
      <c r="G39" s="74"/>
      <c r="H39" s="74"/>
      <c r="I39" s="74"/>
      <c r="J39" s="74"/>
      <c r="K39" s="75"/>
    </row>
    <row r="40" spans="1:11" ht="15.75" customHeight="1">
      <c r="A40" s="72"/>
      <c r="B40" s="69"/>
      <c r="C40" s="76"/>
      <c r="D40" s="77"/>
      <c r="E40" s="77"/>
      <c r="F40" s="77"/>
      <c r="G40" s="77"/>
      <c r="H40" s="77"/>
      <c r="I40" s="77"/>
      <c r="J40" s="77"/>
      <c r="K40" s="78"/>
    </row>
    <row r="41" spans="1:11" ht="15.75" customHeight="1">
      <c r="A41" s="72"/>
      <c r="B41" s="14" t="s">
        <v>19</v>
      </c>
      <c r="C41" s="50" t="s">
        <v>8</v>
      </c>
      <c r="D41" s="52" t="s">
        <v>9</v>
      </c>
      <c r="E41" s="70"/>
      <c r="F41" s="70"/>
      <c r="G41" s="70"/>
      <c r="H41" s="70"/>
      <c r="I41" s="70"/>
      <c r="J41" s="70"/>
      <c r="K41" s="71"/>
    </row>
    <row r="42" spans="1:11" ht="15.75" customHeight="1">
      <c r="A42" s="72"/>
      <c r="B42" s="15" t="s">
        <v>10</v>
      </c>
      <c r="C42" s="69"/>
      <c r="D42" s="52" t="s">
        <v>11</v>
      </c>
      <c r="E42" s="71"/>
      <c r="F42" s="52" t="s">
        <v>12</v>
      </c>
      <c r="G42" s="71"/>
      <c r="H42" s="52" t="s">
        <v>20</v>
      </c>
      <c r="I42" s="71"/>
      <c r="J42" s="52" t="s">
        <v>14</v>
      </c>
      <c r="K42" s="71"/>
    </row>
    <row r="43" spans="1:11" ht="25.9" customHeight="1">
      <c r="A43" s="72"/>
      <c r="B43" s="34" t="str">
        <f>RUBRICA!A7</f>
        <v>3. Relaciona el Proyecto APT con sus intereses profesionales. *</v>
      </c>
      <c r="C43" s="32" t="s">
        <v>11</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2"/>
      <c r="B44" s="34" t="str">
        <f>RUBRICA!A15</f>
        <v>11. Expone el tema utilizando un lenguaje técnico disciplinar al presentar la propuesta y responde evidenciando un manejo de la información. *</v>
      </c>
      <c r="C44" s="32" t="s">
        <v>11</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2"/>
      <c r="B45" s="34" t="str">
        <f>RUBRICA!A17</f>
        <v>13. Colaboración y trabajo en equipo *</v>
      </c>
      <c r="C45" s="32" t="s">
        <v>11</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2"/>
      <c r="B46" s="21" t="s">
        <v>21</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9"/>
      <c r="B47" s="17" t="s">
        <v>16</v>
      </c>
      <c r="C47" s="20">
        <f>VLOOKUP(C46,ESCALA_TRAB_EQUIP!A2:B62,2,FALSE)</f>
        <v>7</v>
      </c>
    </row>
    <row r="48" spans="1:11" ht="15.75" customHeight="1">
      <c r="B48" s="22"/>
      <c r="C48" s="23"/>
    </row>
    <row r="49" spans="1:11" ht="15.75" customHeight="1">
      <c r="B49" s="22"/>
      <c r="C49" s="23"/>
    </row>
    <row r="50" spans="1:11" ht="15.75" customHeight="1">
      <c r="A50" s="53" t="s">
        <v>17</v>
      </c>
      <c r="B50" s="49" t="s">
        <v>18</v>
      </c>
      <c r="C50" s="51" t="str">
        <f>B6</f>
        <v>NUNEZ ARANCIBIA BENJAMIN</v>
      </c>
      <c r="D50" s="74"/>
      <c r="E50" s="74"/>
      <c r="F50" s="74"/>
      <c r="G50" s="74"/>
      <c r="H50" s="74"/>
      <c r="I50" s="74"/>
      <c r="J50" s="74"/>
      <c r="K50" s="75"/>
    </row>
    <row r="51" spans="1:11" ht="15.75" customHeight="1">
      <c r="A51" s="72"/>
      <c r="B51" s="69"/>
      <c r="C51" s="76"/>
      <c r="D51" s="77"/>
      <c r="E51" s="77"/>
      <c r="F51" s="77"/>
      <c r="G51" s="77"/>
      <c r="H51" s="77"/>
      <c r="I51" s="77"/>
      <c r="J51" s="77"/>
      <c r="K51" s="78"/>
    </row>
    <row r="52" spans="1:11" ht="15.75" customHeight="1">
      <c r="A52" s="72"/>
      <c r="B52" s="14" t="s">
        <v>19</v>
      </c>
      <c r="C52" s="50" t="s">
        <v>8</v>
      </c>
      <c r="D52" s="52" t="s">
        <v>9</v>
      </c>
      <c r="E52" s="70"/>
      <c r="F52" s="70"/>
      <c r="G52" s="70"/>
      <c r="H52" s="70"/>
      <c r="I52" s="70"/>
      <c r="J52" s="70"/>
      <c r="K52" s="71"/>
    </row>
    <row r="53" spans="1:11" ht="15.75" customHeight="1">
      <c r="A53" s="72"/>
      <c r="B53" s="15" t="s">
        <v>10</v>
      </c>
      <c r="C53" s="69"/>
      <c r="D53" s="52" t="s">
        <v>11</v>
      </c>
      <c r="E53" s="71"/>
      <c r="F53" s="52" t="s">
        <v>12</v>
      </c>
      <c r="G53" s="71"/>
      <c r="H53" s="52" t="s">
        <v>20</v>
      </c>
      <c r="I53" s="71"/>
      <c r="J53" s="52" t="s">
        <v>14</v>
      </c>
      <c r="K53" s="71"/>
    </row>
    <row r="54" spans="1:11" ht="25.9" customHeight="1">
      <c r="A54" s="72"/>
      <c r="B54" s="34" t="str">
        <f>RUBRICA!A7</f>
        <v>3. Relaciona el Proyecto APT con sus intereses profesionales. *</v>
      </c>
      <c r="C54" s="32" t="s">
        <v>11</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2"/>
      <c r="B55" s="34" t="str">
        <f>RUBRICA!A15</f>
        <v>11. Expone el tema utilizando un lenguaje técnico disciplinar al presentar la propuesta y responde evidenciando un manejo de la información. *</v>
      </c>
      <c r="C55" s="32" t="s">
        <v>11</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2"/>
      <c r="B56" s="34" t="str">
        <f>RUBRICA!A17</f>
        <v>13. Colaboración y trabajo en equipo *</v>
      </c>
      <c r="C56" s="32" t="s">
        <v>11</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2"/>
      <c r="B57" s="21" t="s">
        <v>21</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9"/>
      <c r="B58" s="17" t="s">
        <v>16</v>
      </c>
      <c r="C58" s="20">
        <f>VLOOKUP(C57,ESCALA_TRAB_EQUIP!A2:B62,2,FALSE)</f>
        <v>7</v>
      </c>
    </row>
    <row r="59" spans="1:11" ht="15.75" customHeight="1">
      <c r="B59" s="22"/>
      <c r="C59" s="23"/>
    </row>
    <row r="60" spans="1:11" ht="15.75" customHeight="1"/>
    <row r="61" spans="1:11" ht="15.75" customHeight="1">
      <c r="A61" s="53" t="s">
        <v>17</v>
      </c>
      <c r="B61" s="49" t="s">
        <v>18</v>
      </c>
      <c r="C61" s="51" t="str">
        <f>B7</f>
        <v>CASTRO GONZALEZ EMILIO GABRIEL</v>
      </c>
      <c r="D61" s="74"/>
      <c r="E61" s="74"/>
      <c r="F61" s="74"/>
      <c r="G61" s="74"/>
      <c r="H61" s="74"/>
      <c r="I61" s="74"/>
      <c r="J61" s="74"/>
      <c r="K61" s="75"/>
    </row>
    <row r="62" spans="1:11" ht="15.75" customHeight="1">
      <c r="A62" s="72"/>
      <c r="B62" s="69"/>
      <c r="C62" s="76"/>
      <c r="D62" s="77"/>
      <c r="E62" s="77"/>
      <c r="F62" s="77"/>
      <c r="G62" s="77"/>
      <c r="H62" s="77"/>
      <c r="I62" s="77"/>
      <c r="J62" s="77"/>
      <c r="K62" s="78"/>
    </row>
    <row r="63" spans="1:11" ht="15.75" customHeight="1">
      <c r="A63" s="72"/>
      <c r="B63" s="14" t="s">
        <v>19</v>
      </c>
      <c r="C63" s="50" t="s">
        <v>8</v>
      </c>
      <c r="D63" s="52" t="s">
        <v>9</v>
      </c>
      <c r="E63" s="70"/>
      <c r="F63" s="70"/>
      <c r="G63" s="70"/>
      <c r="H63" s="70"/>
      <c r="I63" s="70"/>
      <c r="J63" s="70"/>
      <c r="K63" s="71"/>
    </row>
    <row r="64" spans="1:11" ht="15.75" customHeight="1">
      <c r="A64" s="72"/>
      <c r="B64" s="15" t="s">
        <v>10</v>
      </c>
      <c r="C64" s="69"/>
      <c r="D64" s="52" t="s">
        <v>11</v>
      </c>
      <c r="E64" s="71"/>
      <c r="F64" s="52" t="s">
        <v>12</v>
      </c>
      <c r="G64" s="71"/>
      <c r="H64" s="52" t="s">
        <v>20</v>
      </c>
      <c r="I64" s="71"/>
      <c r="J64" s="52" t="s">
        <v>14</v>
      </c>
      <c r="K64" s="71"/>
    </row>
    <row r="65" spans="1:11" ht="15.75" customHeight="1">
      <c r="A65" s="72"/>
      <c r="B65" s="34" t="str">
        <f t="shared" ref="B65:B67" si="50">B54</f>
        <v>3. Relaciona el Proyecto APT con sus intereses profesionales. *</v>
      </c>
      <c r="C65" s="32" t="s">
        <v>12</v>
      </c>
      <c r="D65" s="16" t="str">
        <f t="shared" ref="D65:D66" si="51">IF($C65=CL,"X","")</f>
        <v/>
      </c>
      <c r="E65" s="16" t="str">
        <f>IF(D65="X",100*0.1,"")</f>
        <v/>
      </c>
      <c r="F65" s="16" t="str">
        <f t="shared" ref="F65:F66" si="52">IF($C65=L,"X","")</f>
        <v>X</v>
      </c>
      <c r="G65" s="16">
        <f>IF(F65="X",60*0.1,"")</f>
        <v>6</v>
      </c>
      <c r="H65" s="16" t="str">
        <f t="shared" ref="H65:H66" si="53">IF($C65=ML,"X","")</f>
        <v/>
      </c>
      <c r="I65" s="16" t="str">
        <f>IF(H65="X",30*0.1,"")</f>
        <v/>
      </c>
      <c r="J65" s="16" t="str">
        <f t="shared" ref="J65:J66" si="54">IF($C65=NL,"X","")</f>
        <v/>
      </c>
      <c r="K65" s="16" t="str">
        <f t="shared" ref="K65:K66" si="55">IF($J65="X",0,"")</f>
        <v/>
      </c>
    </row>
    <row r="66" spans="1:11" ht="15.75" customHeight="1">
      <c r="A66" s="72"/>
      <c r="B66" s="34" t="str">
        <f t="shared" si="50"/>
        <v>11. Expone el tema utilizando un lenguaje técnico disciplinar al presentar la propuesta y responde evidenciando un manejo de la información. *</v>
      </c>
      <c r="C66" s="32" t="s">
        <v>11</v>
      </c>
      <c r="D66" s="16" t="str">
        <f t="shared" si="51"/>
        <v>X</v>
      </c>
      <c r="E66" s="16">
        <f>IF(D66="X",100*0.1,"")</f>
        <v>10</v>
      </c>
      <c r="F66" s="16" t="str">
        <f t="shared" si="52"/>
        <v/>
      </c>
      <c r="G66" s="16" t="str">
        <f>IF(F66="X",60*0.1,"")</f>
        <v/>
      </c>
      <c r="H66" s="16" t="str">
        <f t="shared" si="53"/>
        <v/>
      </c>
      <c r="I66" s="16" t="str">
        <f>IF(H66="X",30*0.1,"")</f>
        <v/>
      </c>
      <c r="J66" s="16" t="str">
        <f t="shared" si="54"/>
        <v/>
      </c>
      <c r="K66" s="16" t="str">
        <f t="shared" si="55"/>
        <v/>
      </c>
    </row>
    <row r="67" spans="1:11" ht="15.75" customHeight="1">
      <c r="A67" s="72"/>
      <c r="B67" s="34" t="str">
        <f t="shared" si="50"/>
        <v>13. Colaboración y trabajo en equipo *</v>
      </c>
      <c r="C67" s="32" t="s">
        <v>12</v>
      </c>
      <c r="D67" s="16" t="str">
        <f>IF($C67=CL,"X","")</f>
        <v/>
      </c>
      <c r="E67" s="16" t="str">
        <f>IF(D67="X",100*0.1,"")</f>
        <v/>
      </c>
      <c r="F67" s="16" t="str">
        <f>IF($C67=L,"X","")</f>
        <v>X</v>
      </c>
      <c r="G67" s="16">
        <f>IF(F67="X",60*0.1,"")</f>
        <v>6</v>
      </c>
      <c r="H67" s="16" t="str">
        <f>IF($C67=ML,"X","")</f>
        <v/>
      </c>
      <c r="I67" s="16" t="str">
        <f>IF(H67="X",30*0.1,"")</f>
        <v/>
      </c>
      <c r="J67" s="16" t="str">
        <f>IF($C67=NL,"X","")</f>
        <v/>
      </c>
      <c r="K67" s="16" t="str">
        <f>IF($J67="X",0,"")</f>
        <v/>
      </c>
    </row>
    <row r="68" spans="1:11" ht="15.75" customHeight="1">
      <c r="A68" s="72"/>
      <c r="B68" s="21" t="s">
        <v>21</v>
      </c>
      <c r="C68" s="18">
        <f>E68+G68+I68+K68</f>
        <v>22</v>
      </c>
      <c r="D68" s="19">
        <f>COUNTIF(D66:D67,"X")</f>
        <v>1</v>
      </c>
      <c r="E68" s="19">
        <f>SUM(E65:E67)</f>
        <v>10</v>
      </c>
      <c r="F68" s="19">
        <f t="shared" ref="F68:K68" si="56">SUM(F65:F67)</f>
        <v>0</v>
      </c>
      <c r="G68" s="19">
        <f t="shared" si="56"/>
        <v>12</v>
      </c>
      <c r="H68" s="19">
        <f t="shared" si="56"/>
        <v>0</v>
      </c>
      <c r="I68" s="19">
        <f t="shared" si="56"/>
        <v>0</v>
      </c>
      <c r="J68" s="19">
        <f t="shared" si="56"/>
        <v>0</v>
      </c>
      <c r="K68" s="19">
        <f t="shared" si="56"/>
        <v>0</v>
      </c>
    </row>
    <row r="69" spans="1:11" ht="15.75" customHeight="1">
      <c r="A69" s="69"/>
      <c r="B69" s="17" t="s">
        <v>16</v>
      </c>
      <c r="C69" s="20">
        <f>VLOOKUP(C68,ESCALA_TRAB_EQUIP!A13:B73,2,FALSE)</f>
        <v>5</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44">
    <mergeCell ref="A61:A69"/>
    <mergeCell ref="B61:B62"/>
    <mergeCell ref="C61:K62"/>
    <mergeCell ref="C63:C64"/>
    <mergeCell ref="D63:K63"/>
    <mergeCell ref="D64:E64"/>
    <mergeCell ref="F64:G64"/>
    <mergeCell ref="H64:I64"/>
    <mergeCell ref="J64:K64"/>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22</v>
      </c>
      <c r="B2" s="62" t="s">
        <v>23</v>
      </c>
      <c r="C2" s="63"/>
      <c r="D2" s="63"/>
      <c r="E2" s="64"/>
      <c r="F2" s="59" t="s">
        <v>24</v>
      </c>
    </row>
    <row r="3" spans="1:6">
      <c r="A3" s="60"/>
      <c r="B3" s="65" t="s">
        <v>25</v>
      </c>
      <c r="C3" s="65" t="s">
        <v>26</v>
      </c>
      <c r="D3" s="25" t="s">
        <v>27</v>
      </c>
      <c r="E3" s="27" t="s">
        <v>14</v>
      </c>
      <c r="F3" s="60"/>
    </row>
    <row r="4" spans="1:6" ht="57.6" customHeight="1" thickBot="1">
      <c r="A4" s="61"/>
      <c r="B4" s="66"/>
      <c r="C4" s="66"/>
      <c r="D4" s="26">
        <v>-0.3</v>
      </c>
      <c r="E4" s="26">
        <v>0</v>
      </c>
      <c r="F4" s="61"/>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96</v>
      </c>
      <c r="B1" s="7" t="s">
        <v>15</v>
      </c>
      <c r="C1" s="8"/>
      <c r="D1" s="8"/>
      <c r="E1" s="9"/>
    </row>
    <row r="2" spans="1:5" ht="45.75" thickBot="1">
      <c r="A2" s="79"/>
      <c r="B2" s="10" t="s">
        <v>11</v>
      </c>
      <c r="C2" s="11" t="s">
        <v>12</v>
      </c>
      <c r="D2" s="11" t="s">
        <v>97</v>
      </c>
      <c r="E2" s="47" t="s">
        <v>14</v>
      </c>
    </row>
    <row r="3" spans="1:5" ht="30.75" thickBot="1">
      <c r="A3" s="12" t="s">
        <v>98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2026-09-08T22:15:01Z</dcterms:modified>
  <cp:category/>
  <cp:contentStatus/>
</cp:coreProperties>
</file>